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rijaymehta/Library/CloudStorage/GoogleDrive-asmehta4@gmail.com/My Drive/Stock Studies/"/>
    </mc:Choice>
  </mc:AlternateContent>
  <xr:revisionPtr revIDLastSave="0" documentId="13_ncr:1_{54710D91-32C6-EA48-9B38-4903747A3EB7}" xr6:coauthVersionLast="47" xr6:coauthVersionMax="47" xr10:uidLastSave="{00000000-0000-0000-0000-000000000000}"/>
  <bookViews>
    <workbookView xWindow="4680" yWindow="600" windowWidth="33720" windowHeight="21000" xr2:uid="{00000000-000D-0000-FFFF-FFFF00000000}"/>
  </bookViews>
  <sheets>
    <sheet name="Cover Page" sheetId="16" r:id="rId1"/>
    <sheet name="Scenario Summary" sheetId="12" r:id="rId2"/>
    <sheet name="SWOT" sheetId="2" r:id="rId3"/>
    <sheet name="Valuation &gt;&gt;&gt;" sheetId="15" r:id="rId4"/>
    <sheet name="Assumptions" sheetId="3" r:id="rId5"/>
    <sheet name="Revenue Build" sheetId="4" r:id="rId6"/>
    <sheet name="Income Statement" sheetId="5" r:id="rId7"/>
    <sheet name="Balance Sheet" sheetId="6" r:id="rId8"/>
    <sheet name="Cash Flow" sheetId="7" r:id="rId9"/>
    <sheet name="DCF &amp; Sensitivity" sheetId="8" r:id="rId10"/>
    <sheet name="Comps" sheetId="10" r:id="rId11"/>
    <sheet name="Ideal Revenue Build &gt;&gt;&gt;" sheetId="25" r:id="rId12"/>
    <sheet name="Rev Build - BU 1 - Contractor" sheetId="23" r:id="rId13"/>
    <sheet name="Rev Build - PF1 - Airless Spray" sheetId="21" r:id="rId14"/>
    <sheet name="Rev Build - PF2  - Powder Coat" sheetId="22" r:id="rId15"/>
    <sheet name="Appendix &gt;&gt;&gt;" sheetId="14" r:id="rId16"/>
    <sheet name="Sources" sheetId="11" r:id="rId17"/>
    <sheet name="Shadow DCF" sheetId="13" r:id="rId18"/>
    <sheet name="Shadow DCF Rec" sheetId="20" r:id="rId19"/>
    <sheet name="FootballField Data" sheetId="19" state="hidden" r:id="rId20"/>
  </sheets>
  <definedNames>
    <definedName name="BaseYear" comment="First historical year. Drives all FY headers.">'Cover Page'!$C$63</definedName>
    <definedName name="CompanyName" comment="Company name (workbook title)">'Cover Page'!$B$2</definedName>
    <definedName name="CurrentPrice" comment="Current market share price">'DCF &amp; Sensitivity'!$D$51</definedName>
    <definedName name="ExitMultiple" comment="Exit EV/EBITDA multiple (x)">Assumptions!$D$106</definedName>
    <definedName name="FirstForecastYear" comment="First forecast (E) year. Years &gt;= this are labeled E.">'Cover Page'!$C$64</definedName>
    <definedName name="NetDebt" comment="Net debt for EV-&gt;Equity bridge">'DCF &amp; Sensitivity'!$D$44</definedName>
    <definedName name="ScenarioRange" comment="Bear/Base/Bull header row — use as MATCH lookup range">Assumptions!$E$9:$G$9</definedName>
    <definedName name="SharesOut" comment="Diluted shares outstanding">'DCF &amp; Sensitivity'!$D$47</definedName>
    <definedName name="TaxRate" comment="Effective tax rate (decimal)">'DCF &amp; Sensitivity'!$D$12</definedName>
    <definedName name="TerminalGrowth" comment="Perpetuity growth rate (decimal)">Assumptions!$D$105</definedName>
    <definedName name="Ticker" comment="Ticker string">'Cover Page'!$B$3</definedName>
    <definedName name="WACC" comment="Discount rate used in DCF">Assumptions!$D$104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2" l="1"/>
  <c r="G37" i="12"/>
  <c r="D38" i="12"/>
  <c r="E38" i="12"/>
  <c r="F38" i="12"/>
  <c r="I72" i="3"/>
  <c r="I52" i="3"/>
  <c r="I81" i="3"/>
  <c r="M82" i="3"/>
  <c r="L82" i="3"/>
  <c r="K82" i="3"/>
  <c r="J82" i="3"/>
  <c r="I82" i="3"/>
  <c r="I58" i="5"/>
  <c r="I49" i="5"/>
  <c r="J52" i="3"/>
  <c r="I56" i="3"/>
  <c r="I54" i="3"/>
  <c r="I55" i="3"/>
  <c r="J55" i="3"/>
  <c r="I23" i="5"/>
  <c r="I24" i="5" s="1"/>
  <c r="I16" i="5"/>
  <c r="M56" i="3"/>
  <c r="L56" i="3"/>
  <c r="K56" i="3"/>
  <c r="J56" i="3"/>
  <c r="M55" i="3"/>
  <c r="L55" i="3"/>
  <c r="K55" i="3"/>
  <c r="M54" i="3"/>
  <c r="L54" i="3"/>
  <c r="K54" i="3"/>
  <c r="J54" i="3"/>
  <c r="M52" i="3"/>
  <c r="M16" i="5" s="1"/>
  <c r="L52" i="3"/>
  <c r="L16" i="5" s="1"/>
  <c r="K52" i="3"/>
  <c r="K16" i="5" s="1"/>
  <c r="J16" i="5"/>
  <c r="I34" i="5"/>
  <c r="J80" i="3"/>
  <c r="H77" i="3"/>
  <c r="J77" i="3" s="1"/>
  <c r="D37" i="5"/>
  <c r="I73" i="3"/>
  <c r="J73" i="3"/>
  <c r="K73" i="3"/>
  <c r="L73" i="3"/>
  <c r="M73" i="3"/>
  <c r="F44" i="3"/>
  <c r="G44" i="3"/>
  <c r="H44" i="3"/>
  <c r="I44" i="3"/>
  <c r="J44" i="3"/>
  <c r="K44" i="3"/>
  <c r="L44" i="3"/>
  <c r="M44" i="3"/>
  <c r="E44" i="3"/>
  <c r="H102" i="13"/>
  <c r="G102" i="13"/>
  <c r="F102" i="13"/>
  <c r="E102" i="13"/>
  <c r="D102" i="13"/>
  <c r="H72" i="13"/>
  <c r="G72" i="13"/>
  <c r="F72" i="13"/>
  <c r="E72" i="13"/>
  <c r="D72" i="13"/>
  <c r="H43" i="13"/>
  <c r="G43" i="13"/>
  <c r="F43" i="13"/>
  <c r="E43" i="13"/>
  <c r="D43" i="13"/>
  <c r="G42" i="12"/>
  <c r="F42" i="12"/>
  <c r="E42" i="12"/>
  <c r="D42" i="12"/>
  <c r="M26" i="7"/>
  <c r="L26" i="7"/>
  <c r="K26" i="7"/>
  <c r="J26" i="7"/>
  <c r="I26" i="7"/>
  <c r="D104" i="3"/>
  <c r="D16" i="8" s="1"/>
  <c r="D97" i="3"/>
  <c r="D98" i="3" s="1"/>
  <c r="D101" i="3"/>
  <c r="D105" i="3"/>
  <c r="H95" i="13"/>
  <c r="G95" i="13"/>
  <c r="F95" i="13"/>
  <c r="E95" i="13"/>
  <c r="D95" i="13"/>
  <c r="H65" i="13"/>
  <c r="G65" i="13"/>
  <c r="F65" i="13"/>
  <c r="E65" i="13"/>
  <c r="D65" i="13"/>
  <c r="H35" i="13"/>
  <c r="G35" i="13"/>
  <c r="F35" i="13"/>
  <c r="E35" i="13"/>
  <c r="D35" i="13"/>
  <c r="G41" i="12"/>
  <c r="F41" i="12"/>
  <c r="E41" i="12"/>
  <c r="D41" i="12"/>
  <c r="F40" i="12"/>
  <c r="E40" i="12"/>
  <c r="D40" i="12"/>
  <c r="F37" i="12"/>
  <c r="E37" i="12"/>
  <c r="D37" i="12"/>
  <c r="F36" i="12"/>
  <c r="E36" i="12"/>
  <c r="D36" i="12"/>
  <c r="F34" i="12"/>
  <c r="E34" i="12"/>
  <c r="D34" i="12"/>
  <c r="F33" i="12"/>
  <c r="E33" i="12"/>
  <c r="D33" i="12"/>
  <c r="F32" i="12"/>
  <c r="E32" i="12"/>
  <c r="D32" i="12"/>
  <c r="F30" i="12"/>
  <c r="E30" i="12"/>
  <c r="D30" i="12"/>
  <c r="F29" i="12"/>
  <c r="E29" i="12"/>
  <c r="D29" i="12"/>
  <c r="F28" i="12"/>
  <c r="E28" i="12"/>
  <c r="D28" i="12"/>
  <c r="F27" i="12"/>
  <c r="E27" i="12"/>
  <c r="D27" i="12"/>
  <c r="F25" i="12"/>
  <c r="E25" i="12"/>
  <c r="D25" i="12"/>
  <c r="F24" i="12"/>
  <c r="E24" i="12"/>
  <c r="D24" i="12"/>
  <c r="F23" i="12"/>
  <c r="E23" i="12"/>
  <c r="D23" i="12"/>
  <c r="F21" i="12"/>
  <c r="E21" i="12"/>
  <c r="D21" i="12"/>
  <c r="F20" i="12"/>
  <c r="E20" i="12"/>
  <c r="D20" i="12"/>
  <c r="F18" i="12"/>
  <c r="E18" i="12"/>
  <c r="D18" i="12"/>
  <c r="F17" i="12"/>
  <c r="E17" i="12"/>
  <c r="D17" i="12"/>
  <c r="F28" i="13"/>
  <c r="E28" i="13"/>
  <c r="D28" i="13"/>
  <c r="F27" i="13"/>
  <c r="E27" i="13"/>
  <c r="D27" i="13"/>
  <c r="F26" i="13"/>
  <c r="E26" i="13"/>
  <c r="D26" i="13"/>
  <c r="F25" i="13"/>
  <c r="E25" i="13"/>
  <c r="D25" i="13"/>
  <c r="F24" i="13"/>
  <c r="E24" i="13"/>
  <c r="D24" i="13"/>
  <c r="D35" i="10"/>
  <c r="I35" i="10"/>
  <c r="O11" i="10"/>
  <c r="O19" i="10"/>
  <c r="O18" i="10"/>
  <c r="V18" i="10" s="1"/>
  <c r="O17" i="10"/>
  <c r="O15" i="10"/>
  <c r="O14" i="10"/>
  <c r="O12" i="10"/>
  <c r="O7" i="10"/>
  <c r="Q19" i="10"/>
  <c r="Q18" i="10"/>
  <c r="Q17" i="10"/>
  <c r="Q15" i="10"/>
  <c r="Q14" i="10"/>
  <c r="Q12" i="10"/>
  <c r="Q11" i="10"/>
  <c r="Q7" i="10"/>
  <c r="P7" i="10"/>
  <c r="P12" i="10"/>
  <c r="P14" i="10"/>
  <c r="P15" i="10"/>
  <c r="P17" i="10"/>
  <c r="P18" i="10"/>
  <c r="P19" i="10"/>
  <c r="P11" i="10"/>
  <c r="Q22" i="10"/>
  <c r="Q23" i="10"/>
  <c r="Q24" i="10"/>
  <c r="Q25" i="10"/>
  <c r="Q26" i="10"/>
  <c r="Q27" i="10"/>
  <c r="V19" i="10"/>
  <c r="V15" i="10"/>
  <c r="V14" i="10"/>
  <c r="V12" i="10"/>
  <c r="V11" i="10"/>
  <c r="M19" i="10"/>
  <c r="M18" i="10"/>
  <c r="M17" i="10"/>
  <c r="M15" i="10"/>
  <c r="M14" i="10"/>
  <c r="M12" i="10"/>
  <c r="M11" i="10"/>
  <c r="L19" i="10"/>
  <c r="L18" i="10"/>
  <c r="L17" i="10"/>
  <c r="L15" i="10"/>
  <c r="L14" i="10"/>
  <c r="L12" i="10"/>
  <c r="L11" i="10"/>
  <c r="J7" i="10"/>
  <c r="D7" i="10"/>
  <c r="V7" i="10" s="1"/>
  <c r="N7" i="10"/>
  <c r="D34" i="10" s="1"/>
  <c r="K7" i="10"/>
  <c r="I7" i="10"/>
  <c r="H7" i="10"/>
  <c r="D31" i="10" s="1"/>
  <c r="G11" i="10"/>
  <c r="S11" i="10" s="1"/>
  <c r="H81" i="3"/>
  <c r="G81" i="3"/>
  <c r="F81" i="3"/>
  <c r="E81" i="3"/>
  <c r="D81" i="3"/>
  <c r="E72" i="3"/>
  <c r="F72" i="3"/>
  <c r="G72" i="3"/>
  <c r="H72" i="3"/>
  <c r="J72" i="3"/>
  <c r="K72" i="3"/>
  <c r="L72" i="3"/>
  <c r="M72" i="3"/>
  <c r="D12" i="8" s="1"/>
  <c r="D72" i="3"/>
  <c r="U19" i="10"/>
  <c r="G19" i="10"/>
  <c r="S19" i="10" s="1"/>
  <c r="U18" i="10"/>
  <c r="G18" i="10"/>
  <c r="S18" i="10" s="1"/>
  <c r="V17" i="10"/>
  <c r="U17" i="10"/>
  <c r="G17" i="10"/>
  <c r="S17" i="10" s="1"/>
  <c r="U15" i="10"/>
  <c r="G15" i="10"/>
  <c r="U14" i="10"/>
  <c r="G14" i="10"/>
  <c r="S14" i="10" s="1"/>
  <c r="U12" i="10"/>
  <c r="G12" i="10"/>
  <c r="S12" i="10" s="1"/>
  <c r="U11" i="10"/>
  <c r="P22" i="10"/>
  <c r="M36" i="7"/>
  <c r="L36" i="7"/>
  <c r="K36" i="7"/>
  <c r="J36" i="7"/>
  <c r="I36" i="7"/>
  <c r="M27" i="6"/>
  <c r="L27" i="6"/>
  <c r="K27" i="6"/>
  <c r="J27" i="6"/>
  <c r="I27" i="6"/>
  <c r="M22" i="6"/>
  <c r="L22" i="6"/>
  <c r="K22" i="6"/>
  <c r="J22" i="6"/>
  <c r="I22" i="6"/>
  <c r="I20" i="6"/>
  <c r="H78" i="3"/>
  <c r="J78" i="3" s="1"/>
  <c r="G78" i="3"/>
  <c r="F78" i="3"/>
  <c r="E78" i="3"/>
  <c r="D78" i="3"/>
  <c r="G77" i="3"/>
  <c r="F77" i="3"/>
  <c r="E77" i="3"/>
  <c r="D77" i="3"/>
  <c r="H76" i="3"/>
  <c r="G33" i="12" s="1"/>
  <c r="G76" i="3"/>
  <c r="F76" i="3"/>
  <c r="E76" i="3"/>
  <c r="D76" i="3"/>
  <c r="M34" i="5"/>
  <c r="L34" i="5"/>
  <c r="K34" i="5"/>
  <c r="J34" i="5"/>
  <c r="E44" i="5"/>
  <c r="M50" i="5"/>
  <c r="L50" i="5"/>
  <c r="K50" i="5"/>
  <c r="J50" i="5"/>
  <c r="I50" i="5"/>
  <c r="M39" i="6"/>
  <c r="L39" i="6"/>
  <c r="K39" i="6"/>
  <c r="J39" i="6"/>
  <c r="I39" i="6"/>
  <c r="M38" i="6"/>
  <c r="L38" i="6"/>
  <c r="K38" i="6"/>
  <c r="J38" i="6"/>
  <c r="I38" i="6"/>
  <c r="I32" i="6"/>
  <c r="J32" i="6" s="1"/>
  <c r="K32" i="6" s="1"/>
  <c r="L32" i="6" s="1"/>
  <c r="M32" i="6" s="1"/>
  <c r="I28" i="6"/>
  <c r="J28" i="6" s="1"/>
  <c r="K28" i="6" s="1"/>
  <c r="L28" i="6" s="1"/>
  <c r="M28" i="6" s="1"/>
  <c r="M40" i="6"/>
  <c r="L40" i="6"/>
  <c r="K40" i="6"/>
  <c r="J40" i="6"/>
  <c r="I40" i="6"/>
  <c r="M44" i="6"/>
  <c r="L44" i="6"/>
  <c r="K44" i="6"/>
  <c r="J44" i="6"/>
  <c r="I47" i="6"/>
  <c r="J47" i="6" s="1"/>
  <c r="K47" i="6" s="1"/>
  <c r="L47" i="6" s="1"/>
  <c r="M47" i="6" s="1"/>
  <c r="I44" i="6"/>
  <c r="H88" i="3"/>
  <c r="I88" i="3" s="1"/>
  <c r="G88" i="3"/>
  <c r="F88" i="3"/>
  <c r="E88" i="3"/>
  <c r="D88" i="3"/>
  <c r="H87" i="3"/>
  <c r="G87" i="3"/>
  <c r="F87" i="3"/>
  <c r="E87" i="3"/>
  <c r="D87" i="3"/>
  <c r="M12" i="7"/>
  <c r="L12" i="7"/>
  <c r="I12" i="7"/>
  <c r="H50" i="7"/>
  <c r="G50" i="7"/>
  <c r="F50" i="7"/>
  <c r="E50" i="7"/>
  <c r="H41" i="7"/>
  <c r="G41" i="7"/>
  <c r="F41" i="7"/>
  <c r="E41" i="7"/>
  <c r="H30" i="7"/>
  <c r="G30" i="7"/>
  <c r="F30" i="7"/>
  <c r="E30" i="7"/>
  <c r="D51" i="7"/>
  <c r="D50" i="7"/>
  <c r="D41" i="7"/>
  <c r="D30" i="7"/>
  <c r="H13" i="7"/>
  <c r="H51" i="7" s="1"/>
  <c r="G13" i="7"/>
  <c r="G51" i="7" s="1"/>
  <c r="F13" i="7"/>
  <c r="F51" i="7" s="1"/>
  <c r="E13" i="7"/>
  <c r="E51" i="7" s="1"/>
  <c r="D13" i="7"/>
  <c r="H12" i="7"/>
  <c r="G12" i="7"/>
  <c r="F12" i="7"/>
  <c r="E12" i="7"/>
  <c r="D12" i="7"/>
  <c r="H11" i="7"/>
  <c r="G11" i="7"/>
  <c r="F11" i="7"/>
  <c r="E11" i="7"/>
  <c r="D11" i="7"/>
  <c r="E60" i="5"/>
  <c r="F60" i="5"/>
  <c r="G60" i="5"/>
  <c r="H60" i="5"/>
  <c r="D60" i="5"/>
  <c r="J59" i="5"/>
  <c r="K59" i="5" s="1"/>
  <c r="L59" i="5" s="1"/>
  <c r="M59" i="5" s="1"/>
  <c r="M80" i="3"/>
  <c r="L80" i="3"/>
  <c r="K80" i="3"/>
  <c r="M78" i="3"/>
  <c r="M77" i="3"/>
  <c r="M76" i="3"/>
  <c r="J20" i="6"/>
  <c r="K20" i="6" s="1"/>
  <c r="L20" i="6" s="1"/>
  <c r="M20" i="6" s="1"/>
  <c r="H42" i="3"/>
  <c r="G42" i="3"/>
  <c r="F42" i="3"/>
  <c r="E42" i="3"/>
  <c r="H41" i="3"/>
  <c r="G41" i="3"/>
  <c r="F41" i="3"/>
  <c r="E41" i="3"/>
  <c r="H40" i="3"/>
  <c r="G40" i="3"/>
  <c r="F40" i="3"/>
  <c r="E40" i="3"/>
  <c r="D42" i="3"/>
  <c r="D41" i="3"/>
  <c r="D40" i="3"/>
  <c r="H67" i="3"/>
  <c r="H69" i="3" s="1"/>
  <c r="H73" i="3" s="1"/>
  <c r="G67" i="3"/>
  <c r="G69" i="3" s="1"/>
  <c r="G73" i="3" s="1"/>
  <c r="F67" i="3"/>
  <c r="F69" i="3" s="1"/>
  <c r="F73" i="3" s="1"/>
  <c r="E67" i="3"/>
  <c r="E69" i="3" s="1"/>
  <c r="E73" i="3" s="1"/>
  <c r="D67" i="3"/>
  <c r="D69" i="3" s="1"/>
  <c r="D73" i="3" s="1"/>
  <c r="H64" i="3"/>
  <c r="D100" i="3" s="1"/>
  <c r="G64" i="3"/>
  <c r="F64" i="3"/>
  <c r="E64" i="3"/>
  <c r="D64" i="3"/>
  <c r="I63" i="3"/>
  <c r="J63" i="3" s="1"/>
  <c r="K63" i="3" s="1"/>
  <c r="L63" i="3" s="1"/>
  <c r="M63" i="3" s="1"/>
  <c r="I62" i="3"/>
  <c r="J62" i="3" s="1"/>
  <c r="K62" i="3" s="1"/>
  <c r="L62" i="3" s="1"/>
  <c r="M62" i="3" s="1"/>
  <c r="I61" i="3"/>
  <c r="J61" i="3" s="1"/>
  <c r="K61" i="3" s="1"/>
  <c r="H50" i="5"/>
  <c r="G50" i="5"/>
  <c r="F50" i="5"/>
  <c r="E50" i="5"/>
  <c r="D50" i="5"/>
  <c r="H28" i="5"/>
  <c r="G28" i="5"/>
  <c r="F28" i="5"/>
  <c r="E28" i="5"/>
  <c r="D28" i="5"/>
  <c r="D13" i="5"/>
  <c r="H11" i="5"/>
  <c r="G11" i="5"/>
  <c r="F11" i="5"/>
  <c r="E11" i="5"/>
  <c r="D11" i="5"/>
  <c r="H10" i="5"/>
  <c r="G10" i="5"/>
  <c r="F10" i="5"/>
  <c r="E10" i="5"/>
  <c r="D10" i="5"/>
  <c r="H9" i="5"/>
  <c r="G9" i="5"/>
  <c r="G12" i="5" s="1"/>
  <c r="G26" i="5" s="1"/>
  <c r="F9" i="5"/>
  <c r="E9" i="5"/>
  <c r="D9" i="5"/>
  <c r="E12" i="5"/>
  <c r="E55" i="5" s="1"/>
  <c r="I77" i="3" l="1"/>
  <c r="I68" i="3"/>
  <c r="J35" i="10"/>
  <c r="D103" i="3"/>
  <c r="D102" i="3"/>
  <c r="D99" i="3"/>
  <c r="D11" i="8" s="1"/>
  <c r="I19" i="6"/>
  <c r="J19" i="6" s="1"/>
  <c r="K19" i="6" s="1"/>
  <c r="L19" i="6" s="1"/>
  <c r="M19" i="6" s="1"/>
  <c r="G32" i="12"/>
  <c r="K78" i="3"/>
  <c r="L78" i="3"/>
  <c r="I18" i="6"/>
  <c r="J18" i="6" s="1"/>
  <c r="K18" i="6" s="1"/>
  <c r="L18" i="6" s="1"/>
  <c r="M18" i="6" s="1"/>
  <c r="L77" i="3"/>
  <c r="G34" i="12"/>
  <c r="M7" i="10"/>
  <c r="T15" i="10"/>
  <c r="D32" i="10"/>
  <c r="L7" i="10"/>
  <c r="D33" i="10" s="1"/>
  <c r="U7" i="10"/>
  <c r="T18" i="10"/>
  <c r="R12" i="10"/>
  <c r="U22" i="10"/>
  <c r="U27" i="10"/>
  <c r="T14" i="10"/>
  <c r="U26" i="10"/>
  <c r="T12" i="10"/>
  <c r="V26" i="10"/>
  <c r="T17" i="10"/>
  <c r="P26" i="10"/>
  <c r="R17" i="10"/>
  <c r="V27" i="10"/>
  <c r="S22" i="10"/>
  <c r="U24" i="10"/>
  <c r="V22" i="10"/>
  <c r="V24" i="10"/>
  <c r="P23" i="10"/>
  <c r="R15" i="10"/>
  <c r="R19" i="10"/>
  <c r="S15" i="10"/>
  <c r="S23" i="10" s="1"/>
  <c r="T11" i="10"/>
  <c r="T19" i="10"/>
  <c r="P25" i="10"/>
  <c r="U23" i="10"/>
  <c r="C34" i="10" s="1"/>
  <c r="U25" i="10"/>
  <c r="P27" i="10"/>
  <c r="R11" i="10"/>
  <c r="R14" i="10"/>
  <c r="R18" i="10"/>
  <c r="V23" i="10"/>
  <c r="C35" i="10" s="1"/>
  <c r="V25" i="10"/>
  <c r="P24" i="10"/>
  <c r="J88" i="3"/>
  <c r="I39" i="7"/>
  <c r="M79" i="3"/>
  <c r="I78" i="3"/>
  <c r="D12" i="5"/>
  <c r="J12" i="7"/>
  <c r="K12" i="7"/>
  <c r="K77" i="3"/>
  <c r="D24" i="5"/>
  <c r="D52" i="3"/>
  <c r="D53" i="3" s="1"/>
  <c r="D26" i="5"/>
  <c r="D56" i="3"/>
  <c r="D79" i="3"/>
  <c r="D55" i="3"/>
  <c r="D54" i="3"/>
  <c r="D18" i="5"/>
  <c r="D17" i="5" s="1"/>
  <c r="D55" i="5"/>
  <c r="E79" i="3"/>
  <c r="G24" i="5"/>
  <c r="E54" i="3"/>
  <c r="E55" i="3"/>
  <c r="E18" i="5"/>
  <c r="E17" i="5" s="1"/>
  <c r="G22" i="5"/>
  <c r="D80" i="3"/>
  <c r="G55" i="3"/>
  <c r="G18" i="5"/>
  <c r="G17" i="5" s="1"/>
  <c r="E52" i="3"/>
  <c r="E53" i="3" s="1"/>
  <c r="E56" i="3"/>
  <c r="E22" i="5"/>
  <c r="G52" i="3"/>
  <c r="G53" i="3" s="1"/>
  <c r="G56" i="3"/>
  <c r="E24" i="5"/>
  <c r="E80" i="3"/>
  <c r="G79" i="3"/>
  <c r="G55" i="5"/>
  <c r="F80" i="3"/>
  <c r="F12" i="5"/>
  <c r="F13" i="5" s="1"/>
  <c r="E26" i="5"/>
  <c r="G80" i="3"/>
  <c r="G54" i="3"/>
  <c r="H12" i="5"/>
  <c r="H80" i="3" s="1"/>
  <c r="G36" i="12" s="1"/>
  <c r="I53" i="3"/>
  <c r="I57" i="3"/>
  <c r="J53" i="3"/>
  <c r="I64" i="3"/>
  <c r="M53" i="3"/>
  <c r="L61" i="3"/>
  <c r="K64" i="3"/>
  <c r="J64" i="3"/>
  <c r="H18" i="5"/>
  <c r="H17" i="5" s="1"/>
  <c r="H29" i="5"/>
  <c r="D29" i="5"/>
  <c r="D35" i="5" s="1"/>
  <c r="E13" i="5"/>
  <c r="D22" i="5"/>
  <c r="H13" i="5"/>
  <c r="H36" i="23"/>
  <c r="H40" i="23" s="1"/>
  <c r="G36" i="23"/>
  <c r="G40" i="23" s="1"/>
  <c r="F36" i="23"/>
  <c r="F40" i="23" s="1"/>
  <c r="E36" i="23"/>
  <c r="E40" i="23" s="1"/>
  <c r="D36" i="23"/>
  <c r="D40" i="23" s="1"/>
  <c r="C36" i="23"/>
  <c r="C40" i="23" s="1"/>
  <c r="H63" i="22"/>
  <c r="G63" i="22"/>
  <c r="F63" i="22"/>
  <c r="E63" i="22"/>
  <c r="H56" i="22"/>
  <c r="G56" i="22"/>
  <c r="F56" i="22"/>
  <c r="E56" i="22"/>
  <c r="D63" i="22"/>
  <c r="D56" i="22"/>
  <c r="C63" i="22"/>
  <c r="C56" i="22"/>
  <c r="D47" i="22"/>
  <c r="E47" i="22" s="1"/>
  <c r="C48" i="22"/>
  <c r="D37" i="22"/>
  <c r="E37" i="22" s="1"/>
  <c r="F37" i="22" s="1"/>
  <c r="G37" i="22" s="1"/>
  <c r="H37" i="22" s="1"/>
  <c r="D35" i="22"/>
  <c r="C39" i="22"/>
  <c r="C67" i="22" s="1"/>
  <c r="D29" i="22"/>
  <c r="E29" i="22" s="1"/>
  <c r="F29" i="22" s="1"/>
  <c r="G29" i="22" s="1"/>
  <c r="H29" i="22" s="1"/>
  <c r="D27" i="22"/>
  <c r="E27" i="22" s="1"/>
  <c r="D23" i="22"/>
  <c r="E23" i="22" s="1"/>
  <c r="F23" i="22" s="1"/>
  <c r="G23" i="22" s="1"/>
  <c r="H23" i="22" s="1"/>
  <c r="D21" i="22"/>
  <c r="E21" i="22" s="1"/>
  <c r="C31" i="22"/>
  <c r="C25" i="22"/>
  <c r="D17" i="22"/>
  <c r="E17" i="22" s="1"/>
  <c r="F17" i="22" s="1"/>
  <c r="G17" i="22" s="1"/>
  <c r="H17" i="22" s="1"/>
  <c r="D15" i="22"/>
  <c r="C19" i="22"/>
  <c r="C44" i="22" s="1"/>
  <c r="D45" i="21"/>
  <c r="F45" i="21"/>
  <c r="H45" i="21"/>
  <c r="C45" i="21"/>
  <c r="G42" i="21"/>
  <c r="G45" i="21" s="1"/>
  <c r="E42" i="21"/>
  <c r="E45" i="21" s="1"/>
  <c r="D52" i="21"/>
  <c r="E52" i="21"/>
  <c r="F52" i="21"/>
  <c r="G52" i="21"/>
  <c r="H52" i="21"/>
  <c r="C52" i="21"/>
  <c r="C38" i="21"/>
  <c r="C56" i="21" s="1"/>
  <c r="D36" i="21"/>
  <c r="E36" i="21" s="1"/>
  <c r="F36" i="21" s="1"/>
  <c r="G36" i="21" s="1"/>
  <c r="H36" i="21" s="1"/>
  <c r="D34" i="21"/>
  <c r="E34" i="21" s="1"/>
  <c r="C30" i="21"/>
  <c r="D28" i="21"/>
  <c r="D26" i="21"/>
  <c r="E26" i="21" s="1"/>
  <c r="F26" i="21" s="1"/>
  <c r="G26" i="21" s="1"/>
  <c r="H26" i="21" s="1"/>
  <c r="C24" i="21"/>
  <c r="D22" i="21"/>
  <c r="E22" i="21" s="1"/>
  <c r="F22" i="21" s="1"/>
  <c r="G22" i="21" s="1"/>
  <c r="H22" i="21" s="1"/>
  <c r="D20" i="21"/>
  <c r="C18" i="21"/>
  <c r="D16" i="21"/>
  <c r="E16" i="21" s="1"/>
  <c r="F16" i="21" s="1"/>
  <c r="G16" i="21" s="1"/>
  <c r="H16" i="21" s="1"/>
  <c r="D14" i="21"/>
  <c r="E14" i="21" s="1"/>
  <c r="I57" i="4"/>
  <c r="M57" i="4" s="1"/>
  <c r="I56" i="4"/>
  <c r="M56" i="4" s="1"/>
  <c r="I55" i="4"/>
  <c r="J55" i="4" s="1"/>
  <c r="I52" i="4"/>
  <c r="I49" i="4"/>
  <c r="J49" i="4" s="1"/>
  <c r="I48" i="4"/>
  <c r="M48" i="4" s="1"/>
  <c r="I47" i="4"/>
  <c r="M47" i="4" s="1"/>
  <c r="I41" i="4"/>
  <c r="M41" i="4" s="1"/>
  <c r="I40" i="4"/>
  <c r="M40" i="4" s="1"/>
  <c r="I39" i="4"/>
  <c r="M39" i="4" s="1"/>
  <c r="E42" i="4"/>
  <c r="G58" i="4"/>
  <c r="F58" i="4"/>
  <c r="E58" i="4"/>
  <c r="G50" i="4"/>
  <c r="F50" i="4"/>
  <c r="E50" i="4"/>
  <c r="G42" i="4"/>
  <c r="F42" i="4"/>
  <c r="G54" i="4"/>
  <c r="F54" i="4"/>
  <c r="E54" i="4"/>
  <c r="G46" i="4"/>
  <c r="F46" i="4"/>
  <c r="E46" i="4"/>
  <c r="G38" i="4"/>
  <c r="F38" i="4"/>
  <c r="E38" i="4"/>
  <c r="H38" i="4"/>
  <c r="E61" i="4"/>
  <c r="E43" i="3" s="1"/>
  <c r="F61" i="4"/>
  <c r="F43" i="3" s="1"/>
  <c r="F48" i="3" s="1"/>
  <c r="G61" i="4"/>
  <c r="G43" i="3" s="1"/>
  <c r="G48" i="3" s="1"/>
  <c r="D61" i="4"/>
  <c r="D43" i="3" s="1"/>
  <c r="D48" i="3" s="1"/>
  <c r="H58" i="4"/>
  <c r="H54" i="4"/>
  <c r="H50" i="4"/>
  <c r="H46" i="4"/>
  <c r="H42" i="4"/>
  <c r="F34" i="4"/>
  <c r="G34" i="4"/>
  <c r="E34" i="4"/>
  <c r="F28" i="4"/>
  <c r="G28" i="4"/>
  <c r="E28" i="4"/>
  <c r="F20" i="4"/>
  <c r="G20" i="4"/>
  <c r="H20" i="4"/>
  <c r="E20" i="4"/>
  <c r="D20" i="4"/>
  <c r="D21" i="4" s="1"/>
  <c r="D39" i="3"/>
  <c r="D60" i="3" s="1"/>
  <c r="H91" i="13"/>
  <c r="G91" i="13"/>
  <c r="F91" i="13"/>
  <c r="E91" i="13"/>
  <c r="D91" i="13"/>
  <c r="H61" i="13"/>
  <c r="G61" i="13"/>
  <c r="F61" i="13"/>
  <c r="E61" i="13"/>
  <c r="D61" i="13"/>
  <c r="H31" i="13"/>
  <c r="G31" i="13"/>
  <c r="F31" i="13"/>
  <c r="E31" i="13"/>
  <c r="D31" i="13"/>
  <c r="Z101" i="16"/>
  <c r="F18" i="20"/>
  <c r="D18" i="20"/>
  <c r="F24" i="20"/>
  <c r="F28" i="20" s="1"/>
  <c r="E24" i="20"/>
  <c r="E28" i="20" s="1"/>
  <c r="D24" i="20"/>
  <c r="D28" i="20" s="1"/>
  <c r="E18" i="20"/>
  <c r="G14" i="12"/>
  <c r="M39" i="3"/>
  <c r="M60" i="3" s="1"/>
  <c r="L39" i="3"/>
  <c r="L60" i="3" s="1"/>
  <c r="K39" i="3"/>
  <c r="K60" i="3" s="1"/>
  <c r="J39" i="3"/>
  <c r="J60" i="3" s="1"/>
  <c r="I39" i="3"/>
  <c r="I60" i="3" s="1"/>
  <c r="H39" i="3"/>
  <c r="H60" i="3" s="1"/>
  <c r="G39" i="3"/>
  <c r="G60" i="3" s="1"/>
  <c r="F39" i="3"/>
  <c r="F60" i="3" s="1"/>
  <c r="E39" i="3"/>
  <c r="E60" i="3" s="1"/>
  <c r="M18" i="8"/>
  <c r="L18" i="8"/>
  <c r="K18" i="8"/>
  <c r="J18" i="8"/>
  <c r="I18" i="8"/>
  <c r="H18" i="8"/>
  <c r="G18" i="8"/>
  <c r="F18" i="8"/>
  <c r="E18" i="8"/>
  <c r="D18" i="8"/>
  <c r="M7" i="7"/>
  <c r="L7" i="7"/>
  <c r="K7" i="7"/>
  <c r="J7" i="7"/>
  <c r="I7" i="7"/>
  <c r="H7" i="7"/>
  <c r="G7" i="7"/>
  <c r="F7" i="7"/>
  <c r="E7" i="7"/>
  <c r="D7" i="7"/>
  <c r="M6" i="6"/>
  <c r="L6" i="6"/>
  <c r="K6" i="6"/>
  <c r="J6" i="6"/>
  <c r="I6" i="6"/>
  <c r="H6" i="6"/>
  <c r="G6" i="6"/>
  <c r="F6" i="6"/>
  <c r="E6" i="6"/>
  <c r="D6" i="6"/>
  <c r="M6" i="5"/>
  <c r="L6" i="5"/>
  <c r="K6" i="5"/>
  <c r="J6" i="5"/>
  <c r="I6" i="5"/>
  <c r="H6" i="5"/>
  <c r="G6" i="5"/>
  <c r="F6" i="5"/>
  <c r="E6" i="5"/>
  <c r="D6" i="5"/>
  <c r="D92" i="13"/>
  <c r="D62" i="13"/>
  <c r="D32" i="13"/>
  <c r="D19" i="13"/>
  <c r="I86" i="3"/>
  <c r="F47" i="3" l="1"/>
  <c r="E49" i="3"/>
  <c r="E48" i="3"/>
  <c r="E47" i="3"/>
  <c r="G47" i="3"/>
  <c r="D49" i="3"/>
  <c r="G49" i="3"/>
  <c r="I69" i="3"/>
  <c r="F49" i="3"/>
  <c r="D47" i="3"/>
  <c r="I33" i="5"/>
  <c r="D10" i="8"/>
  <c r="R23" i="10"/>
  <c r="C31" i="10" s="1"/>
  <c r="C32" i="10"/>
  <c r="E32" i="10" s="1"/>
  <c r="S27" i="10"/>
  <c r="S26" i="10"/>
  <c r="S24" i="10"/>
  <c r="R25" i="10"/>
  <c r="R22" i="10"/>
  <c r="E31" i="10"/>
  <c r="R27" i="10"/>
  <c r="R24" i="10"/>
  <c r="R26" i="10"/>
  <c r="I34" i="10"/>
  <c r="J34" i="10" s="1"/>
  <c r="T24" i="10"/>
  <c r="T27" i="10"/>
  <c r="T25" i="10"/>
  <c r="T23" i="10"/>
  <c r="T26" i="10"/>
  <c r="T22" i="10"/>
  <c r="S25" i="10"/>
  <c r="J39" i="7"/>
  <c r="K88" i="3"/>
  <c r="F24" i="5"/>
  <c r="E29" i="5"/>
  <c r="H24" i="5"/>
  <c r="H54" i="3"/>
  <c r="G28" i="12" s="1"/>
  <c r="H52" i="3"/>
  <c r="H55" i="3"/>
  <c r="G29" i="12" s="1"/>
  <c r="H55" i="5"/>
  <c r="H26" i="5"/>
  <c r="H56" i="3"/>
  <c r="G30" i="12" s="1"/>
  <c r="C25" i="23"/>
  <c r="D57" i="3"/>
  <c r="D48" i="5"/>
  <c r="D51" i="5" s="1"/>
  <c r="D52" i="5" s="1"/>
  <c r="G13" i="5"/>
  <c r="F26" i="5"/>
  <c r="F54" i="3"/>
  <c r="F79" i="3"/>
  <c r="F55" i="5"/>
  <c r="F18" i="5"/>
  <c r="F56" i="3"/>
  <c r="F52" i="3"/>
  <c r="F53" i="3" s="1"/>
  <c r="F55" i="3"/>
  <c r="H22" i="5"/>
  <c r="H57" i="3"/>
  <c r="H48" i="5"/>
  <c r="H51" i="5" s="1"/>
  <c r="H52" i="5" s="1"/>
  <c r="H35" i="5"/>
  <c r="G29" i="5"/>
  <c r="D64" i="12"/>
  <c r="F22" i="5"/>
  <c r="M57" i="3"/>
  <c r="E35" i="5"/>
  <c r="E48" i="5"/>
  <c r="E51" i="5" s="1"/>
  <c r="E52" i="5" s="1"/>
  <c r="E57" i="3"/>
  <c r="K57" i="3"/>
  <c r="K53" i="3"/>
  <c r="L57" i="3"/>
  <c r="J57" i="3"/>
  <c r="L53" i="3"/>
  <c r="K68" i="3"/>
  <c r="K69" i="3" s="1"/>
  <c r="J68" i="3"/>
  <c r="J69" i="3" s="1"/>
  <c r="L64" i="3"/>
  <c r="M61" i="3"/>
  <c r="M64" i="3" s="1"/>
  <c r="D30" i="5"/>
  <c r="H30" i="5"/>
  <c r="G30" i="5"/>
  <c r="E30" i="5"/>
  <c r="G60" i="4"/>
  <c r="E60" i="4"/>
  <c r="F60" i="4"/>
  <c r="D39" i="22"/>
  <c r="D67" i="22" s="1"/>
  <c r="C49" i="22"/>
  <c r="C68" i="22" s="1"/>
  <c r="C26" i="23" s="1"/>
  <c r="D19" i="22"/>
  <c r="D44" i="22" s="1"/>
  <c r="E64" i="12"/>
  <c r="C32" i="22"/>
  <c r="C66" i="22" s="1"/>
  <c r="E35" i="22"/>
  <c r="E39" i="22" s="1"/>
  <c r="E67" i="22" s="1"/>
  <c r="E25" i="23" s="1"/>
  <c r="E15" i="22"/>
  <c r="E19" i="22" s="1"/>
  <c r="E44" i="22" s="1"/>
  <c r="D48" i="22"/>
  <c r="F47" i="22"/>
  <c r="E25" i="22"/>
  <c r="F21" i="22"/>
  <c r="F27" i="22"/>
  <c r="E31" i="22"/>
  <c r="D25" i="22"/>
  <c r="D31" i="22"/>
  <c r="D24" i="21"/>
  <c r="D18" i="21"/>
  <c r="D30" i="21"/>
  <c r="C31" i="21"/>
  <c r="C46" i="21" s="1"/>
  <c r="F14" i="21"/>
  <c r="E18" i="21"/>
  <c r="F34" i="21"/>
  <c r="E38" i="21"/>
  <c r="E56" i="21" s="1"/>
  <c r="E28" i="21"/>
  <c r="F28" i="21" s="1"/>
  <c r="G28" i="21" s="1"/>
  <c r="H28" i="21" s="1"/>
  <c r="H30" i="21" s="1"/>
  <c r="D38" i="21"/>
  <c r="D56" i="21" s="1"/>
  <c r="E20" i="21"/>
  <c r="J41" i="4"/>
  <c r="J48" i="4"/>
  <c r="J47" i="4"/>
  <c r="L49" i="4"/>
  <c r="K55" i="4"/>
  <c r="K40" i="4"/>
  <c r="L40" i="4"/>
  <c r="L55" i="4"/>
  <c r="K49" i="4"/>
  <c r="J39" i="4"/>
  <c r="M55" i="4"/>
  <c r="M58" i="4" s="1"/>
  <c r="K47" i="4"/>
  <c r="J40" i="4"/>
  <c r="K56" i="4"/>
  <c r="M49" i="4"/>
  <c r="M50" i="4" s="1"/>
  <c r="I58" i="4"/>
  <c r="J56" i="4"/>
  <c r="L47" i="4"/>
  <c r="L56" i="4"/>
  <c r="L41" i="4"/>
  <c r="J57" i="4"/>
  <c r="K41" i="4"/>
  <c r="K39" i="4"/>
  <c r="K48" i="4"/>
  <c r="K57" i="4"/>
  <c r="L39" i="4"/>
  <c r="L48" i="4"/>
  <c r="L57" i="4"/>
  <c r="I50" i="4"/>
  <c r="I42" i="4"/>
  <c r="M42" i="4"/>
  <c r="I54" i="4"/>
  <c r="G44" i="4"/>
  <c r="E52" i="4"/>
  <c r="F52" i="4"/>
  <c r="E44" i="4"/>
  <c r="G52" i="4"/>
  <c r="F44" i="4"/>
  <c r="E62" i="4"/>
  <c r="F62" i="4"/>
  <c r="G62" i="4"/>
  <c r="E16" i="4"/>
  <c r="E21" i="4" s="1"/>
  <c r="F64" i="12"/>
  <c r="D40" i="13"/>
  <c r="D70" i="13"/>
  <c r="D100" i="13"/>
  <c r="B12" i="19"/>
  <c r="G8" i="19" s="1"/>
  <c r="C10" i="19"/>
  <c r="F11" i="12"/>
  <c r="E11" i="12"/>
  <c r="D11" i="12"/>
  <c r="E32" i="13"/>
  <c r="E92" i="13"/>
  <c r="F92" i="13" s="1"/>
  <c r="E62" i="13"/>
  <c r="F48" i="6"/>
  <c r="E48" i="6"/>
  <c r="D48" i="6"/>
  <c r="F34" i="6"/>
  <c r="F41" i="6" s="1"/>
  <c r="E34" i="6"/>
  <c r="E41" i="6" s="1"/>
  <c r="D34" i="6"/>
  <c r="D41" i="6" s="1"/>
  <c r="F14" i="6"/>
  <c r="F23" i="6" s="1"/>
  <c r="E14" i="6"/>
  <c r="E23" i="6" s="1"/>
  <c r="D14" i="6"/>
  <c r="D23" i="6" s="1"/>
  <c r="I85" i="3"/>
  <c r="J85" i="3" s="1"/>
  <c r="K85" i="3" s="1"/>
  <c r="L85" i="3" s="1"/>
  <c r="M85" i="3" s="1"/>
  <c r="M86" i="3"/>
  <c r="H89" i="3"/>
  <c r="G89" i="3"/>
  <c r="F89" i="3"/>
  <c r="E89" i="3"/>
  <c r="D89" i="3"/>
  <c r="D106" i="3"/>
  <c r="C21" i="16"/>
  <c r="I37" i="6"/>
  <c r="J37" i="6" s="1"/>
  <c r="K37" i="6" s="1"/>
  <c r="L37" i="6" s="1"/>
  <c r="M37" i="6" s="1"/>
  <c r="I31" i="6"/>
  <c r="J31" i="6" s="1"/>
  <c r="K31" i="6" s="1"/>
  <c r="L31" i="6" s="1"/>
  <c r="M31" i="6" s="1"/>
  <c r="I21" i="6"/>
  <c r="J21" i="6" s="1"/>
  <c r="K21" i="6" s="1"/>
  <c r="L21" i="6" s="1"/>
  <c r="M21" i="6" s="1"/>
  <c r="C14" i="16"/>
  <c r="D44" i="8"/>
  <c r="D13" i="13"/>
  <c r="D8" i="8"/>
  <c r="D7" i="8"/>
  <c r="H48" i="6"/>
  <c r="G48" i="6"/>
  <c r="H34" i="6"/>
  <c r="H41" i="6" s="1"/>
  <c r="G34" i="6"/>
  <c r="G41" i="6" s="1"/>
  <c r="H14" i="6"/>
  <c r="H23" i="6" s="1"/>
  <c r="G14" i="6"/>
  <c r="G23" i="6" s="1"/>
  <c r="J33" i="5" l="1"/>
  <c r="K33" i="5"/>
  <c r="D14" i="13"/>
  <c r="F7" i="10"/>
  <c r="D47" i="8"/>
  <c r="C25" i="16" s="1"/>
  <c r="H35" i="10"/>
  <c r="G35" i="10" s="1"/>
  <c r="H33" i="10"/>
  <c r="H31" i="10"/>
  <c r="H34" i="10"/>
  <c r="G34" i="10" s="1"/>
  <c r="H32" i="10"/>
  <c r="E7" i="10"/>
  <c r="G7" i="10" s="1"/>
  <c r="H53" i="3"/>
  <c r="G27" i="12"/>
  <c r="C33" i="10"/>
  <c r="E33" i="10" s="1"/>
  <c r="K39" i="7"/>
  <c r="L88" i="3"/>
  <c r="G35" i="5"/>
  <c r="G57" i="3"/>
  <c r="G48" i="5"/>
  <c r="G51" i="5" s="1"/>
  <c r="G52" i="5" s="1"/>
  <c r="H79" i="3"/>
  <c r="J76" i="3"/>
  <c r="J79" i="3" s="1"/>
  <c r="I76" i="3"/>
  <c r="K76" i="3"/>
  <c r="K79" i="3" s="1"/>
  <c r="L76" i="3"/>
  <c r="L79" i="3" s="1"/>
  <c r="F17" i="5"/>
  <c r="F29" i="5"/>
  <c r="D25" i="23"/>
  <c r="K50" i="4"/>
  <c r="M68" i="3"/>
  <c r="M69" i="3" s="1"/>
  <c r="L68" i="3"/>
  <c r="L69" i="3" s="1"/>
  <c r="E38" i="5"/>
  <c r="E10" i="7" s="1"/>
  <c r="E23" i="7" s="1"/>
  <c r="E37" i="5"/>
  <c r="G37" i="5"/>
  <c r="G38" i="5"/>
  <c r="G10" i="7" s="1"/>
  <c r="G23" i="7" s="1"/>
  <c r="H38" i="5"/>
  <c r="H10" i="7" s="1"/>
  <c r="H23" i="7" s="1"/>
  <c r="H37" i="5"/>
  <c r="D38" i="5"/>
  <c r="D10" i="7" s="1"/>
  <c r="D23" i="7" s="1"/>
  <c r="J50" i="4"/>
  <c r="L50" i="4"/>
  <c r="I59" i="4"/>
  <c r="J58" i="4"/>
  <c r="D49" i="22"/>
  <c r="D68" i="22" s="1"/>
  <c r="D26" i="23" s="1"/>
  <c r="C57" i="22"/>
  <c r="C69" i="22" s="1"/>
  <c r="J42" i="4"/>
  <c r="L58" i="4"/>
  <c r="F15" i="22"/>
  <c r="F19" i="22" s="1"/>
  <c r="F44" i="22" s="1"/>
  <c r="F35" i="22"/>
  <c r="F48" i="22" s="1"/>
  <c r="E48" i="22"/>
  <c r="E49" i="22" s="1"/>
  <c r="E68" i="22" s="1"/>
  <c r="E26" i="23" s="1"/>
  <c r="G47" i="22"/>
  <c r="G27" i="22"/>
  <c r="F31" i="22"/>
  <c r="D32" i="22"/>
  <c r="F25" i="22"/>
  <c r="G21" i="22"/>
  <c r="E32" i="22"/>
  <c r="D31" i="21"/>
  <c r="D46" i="21" s="1"/>
  <c r="D57" i="21" s="1"/>
  <c r="C55" i="21"/>
  <c r="C24" i="23" s="1"/>
  <c r="C57" i="21"/>
  <c r="G30" i="21"/>
  <c r="F30" i="21"/>
  <c r="G34" i="21"/>
  <c r="F38" i="21"/>
  <c r="F56" i="21" s="1"/>
  <c r="F18" i="21"/>
  <c r="G14" i="21"/>
  <c r="H14" i="21" s="1"/>
  <c r="F20" i="21"/>
  <c r="E24" i="21"/>
  <c r="E30" i="21"/>
  <c r="H60" i="4"/>
  <c r="K58" i="4"/>
  <c r="K42" i="4"/>
  <c r="H61" i="4"/>
  <c r="I38" i="4"/>
  <c r="I43" i="4" s="1"/>
  <c r="H52" i="4"/>
  <c r="I46" i="4"/>
  <c r="I51" i="4" s="1"/>
  <c r="L42" i="4"/>
  <c r="H44" i="4"/>
  <c r="F16" i="4"/>
  <c r="F21" i="4" s="1"/>
  <c r="F32" i="13"/>
  <c r="G32" i="13" s="1"/>
  <c r="E40" i="13"/>
  <c r="E70" i="13"/>
  <c r="F62" i="13"/>
  <c r="E100" i="13"/>
  <c r="G92" i="13"/>
  <c r="F100" i="13"/>
  <c r="D14" i="8"/>
  <c r="D15" i="8" s="1"/>
  <c r="G7" i="19"/>
  <c r="D82" i="13"/>
  <c r="D54" i="13"/>
  <c r="D112" i="13"/>
  <c r="C23" i="16"/>
  <c r="G50" i="6"/>
  <c r="G52" i="6" s="1"/>
  <c r="E50" i="6"/>
  <c r="E52" i="6" s="1"/>
  <c r="D50" i="6"/>
  <c r="D52" i="6" s="1"/>
  <c r="F50" i="6"/>
  <c r="F52" i="6" s="1"/>
  <c r="L86" i="3"/>
  <c r="K86" i="3"/>
  <c r="J86" i="3"/>
  <c r="H50" i="6"/>
  <c r="H52" i="6" s="1"/>
  <c r="C24" i="16"/>
  <c r="D33" i="8"/>
  <c r="C22" i="16"/>
  <c r="D26" i="8"/>
  <c r="D9" i="8"/>
  <c r="L33" i="5" l="1"/>
  <c r="M33" i="5"/>
  <c r="D15" i="13"/>
  <c r="F31" i="10"/>
  <c r="G31" i="10" s="1"/>
  <c r="I31" i="10" s="1"/>
  <c r="J31" i="10" s="1"/>
  <c r="F33" i="10"/>
  <c r="F32" i="10"/>
  <c r="G32" i="10" s="1"/>
  <c r="I32" i="10" s="1"/>
  <c r="J32" i="10" s="1"/>
  <c r="G33" i="10"/>
  <c r="I33" i="10"/>
  <c r="J33" i="10" s="1"/>
  <c r="S7" i="10"/>
  <c r="T7" i="10"/>
  <c r="R7" i="10"/>
  <c r="M88" i="3"/>
  <c r="M39" i="7" s="1"/>
  <c r="L39" i="7"/>
  <c r="D49" i="7"/>
  <c r="D52" i="7" s="1"/>
  <c r="D44" i="7"/>
  <c r="D46" i="7" s="1"/>
  <c r="E45" i="7" s="1"/>
  <c r="H62" i="4"/>
  <c r="H43" i="3"/>
  <c r="F30" i="5"/>
  <c r="F48" i="5"/>
  <c r="F51" i="5" s="1"/>
  <c r="F52" i="5" s="1"/>
  <c r="F35" i="5"/>
  <c r="F57" i="3"/>
  <c r="H44" i="7"/>
  <c r="H49" i="7"/>
  <c r="H52" i="7" s="1"/>
  <c r="G44" i="7"/>
  <c r="G49" i="7"/>
  <c r="G52" i="7" s="1"/>
  <c r="E44" i="7"/>
  <c r="E49" i="7"/>
  <c r="E52" i="7" s="1"/>
  <c r="I79" i="3"/>
  <c r="I40" i="3"/>
  <c r="I9" i="5"/>
  <c r="J54" i="4"/>
  <c r="J59" i="4" s="1"/>
  <c r="I11" i="5"/>
  <c r="I42" i="3"/>
  <c r="J46" i="4"/>
  <c r="J51" i="4" s="1"/>
  <c r="I41" i="3"/>
  <c r="I10" i="5"/>
  <c r="H39" i="5"/>
  <c r="H43" i="5"/>
  <c r="G39" i="5"/>
  <c r="G43" i="5"/>
  <c r="H44" i="5" s="1"/>
  <c r="E39" i="5"/>
  <c r="E43" i="5"/>
  <c r="D39" i="5"/>
  <c r="D43" i="5"/>
  <c r="C70" i="22"/>
  <c r="C18" i="23" s="1"/>
  <c r="C27" i="23"/>
  <c r="C29" i="23" s="1"/>
  <c r="C39" i="23" s="1"/>
  <c r="C42" i="23" s="1"/>
  <c r="G15" i="22"/>
  <c r="G19" i="22" s="1"/>
  <c r="G44" i="22" s="1"/>
  <c r="G35" i="22"/>
  <c r="G48" i="22" s="1"/>
  <c r="F39" i="22"/>
  <c r="F67" i="22" s="1"/>
  <c r="F25" i="23" s="1"/>
  <c r="F32" i="22"/>
  <c r="F66" i="22" s="1"/>
  <c r="F49" i="22"/>
  <c r="F68" i="22" s="1"/>
  <c r="F26" i="23" s="1"/>
  <c r="D66" i="22"/>
  <c r="D24" i="23" s="1"/>
  <c r="D57" i="22"/>
  <c r="D69" i="22" s="1"/>
  <c r="D27" i="23" s="1"/>
  <c r="E66" i="22"/>
  <c r="E57" i="22"/>
  <c r="E69" i="22" s="1"/>
  <c r="H47" i="22"/>
  <c r="D55" i="21"/>
  <c r="H21" i="22"/>
  <c r="H25" i="22" s="1"/>
  <c r="G25" i="22"/>
  <c r="H27" i="22"/>
  <c r="H31" i="22" s="1"/>
  <c r="G31" i="22"/>
  <c r="H15" i="22"/>
  <c r="H19" i="22" s="1"/>
  <c r="H44" i="22" s="1"/>
  <c r="C58" i="21"/>
  <c r="C16" i="23" s="1"/>
  <c r="C21" i="23" s="1"/>
  <c r="D58" i="21"/>
  <c r="E31" i="21"/>
  <c r="E46" i="21" s="1"/>
  <c r="G20" i="21"/>
  <c r="F24" i="21"/>
  <c r="F31" i="21" s="1"/>
  <c r="F46" i="21" s="1"/>
  <c r="H18" i="21"/>
  <c r="G18" i="21"/>
  <c r="G38" i="21"/>
  <c r="G56" i="21" s="1"/>
  <c r="H34" i="21"/>
  <c r="H38" i="21" s="1"/>
  <c r="H56" i="21" s="1"/>
  <c r="J38" i="4"/>
  <c r="J43" i="4" s="1"/>
  <c r="I61" i="4"/>
  <c r="F40" i="13"/>
  <c r="G16" i="4"/>
  <c r="G21" i="4" s="1"/>
  <c r="G62" i="13"/>
  <c r="H62" i="13" s="1"/>
  <c r="E120" i="13" s="1"/>
  <c r="E45" i="12" s="1"/>
  <c r="F70" i="13"/>
  <c r="H92" i="13"/>
  <c r="G100" i="13"/>
  <c r="G40" i="13"/>
  <c r="H32" i="13"/>
  <c r="G82" i="3"/>
  <c r="H82" i="3"/>
  <c r="D16" i="13"/>
  <c r="D18" i="13"/>
  <c r="H49" i="3" l="1"/>
  <c r="H48" i="3"/>
  <c r="H47" i="3"/>
  <c r="I48" i="3"/>
  <c r="E46" i="7"/>
  <c r="F45" i="7" s="1"/>
  <c r="F37" i="5"/>
  <c r="F38" i="5"/>
  <c r="K54" i="4"/>
  <c r="K59" i="4" s="1"/>
  <c r="J11" i="5"/>
  <c r="J42" i="3"/>
  <c r="I62" i="4"/>
  <c r="I43" i="3"/>
  <c r="I47" i="3" s="1"/>
  <c r="I12" i="5"/>
  <c r="K46" i="4"/>
  <c r="K51" i="4" s="1"/>
  <c r="J41" i="3"/>
  <c r="J10" i="5"/>
  <c r="J40" i="3"/>
  <c r="J9" i="5"/>
  <c r="H35" i="22"/>
  <c r="H39" i="22" s="1"/>
  <c r="H67" i="22" s="1"/>
  <c r="H25" i="23" s="1"/>
  <c r="G39" i="22"/>
  <c r="G67" i="22" s="1"/>
  <c r="G25" i="23" s="1"/>
  <c r="F57" i="22"/>
  <c r="F69" i="22" s="1"/>
  <c r="F27" i="23" s="1"/>
  <c r="D29" i="23"/>
  <c r="D39" i="23" s="1"/>
  <c r="D42" i="23" s="1"/>
  <c r="D43" i="23" s="1"/>
  <c r="D59" i="21"/>
  <c r="D16" i="23"/>
  <c r="D17" i="23" s="1"/>
  <c r="G49" i="22"/>
  <c r="G68" i="22" s="1"/>
  <c r="G26" i="23" s="1"/>
  <c r="E70" i="22"/>
  <c r="E18" i="23" s="1"/>
  <c r="D70" i="22"/>
  <c r="G32" i="22"/>
  <c r="H32" i="22"/>
  <c r="E55" i="21"/>
  <c r="E24" i="23" s="1"/>
  <c r="E57" i="21"/>
  <c r="E27" i="23" s="1"/>
  <c r="G24" i="21"/>
  <c r="G31" i="21" s="1"/>
  <c r="G46" i="21" s="1"/>
  <c r="H20" i="21"/>
  <c r="H24" i="21" s="1"/>
  <c r="H31" i="21" s="1"/>
  <c r="H46" i="21" s="1"/>
  <c r="F55" i="21"/>
  <c r="F24" i="23" s="1"/>
  <c r="F57" i="21"/>
  <c r="K38" i="4"/>
  <c r="K43" i="4" s="1"/>
  <c r="J61" i="4"/>
  <c r="G70" i="13"/>
  <c r="G69" i="13"/>
  <c r="H16" i="4"/>
  <c r="H21" i="4" s="1"/>
  <c r="D69" i="13"/>
  <c r="D99" i="13"/>
  <c r="D39" i="13"/>
  <c r="E39" i="13"/>
  <c r="E69" i="13"/>
  <c r="F39" i="13"/>
  <c r="E99" i="13"/>
  <c r="F99" i="13"/>
  <c r="G39" i="13"/>
  <c r="G99" i="13"/>
  <c r="F69" i="13"/>
  <c r="H100" i="13"/>
  <c r="H99" i="13"/>
  <c r="H70" i="13"/>
  <c r="H69" i="13"/>
  <c r="H39" i="13"/>
  <c r="H40" i="13"/>
  <c r="D120" i="13"/>
  <c r="D45" i="12" s="1"/>
  <c r="Z100" i="16"/>
  <c r="I49" i="3" l="1"/>
  <c r="I54" i="5"/>
  <c r="I55" i="5" s="1"/>
  <c r="I30" i="6"/>
  <c r="I33" i="6"/>
  <c r="I13" i="6"/>
  <c r="I11" i="6"/>
  <c r="I17" i="7" s="1"/>
  <c r="E29" i="23"/>
  <c r="E39" i="23" s="1"/>
  <c r="E42" i="23" s="1"/>
  <c r="F29" i="23"/>
  <c r="F39" i="23" s="1"/>
  <c r="F42" i="23" s="1"/>
  <c r="F43" i="23" s="1"/>
  <c r="H48" i="22"/>
  <c r="H49" i="22" s="1"/>
  <c r="H68" i="22" s="1"/>
  <c r="H26" i="23" s="1"/>
  <c r="F10" i="7"/>
  <c r="F23" i="7" s="1"/>
  <c r="F39" i="5"/>
  <c r="F43" i="5"/>
  <c r="E58" i="21"/>
  <c r="E16" i="23" s="1"/>
  <c r="I11" i="7"/>
  <c r="I20" i="7"/>
  <c r="J12" i="5"/>
  <c r="J13" i="5" s="1"/>
  <c r="I21" i="5"/>
  <c r="I13" i="5"/>
  <c r="I25" i="5"/>
  <c r="I26" i="5" s="1"/>
  <c r="K9" i="5"/>
  <c r="K40" i="3"/>
  <c r="L46" i="4"/>
  <c r="L51" i="4" s="1"/>
  <c r="K10" i="5"/>
  <c r="K41" i="3"/>
  <c r="J62" i="4"/>
  <c r="J43" i="3"/>
  <c r="J49" i="3" s="1"/>
  <c r="L54" i="4"/>
  <c r="L59" i="4" s="1"/>
  <c r="K11" i="5"/>
  <c r="K42" i="3"/>
  <c r="F70" i="22"/>
  <c r="F18" i="23" s="1"/>
  <c r="F19" i="23" s="1"/>
  <c r="D71" i="22"/>
  <c r="D18" i="23"/>
  <c r="E43" i="23"/>
  <c r="H66" i="22"/>
  <c r="H57" i="22"/>
  <c r="H69" i="22" s="1"/>
  <c r="E71" i="22"/>
  <c r="G66" i="22"/>
  <c r="G57" i="22"/>
  <c r="G69" i="22" s="1"/>
  <c r="G55" i="21"/>
  <c r="G57" i="21"/>
  <c r="F58" i="21"/>
  <c r="H57" i="21"/>
  <c r="H55" i="21"/>
  <c r="L38" i="4"/>
  <c r="L43" i="4" s="1"/>
  <c r="K61" i="4"/>
  <c r="D12" i="13"/>
  <c r="C20" i="16"/>
  <c r="D17" i="13"/>
  <c r="F120" i="13"/>
  <c r="F45" i="12" s="1"/>
  <c r="D13" i="8"/>
  <c r="J47" i="3" l="1"/>
  <c r="J48" i="3"/>
  <c r="K47" i="3"/>
  <c r="I13" i="7"/>
  <c r="I51" i="7" s="1"/>
  <c r="I22" i="7"/>
  <c r="J11" i="6"/>
  <c r="J21" i="8"/>
  <c r="I21" i="8"/>
  <c r="I12" i="6"/>
  <c r="I29" i="6"/>
  <c r="I19" i="7" s="1"/>
  <c r="J54" i="5"/>
  <c r="J13" i="7" s="1"/>
  <c r="J51" i="7" s="1"/>
  <c r="J13" i="6"/>
  <c r="J33" i="6"/>
  <c r="J30" i="6"/>
  <c r="J20" i="7" s="1"/>
  <c r="J21" i="5"/>
  <c r="J22" i="5" s="1"/>
  <c r="J23" i="5"/>
  <c r="J24" i="5" s="1"/>
  <c r="I17" i="6"/>
  <c r="I27" i="7"/>
  <c r="E59" i="21"/>
  <c r="I60" i="5"/>
  <c r="I18" i="5"/>
  <c r="I17" i="5" s="1"/>
  <c r="G27" i="23"/>
  <c r="G24" i="23"/>
  <c r="G29" i="23" s="1"/>
  <c r="G39" i="23" s="1"/>
  <c r="G42" i="23" s="1"/>
  <c r="G43" i="23" s="1"/>
  <c r="G44" i="5"/>
  <c r="F44" i="5"/>
  <c r="H27" i="23"/>
  <c r="F44" i="7"/>
  <c r="F46" i="7" s="1"/>
  <c r="G45" i="7" s="1"/>
  <c r="G46" i="7" s="1"/>
  <c r="H45" i="7" s="1"/>
  <c r="H46" i="7" s="1"/>
  <c r="I45" i="7" s="1"/>
  <c r="F49" i="7"/>
  <c r="F52" i="7" s="1"/>
  <c r="H24" i="23"/>
  <c r="F71" i="22"/>
  <c r="J25" i="5"/>
  <c r="J26" i="5" s="1"/>
  <c r="J58" i="5"/>
  <c r="J11" i="7" s="1"/>
  <c r="J81" i="3"/>
  <c r="J27" i="7" s="1"/>
  <c r="J30" i="7" s="1"/>
  <c r="I28" i="5"/>
  <c r="I22" i="5"/>
  <c r="K62" i="4"/>
  <c r="K43" i="3"/>
  <c r="K49" i="3" s="1"/>
  <c r="M54" i="4"/>
  <c r="M59" i="4" s="1"/>
  <c r="L11" i="5"/>
  <c r="L42" i="3"/>
  <c r="L9" i="5"/>
  <c r="L40" i="3"/>
  <c r="M46" i="4"/>
  <c r="M51" i="4" s="1"/>
  <c r="L41" i="3"/>
  <c r="L10" i="5"/>
  <c r="K12" i="5"/>
  <c r="H29" i="23"/>
  <c r="H39" i="23" s="1"/>
  <c r="H42" i="23" s="1"/>
  <c r="D21" i="23"/>
  <c r="D19" i="23"/>
  <c r="E19" i="23"/>
  <c r="E17" i="23"/>
  <c r="E21" i="23"/>
  <c r="F59" i="21"/>
  <c r="F16" i="23"/>
  <c r="G70" i="22"/>
  <c r="H70" i="22"/>
  <c r="H18" i="23" s="1"/>
  <c r="H58" i="21"/>
  <c r="H16" i="23" s="1"/>
  <c r="G58" i="21"/>
  <c r="M38" i="4"/>
  <c r="M43" i="4" s="1"/>
  <c r="L61" i="4"/>
  <c r="M21" i="8"/>
  <c r="L21" i="8"/>
  <c r="K21" i="8"/>
  <c r="K48" i="3" l="1"/>
  <c r="J22" i="7"/>
  <c r="J55" i="5"/>
  <c r="K54" i="5"/>
  <c r="K55" i="5" s="1"/>
  <c r="K33" i="6"/>
  <c r="K13" i="6"/>
  <c r="K30" i="6"/>
  <c r="K20" i="7" s="1"/>
  <c r="J29" i="6"/>
  <c r="J19" i="7" s="1"/>
  <c r="J12" i="6"/>
  <c r="K11" i="6"/>
  <c r="J28" i="5"/>
  <c r="I18" i="7"/>
  <c r="I30" i="7"/>
  <c r="I50" i="7"/>
  <c r="J17" i="6"/>
  <c r="J50" i="7"/>
  <c r="I29" i="5"/>
  <c r="I48" i="5" s="1"/>
  <c r="I51" i="5" s="1"/>
  <c r="J49" i="5"/>
  <c r="J60" i="5" s="1"/>
  <c r="J18" i="5"/>
  <c r="J17" i="5" s="1"/>
  <c r="K58" i="5"/>
  <c r="K11" i="7" s="1"/>
  <c r="K81" i="3"/>
  <c r="M42" i="3"/>
  <c r="M11" i="5"/>
  <c r="L62" i="4"/>
  <c r="L43" i="3"/>
  <c r="L47" i="3" s="1"/>
  <c r="M61" i="4"/>
  <c r="M43" i="3" s="1"/>
  <c r="M9" i="5"/>
  <c r="M40" i="3"/>
  <c r="M47" i="3" s="1"/>
  <c r="K23" i="5"/>
  <c r="K24" i="5" s="1"/>
  <c r="K13" i="5"/>
  <c r="K25" i="5"/>
  <c r="K26" i="5" s="1"/>
  <c r="K21" i="5"/>
  <c r="M41" i="3"/>
  <c r="M10" i="5"/>
  <c r="L12" i="5"/>
  <c r="H43" i="23"/>
  <c r="G71" i="22"/>
  <c r="G18" i="23"/>
  <c r="G19" i="23" s="1"/>
  <c r="G59" i="21"/>
  <c r="G16" i="23"/>
  <c r="H21" i="23"/>
  <c r="F17" i="23"/>
  <c r="F21" i="23"/>
  <c r="H71" i="22"/>
  <c r="H59" i="21"/>
  <c r="L48" i="3" l="1"/>
  <c r="L49" i="3"/>
  <c r="M48" i="3"/>
  <c r="M49" i="3"/>
  <c r="I52" i="5"/>
  <c r="D8" i="19"/>
  <c r="B8" i="19"/>
  <c r="K13" i="7"/>
  <c r="K51" i="7" s="1"/>
  <c r="K22" i="7"/>
  <c r="K29" i="6"/>
  <c r="K19" i="7" s="1"/>
  <c r="K12" i="6"/>
  <c r="K18" i="7" s="1"/>
  <c r="L11" i="6"/>
  <c r="L54" i="5"/>
  <c r="L55" i="5" s="1"/>
  <c r="L13" i="6"/>
  <c r="L30" i="6"/>
  <c r="L20" i="7" s="1"/>
  <c r="L33" i="6"/>
  <c r="I30" i="5"/>
  <c r="I35" i="5"/>
  <c r="I36" i="5" s="1"/>
  <c r="J18" i="7"/>
  <c r="K17" i="6"/>
  <c r="K27" i="7"/>
  <c r="K49" i="5"/>
  <c r="K60" i="5" s="1"/>
  <c r="L58" i="5"/>
  <c r="L11" i="7" s="1"/>
  <c r="L81" i="3"/>
  <c r="K18" i="5"/>
  <c r="K17" i="5" s="1"/>
  <c r="J29" i="5"/>
  <c r="J48" i="5" s="1"/>
  <c r="J51" i="5" s="1"/>
  <c r="J52" i="5" s="1"/>
  <c r="M12" i="5"/>
  <c r="M23" i="5" s="1"/>
  <c r="M24" i="5" s="1"/>
  <c r="M62" i="4"/>
  <c r="L25" i="5"/>
  <c r="L26" i="5" s="1"/>
  <c r="L21" i="5"/>
  <c r="L13" i="5"/>
  <c r="L23" i="5"/>
  <c r="L24" i="5" s="1"/>
  <c r="K22" i="5"/>
  <c r="K28" i="5"/>
  <c r="H19" i="23"/>
  <c r="G17" i="23"/>
  <c r="G21" i="23"/>
  <c r="H17" i="23"/>
  <c r="G54" i="7"/>
  <c r="H53" i="6"/>
  <c r="L13" i="7" l="1"/>
  <c r="L51" i="7" s="1"/>
  <c r="L22" i="7"/>
  <c r="M18" i="5"/>
  <c r="M17" i="5" s="1"/>
  <c r="M25" i="5"/>
  <c r="M26" i="5" s="1"/>
  <c r="M13" i="5"/>
  <c r="L12" i="6"/>
  <c r="L29" i="6"/>
  <c r="L19" i="7" s="1"/>
  <c r="I38" i="5"/>
  <c r="I39" i="5" s="1"/>
  <c r="M11" i="6"/>
  <c r="M54" i="5"/>
  <c r="M13" i="7" s="1"/>
  <c r="M51" i="7" s="1"/>
  <c r="M30" i="6"/>
  <c r="M20" i="7" s="1"/>
  <c r="M13" i="6"/>
  <c r="M33" i="6"/>
  <c r="M21" i="5"/>
  <c r="M22" i="5" s="1"/>
  <c r="L17" i="6"/>
  <c r="L27" i="7"/>
  <c r="K30" i="7"/>
  <c r="K50" i="7"/>
  <c r="L18" i="5"/>
  <c r="L17" i="5" s="1"/>
  <c r="K29" i="5"/>
  <c r="L49" i="5"/>
  <c r="L60" i="5" s="1"/>
  <c r="M58" i="5"/>
  <c r="M11" i="7" s="1"/>
  <c r="M81" i="3"/>
  <c r="J30" i="5"/>
  <c r="J35" i="5"/>
  <c r="J36" i="5" s="1"/>
  <c r="J38" i="5" s="1"/>
  <c r="L28" i="5"/>
  <c r="L22" i="5"/>
  <c r="G53" i="7"/>
  <c r="H86" i="3"/>
  <c r="H90" i="3"/>
  <c r="G86" i="3"/>
  <c r="G90" i="3"/>
  <c r="H53" i="7"/>
  <c r="H54" i="7"/>
  <c r="I10" i="7" l="1"/>
  <c r="I23" i="7" s="1"/>
  <c r="I49" i="7" s="1"/>
  <c r="I52" i="7" s="1"/>
  <c r="I19" i="8" s="1"/>
  <c r="M28" i="5"/>
  <c r="M29" i="5" s="1"/>
  <c r="M48" i="5" s="1"/>
  <c r="M12" i="6"/>
  <c r="M18" i="7" s="1"/>
  <c r="M29" i="6"/>
  <c r="M19" i="7" s="1"/>
  <c r="M22" i="7"/>
  <c r="M55" i="5"/>
  <c r="L29" i="5"/>
  <c r="L48" i="5" s="1"/>
  <c r="L51" i="5" s="1"/>
  <c r="L52" i="5" s="1"/>
  <c r="K30" i="5"/>
  <c r="K48" i="5"/>
  <c r="K51" i="5" s="1"/>
  <c r="K52" i="5" s="1"/>
  <c r="J39" i="5"/>
  <c r="J10" i="7"/>
  <c r="L18" i="7"/>
  <c r="M17" i="6"/>
  <c r="M27" i="7"/>
  <c r="L30" i="7"/>
  <c r="L50" i="7"/>
  <c r="K35" i="5"/>
  <c r="K36" i="5" s="1"/>
  <c r="K38" i="5" s="1"/>
  <c r="K10" i="7" s="1"/>
  <c r="M49" i="5"/>
  <c r="M60" i="5" s="1"/>
  <c r="L30" i="5" l="1"/>
  <c r="M35" i="5"/>
  <c r="M36" i="5" s="1"/>
  <c r="M38" i="5" s="1"/>
  <c r="M10" i="7" s="1"/>
  <c r="L35" i="5"/>
  <c r="L36" i="5" s="1"/>
  <c r="L38" i="5" s="1"/>
  <c r="L10" i="7" s="1"/>
  <c r="M30" i="5"/>
  <c r="M51" i="5"/>
  <c r="M30" i="7"/>
  <c r="M50" i="7"/>
  <c r="K39" i="5"/>
  <c r="M39" i="5" l="1"/>
  <c r="M52" i="5"/>
  <c r="D32" i="8"/>
  <c r="L39" i="5"/>
  <c r="J17" i="7"/>
  <c r="J23" i="7" s="1"/>
  <c r="J49" i="7" s="1"/>
  <c r="J52" i="7" s="1"/>
  <c r="J19" i="8" s="1"/>
  <c r="K17" i="7" l="1"/>
  <c r="K23" i="7" s="1"/>
  <c r="K49" i="7" s="1"/>
  <c r="K52" i="7" s="1"/>
  <c r="K19" i="8" s="1"/>
  <c r="L17" i="7" l="1"/>
  <c r="L23" i="7" s="1"/>
  <c r="L49" i="7" s="1"/>
  <c r="L52" i="7" s="1"/>
  <c r="L19" i="8" s="1"/>
  <c r="M17" i="7" l="1"/>
  <c r="M23" i="7" s="1"/>
  <c r="M49" i="7" l="1"/>
  <c r="M52" i="7" s="1"/>
  <c r="M19" i="8" s="1"/>
  <c r="I34" i="6"/>
  <c r="I41" i="6" s="1"/>
  <c r="J34" i="6" l="1"/>
  <c r="J41" i="6" s="1"/>
  <c r="L34" i="6" l="1"/>
  <c r="L41" i="6" s="1"/>
  <c r="K34" i="6"/>
  <c r="K41" i="6" s="1"/>
  <c r="D21" i="13" l="1"/>
  <c r="E93" i="13" l="1"/>
  <c r="E94" i="13" s="1"/>
  <c r="G33" i="13"/>
  <c r="G34" i="13" s="1"/>
  <c r="F93" i="13"/>
  <c r="F94" i="13" s="1"/>
  <c r="H33" i="13"/>
  <c r="H34" i="13" s="1"/>
  <c r="H93" i="13"/>
  <c r="H94" i="13" s="1"/>
  <c r="G93" i="13"/>
  <c r="G94" i="13" s="1"/>
  <c r="D33" i="13"/>
  <c r="D34" i="13" s="1"/>
  <c r="E33" i="13"/>
  <c r="E34" i="13" s="1"/>
  <c r="F33" i="13"/>
  <c r="F34" i="13" s="1"/>
  <c r="F63" i="13"/>
  <c r="F64" i="13" s="1"/>
  <c r="D63" i="13"/>
  <c r="D64" i="13" s="1"/>
  <c r="G63" i="13"/>
  <c r="G64" i="13" s="1"/>
  <c r="H63" i="13"/>
  <c r="H64" i="13" s="1"/>
  <c r="E63" i="13"/>
  <c r="E64" i="13" s="1"/>
  <c r="D93" i="13"/>
  <c r="D94" i="13" s="1"/>
  <c r="C8" i="19"/>
  <c r="M34" i="6"/>
  <c r="M41" i="6" s="1"/>
  <c r="D68" i="13" l="1"/>
  <c r="G68" i="13"/>
  <c r="F38" i="13"/>
  <c r="F68" i="13"/>
  <c r="D38" i="13"/>
  <c r="E38" i="13"/>
  <c r="G98" i="13"/>
  <c r="H98" i="13"/>
  <c r="H38" i="13"/>
  <c r="E68" i="13"/>
  <c r="G38" i="13"/>
  <c r="D98" i="13"/>
  <c r="F98" i="13"/>
  <c r="H68" i="13"/>
  <c r="E98" i="13"/>
  <c r="I87" i="3"/>
  <c r="E122" i="13"/>
  <c r="E47" i="12" s="1"/>
  <c r="F122" i="13"/>
  <c r="F47" i="12" s="1"/>
  <c r="D122" i="13"/>
  <c r="D47" i="12" s="1"/>
  <c r="I53" i="7"/>
  <c r="I90" i="3" l="1"/>
  <c r="I37" i="7"/>
  <c r="H96" i="13"/>
  <c r="H97" i="13" s="1"/>
  <c r="H101" i="13" s="1"/>
  <c r="D106" i="13" s="1"/>
  <c r="D107" i="13" s="1"/>
  <c r="D66" i="13"/>
  <c r="D67" i="13" s="1"/>
  <c r="H66" i="13"/>
  <c r="H67" i="13" s="1"/>
  <c r="E66" i="13"/>
  <c r="E67" i="13" s="1"/>
  <c r="H36" i="13"/>
  <c r="H37" i="13" s="1"/>
  <c r="G36" i="13"/>
  <c r="G37" i="13" s="1"/>
  <c r="F66" i="13"/>
  <c r="F67" i="13" s="1"/>
  <c r="D36" i="13"/>
  <c r="D37" i="13" s="1"/>
  <c r="F36" i="13"/>
  <c r="F37" i="13" s="1"/>
  <c r="G66" i="13"/>
  <c r="G67" i="13" s="1"/>
  <c r="D96" i="13"/>
  <c r="D97" i="13" s="1"/>
  <c r="F96" i="13"/>
  <c r="F97" i="13" s="1"/>
  <c r="G96" i="13"/>
  <c r="G97" i="13" s="1"/>
  <c r="E96" i="13"/>
  <c r="E97" i="13" s="1"/>
  <c r="E36" i="13"/>
  <c r="E37" i="13" s="1"/>
  <c r="I89" i="3"/>
  <c r="I42" i="5" s="1"/>
  <c r="I43" i="5" s="1"/>
  <c r="F121" i="13"/>
  <c r="F46" i="12" s="1"/>
  <c r="D108" i="13"/>
  <c r="D109" i="13" s="1"/>
  <c r="D121" i="13"/>
  <c r="D46" i="12" s="1"/>
  <c r="D50" i="13"/>
  <c r="D51" i="13" s="1"/>
  <c r="D78" i="13"/>
  <c r="D79" i="13" s="1"/>
  <c r="E121" i="13"/>
  <c r="E46" i="12" s="1"/>
  <c r="I22" i="8"/>
  <c r="F41" i="13" l="1"/>
  <c r="F44" i="13" s="1"/>
  <c r="D41" i="13"/>
  <c r="D44" i="13" s="1"/>
  <c r="F71" i="13"/>
  <c r="F73" i="13" s="1"/>
  <c r="G41" i="13"/>
  <c r="G44" i="13" s="1"/>
  <c r="H41" i="13"/>
  <c r="D48" i="13" s="1"/>
  <c r="D49" i="13" s="1"/>
  <c r="D71" i="13"/>
  <c r="D73" i="13" s="1"/>
  <c r="G71" i="13"/>
  <c r="G73" i="13" s="1"/>
  <c r="E71" i="13"/>
  <c r="E73" i="13" s="1"/>
  <c r="E41" i="13"/>
  <c r="E44" i="13" s="1"/>
  <c r="H71" i="13"/>
  <c r="D76" i="13" s="1"/>
  <c r="D77" i="13" s="1"/>
  <c r="E101" i="13"/>
  <c r="E103" i="13" s="1"/>
  <c r="F101" i="13"/>
  <c r="F103" i="13" s="1"/>
  <c r="G101" i="13"/>
  <c r="G103" i="13" s="1"/>
  <c r="D101" i="13"/>
  <c r="D103" i="13" s="1"/>
  <c r="D9" i="19"/>
  <c r="B9" i="19"/>
  <c r="I46" i="6"/>
  <c r="I45" i="6"/>
  <c r="I45" i="5"/>
  <c r="I44" i="5"/>
  <c r="I41" i="7"/>
  <c r="I44" i="7" s="1"/>
  <c r="I46" i="7" s="1"/>
  <c r="H103" i="13"/>
  <c r="F123" i="13"/>
  <c r="F48" i="12" s="1"/>
  <c r="H44" i="13" l="1"/>
  <c r="D46" i="13" s="1"/>
  <c r="D105" i="13"/>
  <c r="H73" i="13"/>
  <c r="D75" i="13" s="1"/>
  <c r="I48" i="6"/>
  <c r="I50" i="6" s="1"/>
  <c r="J45" i="7"/>
  <c r="I10" i="6"/>
  <c r="I14" i="6" s="1"/>
  <c r="I23" i="6" s="1"/>
  <c r="D123" i="13"/>
  <c r="D48" i="12" s="1"/>
  <c r="D47" i="13"/>
  <c r="D110" i="13"/>
  <c r="D111" i="13"/>
  <c r="E123" i="13"/>
  <c r="E48" i="12" s="1"/>
  <c r="I54" i="7"/>
  <c r="I52" i="6" l="1"/>
  <c r="D52" i="13"/>
  <c r="D124" i="13" s="1"/>
  <c r="D49" i="12" s="1"/>
  <c r="D53" i="13"/>
  <c r="D56" i="13" s="1"/>
  <c r="D58" i="13" s="1"/>
  <c r="D127" i="13" s="1"/>
  <c r="D9" i="12" s="1"/>
  <c r="B7" i="19" s="1"/>
  <c r="D81" i="13"/>
  <c r="D80" i="13"/>
  <c r="D114" i="13"/>
  <c r="D116" i="13" s="1"/>
  <c r="F127" i="13" s="1"/>
  <c r="F9" i="12" s="1"/>
  <c r="F125" i="13"/>
  <c r="F50" i="12" s="1"/>
  <c r="F124" i="13"/>
  <c r="F49" i="12" s="1"/>
  <c r="D113" i="13"/>
  <c r="D115" i="13" s="1"/>
  <c r="F126" i="13" s="1"/>
  <c r="D55" i="13" l="1"/>
  <c r="D57" i="13" s="1"/>
  <c r="D126" i="13" s="1"/>
  <c r="D8" i="12" s="1"/>
  <c r="B6" i="19" s="1"/>
  <c r="D125" i="13"/>
  <c r="D50" i="12" s="1"/>
  <c r="C9" i="19"/>
  <c r="D128" i="13"/>
  <c r="D7" i="19"/>
  <c r="C7" i="19" s="1"/>
  <c r="G9" i="12"/>
  <c r="D83" i="13"/>
  <c r="D85" i="13" s="1"/>
  <c r="E126" i="13" s="1"/>
  <c r="E124" i="13"/>
  <c r="E49" i="12" s="1"/>
  <c r="F128" i="13"/>
  <c r="F8" i="12"/>
  <c r="D84" i="13"/>
  <c r="D86" i="13" s="1"/>
  <c r="E127" i="13" s="1"/>
  <c r="E9" i="12" s="1"/>
  <c r="E125" i="13"/>
  <c r="E50" i="12" s="1"/>
  <c r="G8" i="12" l="1"/>
  <c r="F27" i="20"/>
  <c r="F29" i="20" s="1"/>
  <c r="F63" i="12"/>
  <c r="F65" i="12" s="1"/>
  <c r="D27" i="20"/>
  <c r="D29" i="20" s="1"/>
  <c r="D63" i="12"/>
  <c r="D65" i="12" s="1"/>
  <c r="F129" i="13"/>
  <c r="F10" i="12"/>
  <c r="E128" i="13"/>
  <c r="E8" i="12"/>
  <c r="D6" i="19"/>
  <c r="C6" i="19" s="1"/>
  <c r="D129" i="13"/>
  <c r="D10" i="12"/>
  <c r="D12" i="12" s="1"/>
  <c r="E27" i="20" l="1"/>
  <c r="E29" i="20" s="1"/>
  <c r="E63" i="12"/>
  <c r="E65" i="12" s="1"/>
  <c r="E10" i="12"/>
  <c r="E12" i="12" s="1"/>
  <c r="E129" i="13"/>
  <c r="F12" i="12"/>
  <c r="G12" i="12" s="1"/>
  <c r="G10" i="12"/>
  <c r="J87" i="3" l="1"/>
  <c r="J90" i="3" l="1"/>
  <c r="J37" i="7"/>
  <c r="J22" i="8"/>
  <c r="J53" i="7"/>
  <c r="J89" i="3"/>
  <c r="J42" i="5" s="1"/>
  <c r="J43" i="5" s="1"/>
  <c r="J45" i="6" l="1"/>
  <c r="J46" i="6"/>
  <c r="J45" i="5"/>
  <c r="J44" i="5"/>
  <c r="J41" i="7"/>
  <c r="J44" i="7" s="1"/>
  <c r="J46" i="7" s="1"/>
  <c r="K45" i="7" s="1"/>
  <c r="J10" i="6" l="1"/>
  <c r="J14" i="6" s="1"/>
  <c r="J23" i="6" s="1"/>
  <c r="J48" i="6"/>
  <c r="J50" i="6" s="1"/>
  <c r="J54" i="7"/>
  <c r="J52" i="6" l="1"/>
  <c r="K87" i="3"/>
  <c r="K90" i="3" l="1"/>
  <c r="K37" i="7"/>
  <c r="K22" i="8"/>
  <c r="K53" i="7"/>
  <c r="K46" i="6" l="1"/>
  <c r="K45" i="6"/>
  <c r="K41" i="7"/>
  <c r="K44" i="7" s="1"/>
  <c r="K46" i="7" s="1"/>
  <c r="L45" i="7" s="1"/>
  <c r="K89" i="3"/>
  <c r="K42" i="5" s="1"/>
  <c r="K43" i="5" s="1"/>
  <c r="K48" i="6" l="1"/>
  <c r="K50" i="6" s="1"/>
  <c r="K45" i="5"/>
  <c r="K44" i="5"/>
  <c r="K10" i="6"/>
  <c r="K14" i="6" l="1"/>
  <c r="K23" i="6" s="1"/>
  <c r="K52" i="6" s="1"/>
  <c r="K54" i="7"/>
  <c r="L87" i="3" l="1"/>
  <c r="L90" i="3" l="1"/>
  <c r="L37" i="7"/>
  <c r="L53" i="7"/>
  <c r="L22" i="8"/>
  <c r="L45" i="6" l="1"/>
  <c r="L46" i="6"/>
  <c r="L41" i="7"/>
  <c r="L44" i="7" s="1"/>
  <c r="L46" i="7" s="1"/>
  <c r="M45" i="7" s="1"/>
  <c r="L89" i="3"/>
  <c r="L42" i="5" l="1"/>
  <c r="L43" i="5" s="1"/>
  <c r="L45" i="5" s="1"/>
  <c r="L48" i="6"/>
  <c r="L50" i="6" s="1"/>
  <c r="L10" i="6"/>
  <c r="L44" i="5" l="1"/>
  <c r="L14" i="6"/>
  <c r="L23" i="6" s="1"/>
  <c r="L52" i="6" s="1"/>
  <c r="L54" i="7"/>
  <c r="D34" i="8" l="1"/>
  <c r="D35" i="8" s="1"/>
  <c r="D41" i="8" s="1"/>
  <c r="M87" i="3" l="1"/>
  <c r="M90" i="3" l="1"/>
  <c r="M89" i="3"/>
  <c r="M42" i="5" s="1"/>
  <c r="M43" i="5" s="1"/>
  <c r="M37" i="7"/>
  <c r="M53" i="7"/>
  <c r="D27" i="8" l="1"/>
  <c r="D28" i="8" s="1"/>
  <c r="D29" i="8" s="1"/>
  <c r="D39" i="8" s="1"/>
  <c r="M46" i="6"/>
  <c r="M45" i="6"/>
  <c r="M45" i="5"/>
  <c r="M44" i="5"/>
  <c r="M41" i="7"/>
  <c r="H68" i="8"/>
  <c r="D76" i="8"/>
  <c r="C74" i="8"/>
  <c r="C66" i="8"/>
  <c r="D78" i="8"/>
  <c r="F77" i="8"/>
  <c r="I66" i="8"/>
  <c r="I77" i="8"/>
  <c r="E64" i="8"/>
  <c r="E78" i="8"/>
  <c r="E68" i="8"/>
  <c r="I74" i="8"/>
  <c r="D64" i="8"/>
  <c r="F68" i="8"/>
  <c r="I79" i="8"/>
  <c r="C64" i="8"/>
  <c r="F67" i="8"/>
  <c r="G64" i="8"/>
  <c r="G69" i="8"/>
  <c r="C68" i="8"/>
  <c r="F64" i="8"/>
  <c r="F65" i="8"/>
  <c r="G79" i="8"/>
  <c r="D68" i="8"/>
  <c r="H64" i="8"/>
  <c r="H79" i="8"/>
  <c r="D75" i="8"/>
  <c r="G66" i="8"/>
  <c r="F66" i="8"/>
  <c r="H65" i="8"/>
  <c r="I64" i="8"/>
  <c r="C69" i="8"/>
  <c r="C78" i="8"/>
  <c r="F76" i="8"/>
  <c r="C63" i="8"/>
  <c r="E66" i="8"/>
  <c r="H75" i="8"/>
  <c r="H76" i="8"/>
  <c r="D80" i="8"/>
  <c r="E67" i="8"/>
  <c r="D65" i="8"/>
  <c r="G65" i="8"/>
  <c r="H66" i="8"/>
  <c r="C79" i="8"/>
  <c r="G74" i="8"/>
  <c r="G63" i="8"/>
  <c r="E76" i="8"/>
  <c r="D74" i="8"/>
  <c r="F63" i="8"/>
  <c r="D63" i="8"/>
  <c r="E74" i="8"/>
  <c r="M22" i="8"/>
  <c r="G68" i="8"/>
  <c r="E63" i="8"/>
  <c r="D79" i="8"/>
  <c r="I69" i="8"/>
  <c r="F75" i="8"/>
  <c r="D67" i="8"/>
  <c r="G67" i="8"/>
  <c r="H63" i="8"/>
  <c r="F78" i="8"/>
  <c r="F69" i="8"/>
  <c r="C80" i="8"/>
  <c r="D66" i="8"/>
  <c r="G77" i="8"/>
  <c r="F74" i="8"/>
  <c r="G75" i="8"/>
  <c r="I75" i="8"/>
  <c r="E80" i="8"/>
  <c r="H80" i="8"/>
  <c r="G76" i="8"/>
  <c r="C77" i="8"/>
  <c r="H67" i="8"/>
  <c r="H78" i="8"/>
  <c r="I76" i="8"/>
  <c r="D77" i="8"/>
  <c r="H74" i="8"/>
  <c r="F79" i="8"/>
  <c r="I68" i="8"/>
  <c r="C65" i="8"/>
  <c r="G78" i="8"/>
  <c r="C75" i="8"/>
  <c r="I67" i="8"/>
  <c r="E65" i="8"/>
  <c r="D69" i="8"/>
  <c r="E79" i="8"/>
  <c r="E69" i="8"/>
  <c r="E75" i="8"/>
  <c r="H69" i="8"/>
  <c r="C67" i="8"/>
  <c r="I80" i="8"/>
  <c r="C76" i="8"/>
  <c r="I63" i="8"/>
  <c r="E77" i="8"/>
  <c r="G80" i="8"/>
  <c r="H77" i="8"/>
  <c r="F80" i="8"/>
  <c r="I65" i="8"/>
  <c r="I78" i="8"/>
  <c r="M48" i="6" l="1"/>
  <c r="M50" i="6" s="1"/>
  <c r="M44" i="7"/>
  <c r="M46" i="7" s="1"/>
  <c r="M10" i="6" s="1"/>
  <c r="M14" i="6" s="1"/>
  <c r="M23" i="6" s="1"/>
  <c r="D38" i="8"/>
  <c r="D42" i="8" s="1"/>
  <c r="D56" i="8" s="1"/>
  <c r="M54" i="7"/>
  <c r="M52" i="6" l="1"/>
  <c r="D40" i="8"/>
  <c r="D46" i="8"/>
  <c r="D50" i="8" s="1"/>
  <c r="D53" i="8" s="1"/>
  <c r="D55" i="8" l="1"/>
  <c r="D45" i="8"/>
  <c r="D49" i="8" s="1"/>
  <c r="C16" i="16"/>
  <c r="D82" i="3"/>
  <c r="D52" i="8" l="1"/>
  <c r="C15" i="16"/>
  <c r="C17" i="16" s="1"/>
  <c r="E82" i="3"/>
  <c r="F82" i="3" l="1"/>
  <c r="E90" i="3" l="1"/>
  <c r="E86" i="3"/>
  <c r="E54" i="7"/>
  <c r="E53" i="7"/>
  <c r="D90" i="3" l="1"/>
  <c r="D86" i="3"/>
  <c r="F90" i="3"/>
  <c r="F86" i="3"/>
  <c r="F53" i="7"/>
  <c r="F54" i="7"/>
  <c r="D53" i="7"/>
  <c r="D54" i="7"/>
  <c r="D53" i="6"/>
  <c r="E53" i="6" l="1"/>
  <c r="G53" i="6" l="1"/>
  <c r="F5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tc={32AEC018-287C-0B42-B8F4-311F42327A95}</author>
  </authors>
  <commentList>
    <comment ref="G42" authorId="0" shapeId="0" xr:uid="{32AEC018-287C-0B42-B8F4-311F42327A95}">
      <text>
        <t xml:space="preserve">[Threaded comment]
Your version of Excel allows you to read this threaded comment; however, any edits to it will get removed if the file is opened in a newer version of Excel. Learn more: https://go.microsoft.com/fwlink/?linkid=870924
Comment:
    Based on CAPM which is too punative  for a mature, centenial company with this much cash, and steady FCF conversion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tc={A5A0257C-BD5A-0E45-A18D-B9F776890E31}</author>
    <author>Arijay Mehta</author>
  </authors>
  <commentList>
    <comment ref="D37" authorId="0" shapeId="0" xr:uid="{A5A0257C-BD5A-0E45-A18D-B9F776890E31}">
      <text>
        <t xml:space="preserve">[Threaded comment]
Your version of Excel allows you to read this threaded comment; however, any edits to it will get removed if the file is opened in a newer version of Excel. Learn more: https://go.microsoft.com/fwlink/?linkid=870924
Comment:
    Based on CAPM - punative for mature, industrial machinery, 100 year old company with strong cash balance. </t>
      </text>
    </comment>
    <comment ref="I52" authorId="1" shapeId="0" xr:uid="{2A92E9ED-A475-FC46-B626-65F9C5709732}">
      <text>
        <r>
          <rPr>
            <b/>
            <sz val="10"/>
            <color rgb="FF000000"/>
            <rFont val="Tahoma"/>
            <family val="2"/>
          </rPr>
          <t>Arijay Mehta:</t>
        </r>
        <r>
          <rPr>
            <sz val="10"/>
            <color rgb="FF000000"/>
            <rFont val="Tahoma"/>
            <family val="2"/>
          </rPr>
          <t xml:space="preserve">
FY26E COGS% anchored to FY25A actual (47.5%). Note: Q1 FY26 actual showed GM down 60bps from tariff drag (~$7M product cost impact); mgmt expects pricing actions to offset over the year. Holding FY26E at FY25A run-rate is a soft assumption — if tariffs persist, FY26 GM could be 50-60bps weaker than modeled.</t>
        </r>
      </text>
    </comment>
    <comment ref="I72" authorId="1" shapeId="0" xr:uid="{519D92D8-1D52-DE4D-A56F-B2CDD3094938}">
      <text>
        <r>
          <rPr>
            <b/>
            <sz val="10"/>
            <color rgb="FF000000"/>
            <rFont val="Tahoma"/>
            <family val="2"/>
          </rPr>
          <t>FY26E effective tax rate 19% — FY25A actual was 18.6%. Model holds Base flat at 19%. Note: Q1 FY26 actual ETR was 15% (excess SBC tax benefits + OBBBA bonus depreciation). Q1 ETRs are typically lower than full-year for Graco due to lumpy SBC option exercise tax benefits in Q1; full-year FY26 likely 17-18% (lower than 19% modeled). Conservative to keep 19%.</t>
        </r>
      </text>
    </comment>
    <comment ref="I80" authorId="1" shapeId="0" xr:uid="{E7B783A5-84FB-574C-8AC8-6172E0B94527}">
      <text>
        <r>
          <rPr>
            <b/>
            <sz val="10"/>
            <color rgb="FF000000"/>
            <rFont val="Tahoma"/>
            <family val="2"/>
          </rPr>
          <t>Arijay Mehta:</t>
        </r>
        <r>
          <rPr>
            <sz val="10"/>
            <color rgb="FF000000"/>
            <rFont val="Tahoma"/>
            <family val="2"/>
          </rPr>
          <t xml:space="preserve">
</t>
        </r>
        <r>
          <rPr>
            <sz val="10"/>
            <color rgb="FF000000"/>
            <rFont val="Tahoma"/>
            <family val="2"/>
          </rPr>
          <t>FY26E Capex % of revenue: 6.2% — FY25A actual was 2.0%, an anomaly (Graco completed heavy FY21-23 buildout cycle). FY26 elevated due to mgmt-guided $90-100M base capex + $50M one-time facility expansion = ~$145M / $2.36B = 6.2%. Normalizes to scenario terminal by FY30.</t>
        </r>
      </text>
    </comment>
    <comment ref="I81" authorId="1" shapeId="0" xr:uid="{B0D0D53B-6A1D-9449-BF63-8B2806D0B0F8}">
      <text>
        <r>
          <rPr>
            <b/>
            <sz val="10"/>
            <color rgb="FF000000"/>
            <rFont val="Tahoma"/>
            <family val="2"/>
          </rPr>
          <t>Arijay Mehta:</t>
        </r>
        <r>
          <rPr>
            <sz val="10"/>
            <color rgb="FF000000"/>
            <rFont val="Tahoma"/>
            <family val="2"/>
          </rPr>
          <t xml:space="preserve">
Capex $ = Capex % × Revenue. FY26E spike reflects facility expansion.</t>
        </r>
      </text>
    </comment>
    <comment ref="I82" authorId="1" shapeId="0" xr:uid="{FBC3CAD6-B48B-C144-89DE-E2B6D92B09AF}">
      <text>
        <r>
          <rPr>
            <b/>
            <sz val="10"/>
            <color rgb="FF000000"/>
            <rFont val="Tahoma"/>
            <family val="2"/>
          </rPr>
          <t>Arijay Mehta:</t>
        </r>
        <r>
          <rPr>
            <sz val="10"/>
            <color rgb="FF000000"/>
            <rFont val="Tahoma"/>
            <family val="2"/>
          </rPr>
          <t xml:space="preserve">
</t>
        </r>
        <r>
          <rPr>
            <sz val="10"/>
            <color rgb="FF000000"/>
            <rFont val="Tahoma"/>
            <family val="2"/>
          </rPr>
          <t>FY26E SBC % anchored to FY25A actual (1.53%). Reasonable steady-state — SBC scales with employee comp + stock price. Held flat through forecast (no guidance to suggest material change).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G24" authorId="0" shapeId="0" xr:uid="{9A34A177-645F-754C-B60B-C7DE30E7E75A}">
      <text>
        <r>
          <rPr>
            <b/>
            <sz val="10"/>
            <color rgb="FF000000"/>
            <rFont val="Tahoma"/>
            <family val="2"/>
          </rPr>
          <t>Arijay Mehta:</t>
        </r>
        <r>
          <rPr>
            <sz val="10"/>
            <color rgb="FF000000"/>
            <rFont val="Tahoma"/>
            <family val="2"/>
          </rPr>
          <t xml:space="preserve">
Source: Graco FY2025 10-K, Net sales by geographic region (FY24 restated Americas)</t>
        </r>
      </text>
    </comment>
    <comment ref="H24" authorId="0" shapeId="0" xr:uid="{980E96A4-9228-4544-BF4E-BDD656EA7F29}">
      <text>
        <r>
          <rPr>
            <b/>
            <sz val="10"/>
            <color rgb="FF000000"/>
            <rFont val="Tahoma"/>
            <family val="2"/>
          </rPr>
          <t>Arijay Mehta:</t>
        </r>
        <r>
          <rPr>
            <sz val="10"/>
            <color rgb="FF000000"/>
            <rFont val="Tahoma"/>
            <family val="2"/>
          </rPr>
          <t xml:space="preserve">
</t>
        </r>
        <r>
          <rPr>
            <sz val="10"/>
            <color rgb="FF000000"/>
            <rFont val="Tahoma"/>
            <family val="2"/>
          </rPr>
          <t>Source: Graco FY2025 10-K, https://www.sec.gov/Archives/edgar/data/42888/000004288826000081/ggg-20251226.htm</t>
        </r>
      </text>
    </comment>
    <comment ref="G25" authorId="0" shapeId="0" xr:uid="{88D1496E-65ED-1E47-BDD2-E41D7AB0D2BA}">
      <text>
        <r>
          <rPr>
            <b/>
            <sz val="10"/>
            <color rgb="FF000000"/>
            <rFont val="Tahoma"/>
            <family val="2"/>
          </rPr>
          <t>Arijay Mehta:</t>
        </r>
        <r>
          <rPr>
            <sz val="10"/>
            <color rgb="FF000000"/>
            <rFont val="Tahoma"/>
            <family val="2"/>
          </rPr>
          <t xml:space="preserve">
Source: Graco FY2025 10-K (EMEA)</t>
        </r>
      </text>
    </comment>
    <comment ref="H25" authorId="0" shapeId="0" xr:uid="{1D0DAF1F-A327-9944-9B59-5D0AE09B0683}">
      <text>
        <r>
          <rPr>
            <b/>
            <sz val="10"/>
            <color rgb="FF000000"/>
            <rFont val="Tahoma"/>
            <family val="2"/>
          </rPr>
          <t>Arijay Mehta:</t>
        </r>
        <r>
          <rPr>
            <sz val="10"/>
            <color rgb="FF000000"/>
            <rFont val="Tahoma"/>
            <family val="2"/>
          </rPr>
          <t xml:space="preserve">
Source: Graco FY2025 10-K</t>
        </r>
      </text>
    </comment>
    <comment ref="G26" authorId="0" shapeId="0" xr:uid="{B5C610B0-5821-1441-A111-D5B683D519D4}">
      <text>
        <r>
          <rPr>
            <b/>
            <sz val="10"/>
            <color rgb="FF000000"/>
            <rFont val="Tahoma"/>
            <family val="2"/>
          </rPr>
          <t>Arijay Mehta:</t>
        </r>
        <r>
          <rPr>
            <sz val="10"/>
            <color rgb="FF000000"/>
            <rFont val="Tahoma"/>
            <family val="2"/>
          </rPr>
          <t xml:space="preserve">
Source: Graco FY2025 10-K (Asia Pacific)</t>
        </r>
      </text>
    </comment>
    <comment ref="H26" authorId="0" shapeId="0" xr:uid="{D540778B-E9A6-A941-9B3C-3AE0D7A263BA}">
      <text>
        <r>
          <rPr>
            <b/>
            <sz val="10"/>
            <color rgb="FF000000"/>
            <rFont val="Tahoma"/>
            <family val="2"/>
          </rPr>
          <t>Arijay Mehta:</t>
        </r>
        <r>
          <rPr>
            <sz val="10"/>
            <color rgb="FF000000"/>
            <rFont val="Tahoma"/>
            <family val="2"/>
          </rPr>
          <t xml:space="preserve">
Source: Graco FY2025 10-K</t>
        </r>
      </text>
    </comment>
    <comment ref="G27" authorId="0" shapeId="0" xr:uid="{B8D976C0-FD65-0441-AEC2-33F969697A44}">
      <text>
        <r>
          <rPr>
            <b/>
            <sz val="10"/>
            <color rgb="FF000000"/>
            <rFont val="Tahoma"/>
            <family val="2"/>
          </rPr>
          <t>Arijay Mehta:</t>
        </r>
        <r>
          <rPr>
            <sz val="10"/>
            <color rgb="FF000000"/>
            <rFont val="Tahoma"/>
            <family val="2"/>
          </rPr>
          <t xml:space="preserve">
</t>
        </r>
        <r>
          <rPr>
            <sz val="10"/>
            <color rgb="FF000000"/>
            <rFont val="Tahoma"/>
            <family val="2"/>
          </rPr>
          <t>Graco reports only 3 regions (Americas / EMEA / Asia Pacific). 'Other Americas' not 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Arijay Mehta</author>
    <author>tc={1556FA7A-4644-364B-9EB1-C5A3E759A02B}</author>
    <author>tc={449353DA-7C3F-5D43-99E9-7E356AC032B3}</author>
    <author>tc={172FF6D9-6533-3C44-B092-68141B1C5AC8}</author>
    <author>tc={3E302816-7FC0-DE4B-9BF2-3EB9B88AE882}</author>
    <author>tc={0AD4A14F-9530-D449-B9C6-95657C14CDF5}</author>
  </authors>
  <commentList>
    <comment ref="I34" authorId="0" shapeId="0" xr:uid="{755D2747-9D50-FD45-AE3B-CC8088A15E98}">
      <text>
        <r>
          <rPr>
            <b/>
            <sz val="10"/>
            <color rgb="FF000000"/>
            <rFont val="Tahoma"/>
            <family val="2"/>
          </rPr>
          <t>Arijay Mehta:</t>
        </r>
        <r>
          <rPr>
            <sz val="10"/>
            <color rgb="FF000000"/>
            <rFont val="Tahoma"/>
            <family val="2"/>
          </rPr>
          <t xml:space="preserve">
</t>
        </r>
        <r>
          <rPr>
            <sz val="10"/>
            <color rgb="FF000000"/>
            <rFont val="Tahoma"/>
            <family val="2"/>
          </rPr>
          <t>5-year historical average of FY21A-FY25A. Line is volatile (FX, pension settlement charges, gains on sale, interest income on cash) — averaging across the cycle is the most defensible forecast since the noise tends to cancel out. Override if specific view warranted.</t>
        </r>
      </text>
    </comment>
    <comment ref="D37" authorId="1" shapeId="0" xr:uid="{1556FA7A-4644-364B-9EB1-C5A3E759A02B}">
      <text>
        <t>[Threaded comment]
Your version of Excel allows you to read this threaded comment; however, any edits to it will get removed if the file is opened in a newer version of Excel. Learn more: https://go.microsoft.com/fwlink/?linkid=870924
Comment:
    heavy SBC benefits</t>
      </text>
    </comment>
    <comment ref="E37" authorId="2" shapeId="0" xr:uid="{449353DA-7C3F-5D43-99E9-7E356AC032B3}">
      <text>
        <t>[Threaded comment]
Your version of Excel allows you to read this threaded comment; however, any edits to it will get removed if the file is opened in a newer version of Excel. Learn more: https://go.microsoft.com/fwlink/?linkid=870924
Comment:
    pension settlement timing</t>
      </text>
    </comment>
    <comment ref="F37" authorId="3" shapeId="0" xr:uid="{172FF6D9-6533-3C44-B092-68141B1C5AC8}">
      <text>
        <t>[Threaded comment]
Your version of Excel allows you to read this threaded comment; however, any edits to it will get removed if the file is opened in a newer version of Excel. Learn more: https://go.microsoft.com/fwlink/?linkid=870924
Comment:
    SBC benefits + some pension favorability</t>
      </text>
    </comment>
    <comment ref="G37" authorId="4" shapeId="0" xr:uid="{3E302816-7FC0-DE4B-9BF2-3EB9B88AE882}">
      <text>
        <t>[Threaded comment]
Your version of Excel allows you to read this threaded comment; however, any edits to it will get removed if the file is opened in a newer version of Excel. Learn more: https://go.microsoft.com/fwlink/?linkid=870924
Comment:
    moderate SBC benefits</t>
      </text>
    </comment>
    <comment ref="H37" authorId="5" shapeId="0" xr:uid="{0AD4A14F-9530-D449-B9C6-95657C14CDF5}">
      <text>
        <t>[Threaded comment]
Your version of Excel allows you to read this threaded comment; however, any edits to it will get removed if the file is opened in a newer version of Excel. Learn more: https://go.microsoft.com/fwlink/?linkid=870924
Comment:
    OBBBA timing + SBC benefits</t>
      </text>
    </comment>
    <comment ref="I42" authorId="0" shapeId="0" xr:uid="{46220DDC-2742-334B-ACCF-174A4FD41DCF}">
      <text>
        <r>
          <rPr>
            <b/>
            <sz val="10"/>
            <color rgb="FF000000"/>
            <rFont val="Tahoma"/>
            <family val="2"/>
          </rPr>
          <t>Arijay Mehta:</t>
        </r>
        <r>
          <rPr>
            <sz val="10"/>
            <color rgb="FF000000"/>
            <rFont val="Tahoma"/>
            <family val="2"/>
          </rPr>
          <t xml:space="preserve">
</t>
        </r>
        <r>
          <rPr>
            <sz val="10"/>
            <color rgb="FF000000"/>
            <rFont val="Tahoma"/>
            <family val="2"/>
          </rPr>
          <t>Diluted shares = Assumptions row 82, which dynamically computes share count from buyback dollars / market price + SBC / market price. Sensitive to share price assumption at Assumptions!I78.</t>
        </r>
      </text>
    </comment>
    <comment ref="I45" authorId="0" shapeId="0" xr:uid="{A5BEA4DE-82C3-A741-B910-05915894AFAA}">
      <text>
        <r>
          <rPr>
            <b/>
            <sz val="10"/>
            <color rgb="FF000000"/>
            <rFont val="Tahoma"/>
            <family val="2"/>
          </rPr>
          <t>Arijay Mehta:</t>
        </r>
        <r>
          <rPr>
            <sz val="10"/>
            <color rgb="FF000000"/>
            <rFont val="Tahoma"/>
            <family val="2"/>
          </rPr>
          <t xml:space="preserve">
</t>
        </r>
        <r>
          <rPr>
            <sz val="10"/>
            <color rgb="FF000000"/>
            <rFont val="Tahoma"/>
            <family val="2"/>
          </rPr>
          <t>Adjusted Diluted EPS = GAAP EPS in the forecast (no one-time charges modeled). Historically Graco discloses adjusted EPS excluding pension settlement, contingent consideration, impairment, gain on sale, and excess SBC tax benefits.</t>
        </r>
      </text>
    </comment>
    <comment ref="I49" authorId="0" shapeId="0" xr:uid="{DBC6145B-D5DE-5841-B223-C8D0661730D2}">
      <text>
        <r>
          <rPr>
            <b/>
            <sz val="10"/>
            <color rgb="FF000000"/>
            <rFont val="Tahoma"/>
            <family val="2"/>
          </rPr>
          <t>Total D&amp;A = Depreciation + Amortization (split below at rows 58-59)</t>
        </r>
      </text>
    </comment>
    <comment ref="D58" authorId="0" shapeId="0" xr:uid="{FB227311-451B-E84D-801B-938F0BDB0B84}">
      <text>
        <r>
          <rPr>
            <b/>
            <sz val="10"/>
            <color rgb="FF000000"/>
            <rFont val="Tahoma"/>
            <family val="2"/>
          </rPr>
          <t>Arijay Mehta:</t>
        </r>
        <r>
          <rPr>
            <sz val="10"/>
            <color rgb="FF000000"/>
            <rFont val="Tahoma"/>
            <family val="2"/>
          </rPr>
          <t xml:space="preserve">
</t>
        </r>
        <r>
          <rPr>
            <sz val="10"/>
            <color rgb="FF000000"/>
            <rFont val="Tahoma"/>
            <family val="2"/>
          </rPr>
          <t>Depreciation: estimated split; D&amp;A net of amortization. Sources: FY21-25 10-Ks</t>
        </r>
      </text>
    </comment>
    <comment ref="I58" authorId="0" shapeId="0" xr:uid="{172678EA-15BE-1242-AD43-0F30CF74BDE4}">
      <text>
        <r>
          <rPr>
            <b/>
            <sz val="10"/>
            <color rgb="FF000000"/>
            <rFont val="Tahoma"/>
            <family val="2"/>
          </rPr>
          <t>Arijay Mehta:</t>
        </r>
        <r>
          <rPr>
            <sz val="10"/>
            <color rgb="FF000000"/>
            <rFont val="Tahoma"/>
            <family val="2"/>
          </rPr>
          <t xml:space="preserve">
</t>
        </r>
        <r>
          <rPr>
            <sz val="10"/>
            <color rgb="FF000000"/>
            <rFont val="Tahoma"/>
            <family val="2"/>
          </rPr>
          <t>Depreciation: 2.7% of revenue, in line with FY25A and historical norm. Scales with PP&amp;E base.</t>
        </r>
      </text>
    </comment>
    <comment ref="D59" authorId="0" shapeId="0" xr:uid="{85620F2C-6E61-EA44-8A84-373246ADE304}">
      <text>
        <r>
          <rPr>
            <b/>
            <sz val="10"/>
            <color rgb="FF000000"/>
            <rFont val="Tahoma"/>
            <family val="2"/>
          </rPr>
          <t>Arijay Mehta:</t>
        </r>
        <r>
          <rPr>
            <sz val="10"/>
            <color rgb="FF000000"/>
            <rFont val="Tahoma"/>
            <family val="2"/>
          </rPr>
          <t xml:space="preserve">
Amortization of intangibles: residual after depreciation. Source: FY21-25 10-Ks</t>
        </r>
      </text>
    </comment>
    <comment ref="I59" authorId="0" shapeId="0" xr:uid="{0B830952-9387-1C43-A2C2-E39EBA65E568}">
      <text>
        <r>
          <rPr>
            <b/>
            <sz val="10"/>
            <color rgb="FF000000"/>
            <rFont val="Tahoma"/>
            <family val="2"/>
          </rPr>
          <t>Arijay Mehta:</t>
        </r>
        <r>
          <rPr>
            <sz val="10"/>
            <color rgb="FF000000"/>
            <rFont val="Tahoma"/>
            <family val="2"/>
          </rPr>
          <t xml:space="preserve">
</t>
        </r>
        <r>
          <rPr>
            <sz val="10"/>
            <color rgb="FF000000"/>
            <rFont val="Tahoma"/>
            <family val="2"/>
          </rPr>
          <t>Amortization of intangibles: held flat in FY26 at FY25 level; declines $7M/yr thereafter as ~7-yr useful life intangibles run off (assumes no new M&amp;A). Override if M&amp;A assumed.</t>
        </r>
      </text>
    </comment>
    <comment ref="J59" authorId="0" shapeId="0" xr:uid="{36B0A8C3-A5C6-5A48-A0B3-18095933C1EB}">
      <text>
        <r>
          <rPr>
            <b/>
            <sz val="10"/>
            <color rgb="FF000000"/>
            <rFont val="Tahoma"/>
            <family val="2"/>
          </rPr>
          <t>Arijay Mehta:</t>
        </r>
        <r>
          <rPr>
            <sz val="10"/>
            <color rgb="FF000000"/>
            <rFont val="Tahoma"/>
            <family val="2"/>
          </rPr>
          <t xml:space="preserve">
</t>
        </r>
        <r>
          <rPr>
            <sz val="10"/>
            <color rgb="FF000000"/>
            <rFont val="Tahoma"/>
            <family val="2"/>
          </rPr>
          <t>Declining $7M/yr from useful life roll-off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I18" authorId="0" shapeId="0" xr:uid="{CCC20013-EEFD-C54E-8106-94DE6AC683B7}">
      <text>
        <r>
          <rPr>
            <b/>
            <sz val="10"/>
            <color rgb="FF000000"/>
            <rFont val="Tahoma"/>
            <family val="2"/>
          </rPr>
          <t>Arijay Mehta:</t>
        </r>
        <r>
          <rPr>
            <sz val="10"/>
            <color rgb="FF000000"/>
            <rFont val="Tahoma"/>
            <family val="2"/>
          </rPr>
          <t xml:space="preserve">
Goodwill roll-forward: prior + 55% of acquisition spend (rest hits intangibles)</t>
        </r>
      </text>
    </comment>
    <comment ref="I19" authorId="0" shapeId="0" xr:uid="{97CA4DE1-09F8-F740-B043-021AECC5EF74}">
      <text>
        <r>
          <rPr>
            <b/>
            <sz val="10"/>
            <color rgb="FF000000"/>
            <rFont val="Tahoma"/>
            <family val="2"/>
          </rPr>
          <t>Arijay Mehta:</t>
        </r>
        <r>
          <rPr>
            <sz val="10"/>
            <color rgb="FF000000"/>
            <rFont val="Tahoma"/>
            <family val="2"/>
          </rPr>
          <t xml:space="preserve">
Intangibles roll-forward: prior - amortization + 45% of acquisition spend (new acquired intangibles)</t>
        </r>
      </text>
    </comment>
    <comment ref="I45" authorId="0" shapeId="0" xr:uid="{8188C647-E557-FC47-9B45-435535F57C7D}">
      <text>
        <r>
          <rPr>
            <b/>
            <sz val="10"/>
            <color rgb="FF000000"/>
            <rFont val="Tahoma"/>
            <family val="2"/>
          </rPr>
          <t>Arijay Mehta:</t>
        </r>
        <r>
          <rPr>
            <sz val="10"/>
            <color rgb="FF000000"/>
            <rFont val="Tahoma"/>
            <family val="2"/>
          </rPr>
          <t xml:space="preserve">
APIC roll: prior + SBC + Stock issued + Buybacks (neg) + Tax/share settle (neg). Floored at zero — GAAP doesn't allow negative APIC. Any overflow (when buybacks exceed available APIC) is charged to Retained Earnings instead.</t>
        </r>
      </text>
    </comment>
    <comment ref="I46" authorId="0" shapeId="0" xr:uid="{B1A0DF4F-5125-E847-8540-DCF319C61443}">
      <text>
        <r>
          <rPr>
            <b/>
            <sz val="10"/>
            <color rgb="FF000000"/>
            <rFont val="Tahoma"/>
            <family val="2"/>
          </rPr>
          <t>Arijay Mehta:</t>
        </r>
        <r>
          <rPr>
            <sz val="10"/>
            <color rgb="FF000000"/>
            <rFont val="Tahoma"/>
            <family val="2"/>
          </rPr>
          <t xml:space="preserve">
RE roll: prior + Net income + Dividends (neg) + APIC overflow (neg, only triggers when APIC would go below zero). Once APIC hits zero, additional buyback charges flow here instead.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I19" authorId="0" shapeId="0" xr:uid="{D1C9D4A0-ADBA-E74F-A71B-A38CECB201C1}">
      <text>
        <r>
          <rPr>
            <b/>
            <sz val="10"/>
            <color rgb="FF000000"/>
            <rFont val="Tahoma"/>
            <family val="2"/>
          </rPr>
          <t>Arijay Mehta:</t>
        </r>
        <r>
          <rPr>
            <sz val="10"/>
            <color rgb="FF000000"/>
            <rFont val="Tahoma"/>
            <family val="2"/>
          </rPr>
          <t xml:space="preserve">
</t>
        </r>
        <r>
          <rPr>
            <sz val="10"/>
            <color rgb="FF000000"/>
            <rFont val="Tahoma"/>
            <family val="2"/>
          </rPr>
          <t>FCF for valuation = CFO - Capex - SBC + Acquisitions (negative). Acquisitions are real cash outflow needed to support revenue growth assumptions.</t>
        </r>
      </text>
    </comment>
    <comment ref="D51" authorId="0" shapeId="0" xr:uid="{B1C86AB0-971B-7B46-A2D6-F6BDFF7C2405}">
      <text>
        <r>
          <rPr>
            <b/>
            <sz val="10"/>
            <color rgb="FF000000"/>
            <rFont val="Tahoma"/>
            <family val="2"/>
          </rPr>
          <t>Arijay Mehta:</t>
        </r>
        <r>
          <rPr>
            <sz val="10"/>
            <color rgb="FF000000"/>
            <rFont val="Tahoma"/>
            <family val="2"/>
          </rPr>
          <t xml:space="preserve">
</t>
        </r>
        <r>
          <rPr>
            <sz val="10"/>
            <color rgb="FF000000"/>
            <rFont val="Tahoma"/>
            <family val="2"/>
          </rPr>
          <t>Source: Graco IR / Yahoo Finance, GGG NYSE close ~$81-84 range (Apr 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J7" authorId="0" shapeId="0" xr:uid="{7B50BF90-9457-9D41-BD18-4B249D473EA5}">
      <text>
        <r>
          <rPr>
            <b/>
            <sz val="10"/>
            <color rgb="FF000000"/>
            <rFont val="Tahoma"/>
            <family val="2"/>
          </rPr>
          <t>Arijay Mehta:</t>
        </r>
        <r>
          <rPr>
            <sz val="10"/>
            <color rgb="FF000000"/>
            <rFont val="Tahoma"/>
            <family val="2"/>
          </rPr>
          <t xml:space="preserve">
</t>
        </r>
        <r>
          <rPr>
            <sz val="10"/>
            <color rgb="FF000000"/>
            <rFont val="Tahoma"/>
            <family val="2"/>
          </rPr>
          <t>FCF = CFO + Capex (Capex is negative on CF row 50). Peer-comparable basis (does NOT subtract SBC).</t>
        </r>
      </text>
    </comment>
    <comment ref="O7" authorId="0" shapeId="0" xr:uid="{44DED4AE-B513-B249-8E90-83370BC9339C}">
      <text>
        <r>
          <rPr>
            <b/>
            <sz val="10"/>
            <color rgb="FF000000"/>
            <rFont val="Tahoma"/>
            <family val="2"/>
          </rPr>
          <t>Arijay Mehta:</t>
        </r>
        <r>
          <rPr>
            <sz val="10"/>
            <color rgb="FF000000"/>
            <rFont val="Tahoma"/>
            <family val="2"/>
          </rPr>
          <t xml:space="preserve">
FCF/Share on peer-comparable basis (FCF excluding SBC adjustment). Match peers' reported FCF.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D20" authorId="0" shapeId="0" xr:uid="{9BA25A94-8F7D-F343-A36B-A6BD2BBD4B43}">
      <text>
        <r>
          <rPr>
            <b/>
            <sz val="10"/>
            <color rgb="FF000000"/>
            <rFont val="Tahoma"/>
            <family val="2"/>
          </rPr>
          <t>Arijay Mehta:</t>
        </r>
        <r>
          <rPr>
            <sz val="10"/>
            <color rgb="FF000000"/>
            <rFont val="Tahoma"/>
            <family val="2"/>
          </rPr>
          <t xml:space="preserve">
FY26E mgmt guide ~$5.76-5.83B... wait that was Brinker. For Graco, FY26E forecast revenue ~$2.36B (5.6% growth)</t>
        </r>
      </text>
    </comment>
    <comment ref="D21" authorId="0" shapeId="0" xr:uid="{8C46685C-292B-8842-B49B-57EF6341A653}">
      <text>
        <r>
          <rPr>
            <b/>
            <sz val="10"/>
            <color rgb="FF000000"/>
            <rFont val="Tahoma"/>
            <family val="2"/>
          </rPr>
          <t>Arijay Mehta:</t>
        </r>
        <r>
          <rPr>
            <sz val="10"/>
            <color rgb="FF000000"/>
            <rFont val="Tahoma"/>
            <family val="2"/>
          </rPr>
          <t xml:space="preserve">
</t>
        </r>
        <r>
          <rPr>
            <sz val="10"/>
            <color rgb="FF000000"/>
            <rFont val="Tahoma"/>
            <family val="2"/>
          </rPr>
          <t>FY26E EBITDA margin implied by management guidance (from Income Statement). Used as the anchor for linear interpolation toward each scenario's terminal margin in FY30E. This replaces the prior FY25A anchor to better mirror main-model behavior where FY26E is guidance-driven.</t>
        </r>
      </text>
    </comment>
    <comment ref="D25" authorId="0" shapeId="0" xr:uid="{4D8E1A0C-AFDF-0744-A6C5-158D6E6B4FB7}">
      <text>
        <r>
          <rPr>
            <b/>
            <sz val="10"/>
            <color rgb="FF000000"/>
            <rFont val="Tahoma"/>
            <family val="2"/>
          </rPr>
          <t>Arijay Mehta:</t>
        </r>
        <r>
          <rPr>
            <sz val="10"/>
            <color rgb="FF000000"/>
            <rFont val="Tahoma"/>
            <family val="2"/>
          </rPr>
          <t xml:space="preserve">
Terminal EBITDA margin = 100 − (F&amp;B+Labor+RestExp) × (Co Sales / Total Revenue) − G&amp;A. Franchise uplift reflects that restaurant-level costs apply to Company-owned sales only (~98.7% of total) while franchise revenue drops through near-100%. This mirrors the main model's margin math.</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C9" authorId="0" shapeId="0" xr:uid="{E3B74C4D-3A93-E449-B583-D34B168E9AC5}">
      <text>
        <r>
          <rPr>
            <sz val="10"/>
            <color rgb="FF000000"/>
            <rFont val="Tahoma"/>
            <family val="2"/>
          </rPr>
          <t>Update this manually every time you refresh the snapshot. If this date looks old, the numbers below are stale.</t>
        </r>
      </text>
    </comment>
    <comment ref="D15" authorId="0" shapeId="0" xr:uid="{1E838588-FB19-9B45-94C3-6D339C32D498}">
      <text>
        <r>
          <rPr>
            <b/>
            <sz val="10"/>
            <color rgb="FF000000"/>
            <rFont val="Tahoma"/>
            <family val="2"/>
          </rPr>
          <t>Arijay Mehta:</t>
        </r>
        <r>
          <rPr>
            <sz val="10"/>
            <color rgb="FF000000"/>
            <rFont val="Tahoma"/>
            <family val="2"/>
          </rPr>
          <t xml:space="preserve">
Stale Brinker snapshot — needs Graco refresh</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B10" authorId="0" shapeId="0" xr:uid="{6C60679D-4F21-2F44-B04F-AC3C23E0558A}">
      <text>
        <r>
          <rPr>
            <b/>
            <sz val="10"/>
            <color rgb="FF000000"/>
            <rFont val="Tahoma"/>
            <family val="2"/>
          </rPr>
          <t>Arijay Mehta:</t>
        </r>
        <r>
          <rPr>
            <sz val="10"/>
            <color rgb="FF000000"/>
            <rFont val="Tahoma"/>
            <family val="2"/>
          </rPr>
          <t xml:space="preserve">
Source: Yahoo Finance, GGG 52-week low (Apr 2026)</t>
        </r>
      </text>
    </comment>
    <comment ref="D10" authorId="0" shapeId="0" xr:uid="{9935FADC-59B4-2040-9EF9-32195199242D}">
      <text>
        <r>
          <rPr>
            <b/>
            <sz val="10"/>
            <color rgb="FF000000"/>
            <rFont val="Tahoma"/>
            <family val="2"/>
          </rPr>
          <t>Arijay Mehta:</t>
        </r>
        <r>
          <rPr>
            <sz val="10"/>
            <color rgb="FF000000"/>
            <rFont val="Tahoma"/>
            <family val="2"/>
          </rPr>
          <t xml:space="preserve">
Source: Yahoo Finance, GGG 52-week high (Apr 2026)</t>
        </r>
      </text>
    </comment>
  </commentList>
</comments>
</file>

<file path=xl/sharedStrings.xml><?xml version="1.0" encoding="utf-8"?>
<sst xmlns="http://schemas.openxmlformats.org/spreadsheetml/2006/main" count="1463" uniqueCount="807">
  <si>
    <t>All amounts in $ millions unless noted</t>
  </si>
  <si>
    <t>Risk-Free Rate</t>
  </si>
  <si>
    <t>%</t>
  </si>
  <si>
    <t>Equity Risk Premium</t>
  </si>
  <si>
    <t>x</t>
  </si>
  <si>
    <t>Cost of Equity</t>
  </si>
  <si>
    <t>Cost of Debt (pre-tax)</t>
  </si>
  <si>
    <t>Tax Rate</t>
  </si>
  <si>
    <t>Cost of Debt (after-tax)</t>
  </si>
  <si>
    <t>Debt / Total Capital</t>
  </si>
  <si>
    <t>Equity / Total Capital</t>
  </si>
  <si>
    <t>WACC</t>
  </si>
  <si>
    <t>Units</t>
  </si>
  <si>
    <t>Free Cash Flow (ex-SBC)</t>
  </si>
  <si>
    <t>$M</t>
  </si>
  <si>
    <t>Discount Period</t>
  </si>
  <si>
    <t>#</t>
  </si>
  <si>
    <t>Discount Factor</t>
  </si>
  <si>
    <t>Present Value of FCF</t>
  </si>
  <si>
    <t>Terminal Growth Rate</t>
  </si>
  <si>
    <t>Terminal FCF (ex-SBC)</t>
  </si>
  <si>
    <t>Terminal Value</t>
  </si>
  <si>
    <t>PV of Terminal Value</t>
  </si>
  <si>
    <t>Terminal EBITDA</t>
  </si>
  <si>
    <t>Exit EV/EBITDA Multiple</t>
  </si>
  <si>
    <t>Sum of PV of FCFs</t>
  </si>
  <si>
    <t>PV of Terminal Value (Perpetuity)</t>
  </si>
  <si>
    <t>Enterprise Value (Perpetuity)</t>
  </si>
  <si>
    <t>PV of Terminal Value (Multiple)</t>
  </si>
  <si>
    <t>Enterprise Value (Multiple)</t>
  </si>
  <si>
    <t>Less: Net Debt (neg = net cash)</t>
  </si>
  <si>
    <t>Equity Value (Perpetuity)</t>
  </si>
  <si>
    <t>Equity Value (Multiple)</t>
  </si>
  <si>
    <t>Shares Outstanding</t>
  </si>
  <si>
    <t>M</t>
  </si>
  <si>
    <t>Implied Share Price (Perpetuity)</t>
  </si>
  <si>
    <t>$/sh</t>
  </si>
  <si>
    <t>Implied Share Price (Multiple)</t>
  </si>
  <si>
    <t>Current Share Price</t>
  </si>
  <si>
    <t>Upside / (Downside) — Perpetuity</t>
  </si>
  <si>
    <t>Upside / (Downside) — Multiple</t>
  </si>
  <si>
    <t>TV as % of EV (Perpetuity)</t>
  </si>
  <si>
    <t>TV as % of EV (Multiple)</t>
  </si>
  <si>
    <t>Company Overview</t>
  </si>
  <si>
    <t>Sector</t>
  </si>
  <si>
    <t>Revenue Model</t>
  </si>
  <si>
    <t>Capital Structure</t>
  </si>
  <si>
    <t>Bear</t>
  </si>
  <si>
    <t>Bull</t>
  </si>
  <si>
    <t>Table of Contents</t>
  </si>
  <si>
    <t>Assumptions</t>
  </si>
  <si>
    <t>Revenue Build</t>
  </si>
  <si>
    <t>Income Statement</t>
  </si>
  <si>
    <t>Balance Sheet</t>
  </si>
  <si>
    <t>Cash Flow</t>
  </si>
  <si>
    <t>SWOT Analysis</t>
  </si>
  <si>
    <t>Metric</t>
  </si>
  <si>
    <t>Base</t>
  </si>
  <si>
    <t>Scenario</t>
  </si>
  <si>
    <t>Exit EV/EBITDA</t>
  </si>
  <si>
    <t>Notes</t>
  </si>
  <si>
    <t>Total Revenue</t>
  </si>
  <si>
    <t>days</t>
  </si>
  <si>
    <t>Dividends</t>
  </si>
  <si>
    <t>DCF ASSUMPTIONS</t>
  </si>
  <si>
    <t>REVENUE</t>
  </si>
  <si>
    <t>Operating Income (EBIT)</t>
  </si>
  <si>
    <t>EBITDA</t>
  </si>
  <si>
    <t>Cash from Operations (CFO)</t>
  </si>
  <si>
    <t>Cash from Investing (CFI)</t>
  </si>
  <si>
    <t>Cash from Financing (CFF)</t>
  </si>
  <si>
    <t>Cash from Operations</t>
  </si>
  <si>
    <t>Free Cash Flow</t>
  </si>
  <si>
    <t>Company</t>
  </si>
  <si>
    <t>Ticker</t>
  </si>
  <si>
    <t>EV/EBITDA</t>
  </si>
  <si>
    <t>P/E</t>
  </si>
  <si>
    <t>Data Sources &amp; References</t>
  </si>
  <si>
    <t>Revenue Drivers</t>
  </si>
  <si>
    <t>Equity Risk Premium: 5.5%</t>
  </si>
  <si>
    <t>SCENARIO SELECTOR</t>
  </si>
  <si>
    <t>BEAR SCENARIO</t>
  </si>
  <si>
    <t>Revenue</t>
  </si>
  <si>
    <t>(+) D&amp;A</t>
  </si>
  <si>
    <t>(-) Capex</t>
  </si>
  <si>
    <t>PV of FCF</t>
  </si>
  <si>
    <t>→ Implied Price — Perpetuity</t>
  </si>
  <si>
    <t>BASE SCENARIO</t>
  </si>
  <si>
    <t>BULL SCENARIO</t>
  </si>
  <si>
    <t>Appendix &gt;&gt;&gt;</t>
  </si>
  <si>
    <t>Valuation &gt;&gt;&gt;</t>
  </si>
  <si>
    <t>Key Assumptions</t>
  </si>
  <si>
    <t>Valuation Snapshot</t>
  </si>
  <si>
    <t>Net Debt ($M)</t>
  </si>
  <si>
    <t>Diluted Shares Outstanding (M)</t>
  </si>
  <si>
    <t>Base Case (Perpetuity Growth)</t>
  </si>
  <si>
    <t>Beta (raw, 5-yr regression)</t>
  </si>
  <si>
    <t>Beta (Adjusted, peer-median)</t>
  </si>
  <si>
    <t>All $ in millions unless noted. Fiscal year ends last Wednesday in June.</t>
  </si>
  <si>
    <t>FY26E Start</t>
  </si>
  <si>
    <t>FY21A</t>
  </si>
  <si>
    <t>FY22A</t>
  </si>
  <si>
    <t>FY23A</t>
  </si>
  <si>
    <t>FY24A</t>
  </si>
  <si>
    <t>FY25A</t>
  </si>
  <si>
    <t>FY26E</t>
  </si>
  <si>
    <t>FY27E</t>
  </si>
  <si>
    <t>FY28E</t>
  </si>
  <si>
    <t>FY29E</t>
  </si>
  <si>
    <t>FY30E</t>
  </si>
  <si>
    <t>Effective tax rate</t>
  </si>
  <si>
    <t>Interest expense ($M)</t>
  </si>
  <si>
    <t>Capex % of revenue</t>
  </si>
  <si>
    <t>SBC % of revenue</t>
  </si>
  <si>
    <t>Risk-Free Rate (10Y UST)</t>
  </si>
  <si>
    <t>Adjusted beta (Blume)</t>
  </si>
  <si>
    <t>Cost of Equity (CAPM)</t>
  </si>
  <si>
    <t>Pre-tax Cost of Debt</t>
  </si>
  <si>
    <t>Market Value of Debt ($M)</t>
  </si>
  <si>
    <t>Market Value of Equity ($M)</t>
  </si>
  <si>
    <t>Debt / Total Cap</t>
  </si>
  <si>
    <t xml:space="preserve">  YoY growth %</t>
  </si>
  <si>
    <t>Total revenues</t>
  </si>
  <si>
    <t xml:space="preserve">  Operating margin %</t>
  </si>
  <si>
    <t>Pre-tax income</t>
  </si>
  <si>
    <t xml:space="preserve">  Effective tax rate</t>
  </si>
  <si>
    <t xml:space="preserve">  Net margin %</t>
  </si>
  <si>
    <t>EPS &amp; Share Count</t>
  </si>
  <si>
    <t>Diluted shares outstanding</t>
  </si>
  <si>
    <t>Diluted EPS (GAAP)</t>
  </si>
  <si>
    <t>$</t>
  </si>
  <si>
    <t>Diluted EPS growth</t>
  </si>
  <si>
    <t>EBITDA &amp; SBC</t>
  </si>
  <si>
    <t>Operating income (EBIT)</t>
  </si>
  <si>
    <t>(+) Other (gains) &amp; charges</t>
  </si>
  <si>
    <t>Adjusted EBITDA</t>
  </si>
  <si>
    <t>EBITDA margin</t>
  </si>
  <si>
    <t>Stock-based compensation</t>
  </si>
  <si>
    <t>Current assets:</t>
  </si>
  <si>
    <t>Cash and cash equivalents</t>
  </si>
  <si>
    <t>Accounts receivable, net</t>
  </si>
  <si>
    <t>Operating lease assets</t>
  </si>
  <si>
    <t>Goodwill</t>
  </si>
  <si>
    <t>Deferred income taxes, net</t>
  </si>
  <si>
    <t>Intangibles, net</t>
  </si>
  <si>
    <t>Other non-current assets</t>
  </si>
  <si>
    <t>Current liabilities:</t>
  </si>
  <si>
    <t>Long-term debt &amp; finance leases</t>
  </si>
  <si>
    <t>Other non-current liabilities</t>
  </si>
  <si>
    <t>Total liabilities</t>
  </si>
  <si>
    <t>Shareholders' equity:</t>
  </si>
  <si>
    <t>Additional paid-in capital</t>
  </si>
  <si>
    <t>Retained earnings (Accumulated deficit)</t>
  </si>
  <si>
    <t>Total shareholders' equity</t>
  </si>
  <si>
    <t>TOTAL LIABILITIES &amp; EQUITY</t>
  </si>
  <si>
    <t>BS Check (Assets - L&amp;E)</t>
  </si>
  <si>
    <t>Net income</t>
  </si>
  <si>
    <t>Capital expenditures</t>
  </si>
  <si>
    <t>Other investing activities</t>
  </si>
  <si>
    <t>Other financing activities</t>
  </si>
  <si>
    <t>Net change in cash</t>
  </si>
  <si>
    <t>FCF margin</t>
  </si>
  <si>
    <t>FCF per diluted share</t>
  </si>
  <si>
    <t>Implied Share Price ($/share)</t>
  </si>
  <si>
    <t>WACC \ g</t>
  </si>
  <si>
    <t>WACC \ Mult</t>
  </si>
  <si>
    <t>Net Debt</t>
  </si>
  <si>
    <t>EV/Rev</t>
  </si>
  <si>
    <t>Median</t>
  </si>
  <si>
    <t>High</t>
  </si>
  <si>
    <t>Low</t>
  </si>
  <si>
    <t>Method</t>
  </si>
  <si>
    <t>Implied EV</t>
  </si>
  <si>
    <t>EV / Revenue</t>
  </si>
  <si>
    <t>EV / EBITDA</t>
  </si>
  <si>
    <t>n/a</t>
  </si>
  <si>
    <t>Key Takeaways</t>
  </si>
  <si>
    <t>Brands</t>
  </si>
  <si>
    <t>Footprint</t>
  </si>
  <si>
    <t>Upside/(Downside) vs Market (Blended)</t>
  </si>
  <si>
    <t>Brinker International, Inc. (EAT) DCF Model</t>
  </si>
  <si>
    <t>SEC FILINGS (PRIMARY SOURCES)</t>
  </si>
  <si>
    <t>FY25 10-K (fiscal year ended 6/25/2025)</t>
  </si>
  <si>
    <t>https://www.sec.gov/Archives/edgar/data/0000703351/000070335125000035/eat-20250625.htm</t>
  </si>
  <si>
    <t>FY22 10-K (for FY21/FY22 historicals)</t>
  </si>
  <si>
    <t>https://www.sec.gov/Archives/edgar/data/0000703351/000070335122000036/eat-20220629.htm</t>
  </si>
  <si>
    <t>Q1 FY26 10-Q (quarter ended 9/24/2025)</t>
  </si>
  <si>
    <t>https://www.sec.gov/Archives/edgar/data/0000703351/000070335125000046/eat-20250924.htm</t>
  </si>
  <si>
    <t>Q2 FY26 Earnings Release 8-K (Jan 2026)</t>
  </si>
  <si>
    <t>https://www.sec.gov/Archives/edgar/data/0000703351/000070335126000004/fy26q2ex991-earningsrelease.htm</t>
  </si>
  <si>
    <t>Investor Relations Hub</t>
  </si>
  <si>
    <t>https://investors.brinker.com</t>
  </si>
  <si>
    <t>FINANCIAL DATA SOURCED</t>
  </si>
  <si>
    <t>FY23/FY24/FY25 from FY25 10-K; FY21/FY22 from FY22 10-K. Matches exactly to reported GAAP figures.</t>
  </si>
  <si>
    <t>FY24/FY25 from FY25 10-K Consolidated Balance Sheets.</t>
  </si>
  <si>
    <t>FY23-FY25 from FY25 10-K; includes CFO bridge, capex, buybacks, debt activity.</t>
  </si>
  <si>
    <t>Unit Counts &amp; AUV</t>
  </si>
  <si>
    <t>FY25 10-K Item 2 Properties table. 1,113 Chili's Co + 463 Fran + 49 Maggiano's Co + 3 Fran = 1,628 system-wide. Chili's AUV $4.5M, Maggiano's $9.9M.</t>
  </si>
  <si>
    <t>Comparable Restaurant Sales</t>
  </si>
  <si>
    <t>Q1 FY26 press release (PRNewswire): consolidated +18.8%, Chili's +21.4%, Maggiano's -6.4%. Q2 FY26: consol +7.5%, Chili's +8.6%, Maggiano's -2.4%.</t>
  </si>
  <si>
    <t>FY26 Guidance</t>
  </si>
  <si>
    <t>Q2 FY26 8-K (raised): Revenue $5.76B-$5.83B; Adj EPS $10.45-$10.85; Capex $250M-$260M; WA shares 44.7-45.2M.</t>
  </si>
  <si>
    <t>Management Commentary</t>
  </si>
  <si>
    <t>Q1/Q2 FY26 earnings calls via Seeking Alpha, Motley Fool, Insider Monkey transcripts. Key: 6 consecutive quarters DD growth; North of Six initiative; Maggiano's 'North Star' turnaround; $34M R&amp;M favorability.</t>
  </si>
  <si>
    <t>Debt &amp; Liquidity</t>
  </si>
  <si>
    <t>FY25 10-K Note 7 (Debt). $350M 8.25% notes due 7/15/2030 semi-annual; $1.0B revolver matures 5/1/2030, SOFR+1.25-2.00%, undrawn at 6/25/25.</t>
  </si>
  <si>
    <t>MARKET DATA (AS OF APR 2026)</t>
  </si>
  <si>
    <t>EAT Share Price: $168</t>
  </si>
  <si>
    <t>Yahoo Finance / live quote. Also 44,431,215 shares outstanding at 10/23/25 per 10-Q cover page.</t>
  </si>
  <si>
    <t>Risk-Free Rate: 4.3%</t>
  </si>
  <si>
    <t>10-Year US Treasury. treasury.gov / Apr 2026.</t>
  </si>
  <si>
    <t>Damodaran (NYU Stern) implied ERP, current-year estimate.</t>
  </si>
  <si>
    <t>Beta</t>
  </si>
  <si>
    <t>Raw beta 1.25 (5Y monthly regression vs S&amp;P 500). Adjusted per Blume: 0.67*raw + 0.33*1 = 1.17. See Assumptions row 60-61.</t>
  </si>
  <si>
    <t>Peer Data (Comps tab)</t>
  </si>
  <si>
    <t>Yahoo Finance, StockAnalysis.com, peer 10-K/10-Q filings. DRI Feb 2026 Q3 release; TXRH Feb 2026 Q4 release.</t>
  </si>
  <si>
    <t>NOTES &amp; CAVEATS</t>
  </si>
  <si>
    <t>Model variance vs reported</t>
  </si>
  <si>
    <t>Revenue Build reconstructs total revenue from unit economics (AUV x SSS). Minor 3-5% variance vs reported in FY22-24 due to AUV/mix smoothing; FY25 closes to within $176M (3.3%).</t>
  </si>
  <si>
    <t>FY23 Net Income variance</t>
  </si>
  <si>
    <t>Model shows FY23 NI of ~$117M vs reported $102.6M. Gap reflects unmodeled special items. Acceptable for DCF valuation.</t>
  </si>
  <si>
    <t>Balance Sheet imbalance</t>
  </si>
  <si>
    <t>Minor $12-13M imbalance in FY26E (~0.4% of total assets) from working capital / accumulated OCI timing. Flagged but not material to valuation.</t>
  </si>
  <si>
    <t>Shadow DCF tab</t>
  </si>
  <si>
    <t>DEPRECATED. Was set up for QLYS (prior model). Scenario Summary has been re-routed to pull from main DCF tab only.</t>
  </si>
  <si>
    <t>Value</t>
  </si>
  <si>
    <t>VALUATION</t>
  </si>
  <si>
    <t>Exit EV / EBITDA Multiple</t>
  </si>
  <si>
    <t>Tranche / $M</t>
  </si>
  <si>
    <t>Rate</t>
  </si>
  <si>
    <t>Total Interest Expense</t>
  </si>
  <si>
    <t>Margin Drivers</t>
  </si>
  <si>
    <t>Debt Schedule</t>
  </si>
  <si>
    <t>Tax &amp; Interest</t>
  </si>
  <si>
    <t>Capital Allocation</t>
  </si>
  <si>
    <t>Share buybacks</t>
  </si>
  <si>
    <t>Diluted shares</t>
  </si>
  <si>
    <t>Total capital return (% of FCF)</t>
  </si>
  <si>
    <t>Current market share price</t>
  </si>
  <si>
    <t xml:space="preserve"> YoY growth</t>
  </si>
  <si>
    <t>Below-the-line</t>
  </si>
  <si>
    <t>Non-current assets:</t>
  </si>
  <si>
    <t>Non-current liabilities:</t>
  </si>
  <si>
    <t>Current assets</t>
  </si>
  <si>
    <t>Total assets</t>
  </si>
  <si>
    <t>Current liabilities</t>
  </si>
  <si>
    <t>Assets:</t>
  </si>
  <si>
    <t>Liabilities + Equity:</t>
  </si>
  <si>
    <t>Operating Activities</t>
  </si>
  <si>
    <t>Investing Activities</t>
  </si>
  <si>
    <t>Financing Activities</t>
  </si>
  <si>
    <t>DCF &amp; Sensitivity Analysis</t>
  </si>
  <si>
    <t>Comparable Companies Analysis</t>
  </si>
  <si>
    <t>Price ($)</t>
  </si>
  <si>
    <t>Mkt Cap ($M)</t>
  </si>
  <si>
    <t>EV ($M)</t>
  </si>
  <si>
    <t>Revenue ($M)</t>
  </si>
  <si>
    <t>WACC Calculation</t>
  </si>
  <si>
    <t>FCF Projection</t>
  </si>
  <si>
    <t>Method 1: Perpetuity Growth</t>
  </si>
  <si>
    <t>Method 2: Exit Multiple</t>
  </si>
  <si>
    <t>Valuation Summary</t>
  </si>
  <si>
    <t>Sensitivity: WACC vs. Terminal Growth Rate (Perpetuity Method)</t>
  </si>
  <si>
    <t>Sensitivity: WACC vs. Exit EV/EBITDA Multiple</t>
  </si>
  <si>
    <t>Shadow DCF — Scenario Comparison</t>
  </si>
  <si>
    <t>Shared Constants</t>
  </si>
  <si>
    <t>Diluted Shares</t>
  </si>
  <si>
    <t>FY25A Revenue</t>
  </si>
  <si>
    <t>FY25A EBITDA Margin</t>
  </si>
  <si>
    <t>FY25A Capex % Rev</t>
  </si>
  <si>
    <t>SBC % Rev (projected)</t>
  </si>
  <si>
    <t>Scenario Drivers (by scenario)</t>
  </si>
  <si>
    <t>Terminal Capex % rev</t>
  </si>
  <si>
    <t>EBITDA margin (linear interp FY25A → terminal)</t>
  </si>
  <si>
    <t>EBIT</t>
  </si>
  <si>
    <t>NOPAT = EBIT × (1−t)</t>
  </si>
  <si>
    <t>(-) Capex (terminal %, linear interp)</t>
  </si>
  <si>
    <t>(-) SBC</t>
  </si>
  <si>
    <t>FCF</t>
  </si>
  <si>
    <t>Sum of PV of FCFs (Bear)</t>
  </si>
  <si>
    <t>Terminal FCF (year 5)</t>
  </si>
  <si>
    <t>Terminal Value — Perpetuity</t>
  </si>
  <si>
    <t>PV of TV — Perpetuity</t>
  </si>
  <si>
    <t>Terminal Value — Exit Multiple</t>
  </si>
  <si>
    <t>PV of TV — Exit Multiple</t>
  </si>
  <si>
    <t>Enterprise Value — Perpetuity</t>
  </si>
  <si>
    <t>Enterprise Value — Exit Multiple</t>
  </si>
  <si>
    <t>(−) Net Debt</t>
  </si>
  <si>
    <t>Equity Value — Perpetuity</t>
  </si>
  <si>
    <t>Equity Value — Exit Multiple</t>
  </si>
  <si>
    <t>→ Implied Price — Exit Multiple</t>
  </si>
  <si>
    <t>EBITDA margin (linear interp)</t>
  </si>
  <si>
    <t>NOPAT</t>
  </si>
  <si>
    <t>Sum of PV of FCFs (Base)</t>
  </si>
  <si>
    <t>Revenue growth — FY26E anchor (guidance) → terminal SSS</t>
  </si>
  <si>
    <t>FY26E Revenue (mgmt guidance midpoint)</t>
  </si>
  <si>
    <t>Sum of PV of FCFs (Bull)</t>
  </si>
  <si>
    <t>Summary (pulled into Scenario Summary)</t>
  </si>
  <si>
    <t>Revenue FY30E</t>
  </si>
  <si>
    <t>EBITDA FY30E</t>
  </si>
  <si>
    <t>EBITDA Margin FY30E</t>
  </si>
  <si>
    <t>FCF FY30E</t>
  </si>
  <si>
    <t>Implied Price — Perpetuity</t>
  </si>
  <si>
    <t>Implied Price — Exit Multiple</t>
  </si>
  <si>
    <t>Blended Implied Price (avg)</t>
  </si>
  <si>
    <t>Upside / (Downside) vs. market</t>
  </si>
  <si>
    <t>Scenario Summary</t>
  </si>
  <si>
    <t>Bear / Base / Bull scenarios side-by-side. Valuation from Shadow DCF tab (simplified model, scenario-specific drivers). Current market: $168/sh.</t>
  </si>
  <si>
    <t>Range (Bull − Bear)</t>
  </si>
  <si>
    <t>Blended (avg of two methods)</t>
  </si>
  <si>
    <t>—</t>
  </si>
  <si>
    <t>Scenario Drivers</t>
  </si>
  <si>
    <t>FY30E Model Outputs</t>
  </si>
  <si>
    <t>FY26E EBITDA Margin (guidance anchor)</t>
  </si>
  <si>
    <t>EBITDA ($M)</t>
  </si>
  <si>
    <t>DCF — Perpetuity Growth</t>
  </si>
  <si>
    <t>Bear → Bull scenario range</t>
  </si>
  <si>
    <t>Comps — EV/EBITDA</t>
  </si>
  <si>
    <t>52-Week Trading Range</t>
  </si>
  <si>
    <t>Market trading context</t>
  </si>
  <si>
    <t>Current Price</t>
  </si>
  <si>
    <t>Width</t>
  </si>
  <si>
    <t>This sheet feeds the 'Football Field — Implied Price by Method ($/sh)' chart on Scenario Summary. Do not delete.</t>
  </si>
  <si>
    <t>Description</t>
  </si>
  <si>
    <t>DCF — Exit Multiple</t>
  </si>
  <si>
    <t>Comps — P/E</t>
  </si>
  <si>
    <t>Current Price Line</t>
  </si>
  <si>
    <t>X (Price)</t>
  </si>
  <si>
    <t>Y (Position)</t>
  </si>
  <si>
    <t>› Summary</t>
  </si>
  <si>
    <t xml:space="preserve">   Scenario Summary</t>
  </si>
  <si>
    <t xml:space="preserve">   SWOT</t>
  </si>
  <si>
    <t>› Valuation</t>
  </si>
  <si>
    <t xml:space="preserve">   Assumptions</t>
  </si>
  <si>
    <t xml:space="preserve">   Revenue Build</t>
  </si>
  <si>
    <t xml:space="preserve">   Income Statement</t>
  </si>
  <si>
    <t xml:space="preserve">   Balance Sheet</t>
  </si>
  <si>
    <t xml:space="preserve">   Cash Flow</t>
  </si>
  <si>
    <t xml:space="preserve">   DCF &amp; Sensitivity</t>
  </si>
  <si>
    <t xml:space="preserve">   Comps</t>
  </si>
  <si>
    <t>› Appendix</t>
  </si>
  <si>
    <t xml:space="preserve">   Sources</t>
  </si>
  <si>
    <t>Balance Sheet Drivers</t>
  </si>
  <si>
    <t>Cash Check (historical only)</t>
  </si>
  <si>
    <t>Model Conventions</t>
  </si>
  <si>
    <t>Blue text</t>
  </si>
  <si>
    <t>Hardcoded inputs and assumptions. Scenario drivers, historical data, WACC components.</t>
  </si>
  <si>
    <t>Black text</t>
  </si>
  <si>
    <t>Formulas and calculations that reference cells within the same sheet.</t>
  </si>
  <si>
    <t>Green text</t>
  </si>
  <si>
    <t>Cross-sheet links. Formulas pulling values from other tabs.</t>
  </si>
  <si>
    <t>Amounts</t>
  </si>
  <si>
    <t>All $ values in millions ($M) unless labeled per-share ($/sh). Units column on each sheet confirms.</t>
  </si>
  <si>
    <t>Percentages</t>
  </si>
  <si>
    <t>Fiscal year</t>
  </si>
  <si>
    <t>Negatives</t>
  </si>
  <si>
    <t>Shown as (123) in parentheses via number format, not as -123.</t>
  </si>
  <si>
    <t>Selector cells</t>
  </si>
  <si>
    <t>Interpolation</t>
  </si>
  <si>
    <t>Fiscal Year Inputs</t>
  </si>
  <si>
    <t>Base Year (first historical)</t>
  </si>
  <si>
    <t>First Forecast Year</t>
  </si>
  <si>
    <t>Brinker fiscal year ends late June. FY25 = July 2024 through June 2025.</t>
  </si>
  <si>
    <t>Revenue and Margin drivers interpolate YoY from the FY26E anchor to the scenario-selected FY30E terminal value.</t>
  </si>
  <si>
    <r>
      <t xml:space="preserve">Use dropdowns on top of </t>
    </r>
    <r>
      <rPr>
        <i/>
        <sz val="10"/>
        <color theme="1"/>
        <rFont val="Calibri"/>
        <family val="2"/>
        <scheme val="minor"/>
      </rPr>
      <t>"Assumptions"</t>
    </r>
    <r>
      <rPr>
        <sz val="10"/>
        <color theme="1"/>
        <rFont val="Calibri"/>
        <family val="2"/>
        <scheme val="minor"/>
      </rPr>
      <t xml:space="preserve"> tab to select Bear/Base/Bull per driver.</t>
    </r>
  </si>
  <si>
    <t>2. Flex DCF Inputs</t>
  </si>
  <si>
    <t>1. Set Scenario</t>
  </si>
  <si>
    <t>3. Update Market Data</t>
  </si>
  <si>
    <r>
      <t>Update current share price on</t>
    </r>
    <r>
      <rPr>
        <i/>
        <sz val="10"/>
        <color theme="1"/>
        <rFont val="Calibri"/>
        <family val="2"/>
        <scheme val="minor"/>
      </rPr>
      <t xml:space="preserve"> "DCF &amp; SensitivityD55"</t>
    </r>
    <r>
      <rPr>
        <sz val="10"/>
        <color theme="1"/>
        <rFont val="Calibri"/>
        <family val="2"/>
        <scheme val="minor"/>
      </rPr>
      <t>. Flows through to upside calcs on DCF tab and Cover Page.</t>
    </r>
  </si>
  <si>
    <r>
      <t xml:space="preserve">Flex any of the DCF inputs including WACC or Terminal Value in the DCF section on the bottom of the </t>
    </r>
    <r>
      <rPr>
        <i/>
        <sz val="10"/>
        <color theme="1"/>
        <rFont val="Calibri"/>
        <family val="2"/>
        <scheme val="minor"/>
      </rPr>
      <t>"Assumptions"</t>
    </r>
    <r>
      <rPr>
        <sz val="10"/>
        <color theme="1"/>
        <rFont val="Calibri"/>
        <family val="2"/>
        <scheme val="minor"/>
      </rPr>
      <t xml:space="preserve"> tab</t>
    </r>
  </si>
  <si>
    <t>› Color Coding</t>
  </si>
  <si>
    <t>› Number Conventions</t>
  </si>
  <si>
    <t>› Scenario Toggle</t>
  </si>
  <si>
    <t>› How to Run the Model</t>
  </si>
  <si>
    <t>Stored as decimals (0.125 = 12.5%) and displayed with 0.0% format</t>
  </si>
  <si>
    <t>Main Model Outputs — Snapshot</t>
  </si>
  <si>
    <t>Hardcoded main-model outputs for each scenario. Feeds Scenario Summary reconciliation.</t>
  </si>
  <si>
    <t>Workflow</t>
  </si>
  <si>
    <t>Last Refreshed</t>
  </si>
  <si>
    <t>Source cells</t>
  </si>
  <si>
    <t>Pull from these cells on the main model tabs (all show FY30E values except EV/Share Price which are the final DCF outputs).</t>
  </si>
  <si>
    <t>Main Model Outputs</t>
  </si>
  <si>
    <t>Source Cell</t>
  </si>
  <si>
    <t>FY30E Revenue ($M)</t>
  </si>
  <si>
    <t>FY30E Net Income ($M)</t>
  </si>
  <si>
    <t>FY30E EBITDA ($M)</t>
  </si>
  <si>
    <t>Income Statement'!M52</t>
  </si>
  <si>
    <t>FY30E EBITDA Margin</t>
  </si>
  <si>
    <t>FY30E FCF ($M)</t>
  </si>
  <si>
    <t>Enterprise Value — Perpetuity ($M)</t>
  </si>
  <si>
    <t>DCF &amp; Sensitivity'!D44</t>
  </si>
  <si>
    <t>Enterprise Value — Exit Multiple ($M)</t>
  </si>
  <si>
    <t>DCF &amp; Sensitivity'!D46</t>
  </si>
  <si>
    <t>Share Price — Perpetuity ($/sh)</t>
  </si>
  <si>
    <t>DCF &amp; Sensitivity'!D53</t>
  </si>
  <si>
    <t>Share Price — Exit Multiple ($/sh)</t>
  </si>
  <si>
    <t>DCF &amp; Sensitivity'!D54</t>
  </si>
  <si>
    <t>Share Price — Blended ($/sh)</t>
  </si>
  <si>
    <t>avg of perp + mult</t>
  </si>
  <si>
    <t>Scenario Summary Reconciliation</t>
  </si>
  <si>
    <t>Blended Share Price — Shadow</t>
  </si>
  <si>
    <t>Shadow DCF'!D123 / E123 / F123</t>
  </si>
  <si>
    <t>Blended Share Price — Main Model (snapshot above)</t>
  </si>
  <si>
    <t>Variance (Shadow − Main)</t>
  </si>
  <si>
    <r>
      <rPr>
        <i/>
        <sz val="10"/>
        <color theme="1"/>
        <rFont val="Calibri"/>
        <family val="2"/>
        <scheme val="minor"/>
      </rPr>
      <t xml:space="preserve">"Assumptions" </t>
    </r>
    <r>
      <rPr>
        <sz val="10"/>
        <color theme="1"/>
        <rFont val="Calibri"/>
        <family val="2"/>
        <scheme val="minor"/>
      </rPr>
      <t>tab with dropdown of "Bear" / "Base" / "Bull" options. Each row's selector independently drives one scenario dimension.</t>
    </r>
  </si>
  <si>
    <t>Blended Share Price - Scenario Summary</t>
  </si>
  <si>
    <t>Blended Share Price - Main Model</t>
  </si>
  <si>
    <t>Check: Rec to Three Statement DCF</t>
  </si>
  <si>
    <t>Shadow DCF</t>
  </si>
  <si>
    <t>Shadow DCF Rec</t>
  </si>
  <si>
    <t>The valuation outputs (share price &amp; FY30E) values are simplified views of bear, base, and bull that reconcile within a material percentage of main model</t>
  </si>
  <si>
    <t>INTERNAL</t>
  </si>
  <si>
    <t>Helpful (to achieving objectives)</t>
  </si>
  <si>
    <t>Harmful (to achieving objectives)</t>
  </si>
  <si>
    <t>STRENGTHS</t>
  </si>
  <si>
    <t>WEAKNESSES</t>
  </si>
  <si>
    <t>OPPORTUNITIES</t>
  </si>
  <si>
    <t>THREATS</t>
  </si>
  <si>
    <t>EXTERNAL</t>
  </si>
  <si>
    <t>Consolidated Revenue Bridge</t>
  </si>
  <si>
    <t>BOP Revenue</t>
  </si>
  <si>
    <t>Organic Growth %</t>
  </si>
  <si>
    <t>Total Growth %</t>
  </si>
  <si>
    <t>Acquisitions Growth %</t>
  </si>
  <si>
    <t>Currency %</t>
  </si>
  <si>
    <t>Revenue by Geography</t>
  </si>
  <si>
    <t>USA</t>
  </si>
  <si>
    <t>Other Americas</t>
  </si>
  <si>
    <t>EMEA</t>
  </si>
  <si>
    <t>Asia Pacific</t>
  </si>
  <si>
    <t>Segment Revenue (Old Naming)</t>
  </si>
  <si>
    <t>Contractor</t>
  </si>
  <si>
    <t>Industrial</t>
  </si>
  <si>
    <t>Process</t>
  </si>
  <si>
    <t>Total Revenue (Growth %)</t>
  </si>
  <si>
    <t>Total Revenue (Geo)</t>
  </si>
  <si>
    <t>Total Revenue (Old Segments)</t>
  </si>
  <si>
    <t>Expansion</t>
  </si>
  <si>
    <t>BoP Revenue</t>
  </si>
  <si>
    <t>EOP Revenue</t>
  </si>
  <si>
    <t>Acquisitions %</t>
  </si>
  <si>
    <t>Check</t>
  </si>
  <si>
    <t>Segment Revenue</t>
  </si>
  <si>
    <t>› Contractor</t>
  </si>
  <si>
    <t>› Industrial</t>
  </si>
  <si>
    <t>› Expansion</t>
  </si>
  <si>
    <t>Contractor Organic Growth</t>
  </si>
  <si>
    <t>Contractor Acquisitions</t>
  </si>
  <si>
    <t>Industrial Organic Growth</t>
  </si>
  <si>
    <t>Industrial Acquisitions</t>
  </si>
  <si>
    <t>Expansion Organic Growth</t>
  </si>
  <si>
    <t>Expansion Acquisitions</t>
  </si>
  <si>
    <t>FX Impact</t>
  </si>
  <si>
    <t xml:space="preserve">  Units sold (000s)</t>
  </si>
  <si>
    <t xml:space="preserve">  Unit growth %</t>
  </si>
  <si>
    <t xml:space="preserve">  ASP ($, per unit)</t>
  </si>
  <si>
    <t xml:space="preserve">  Price/mix %</t>
  </si>
  <si>
    <t xml:space="preserve">  Pro Revenue ($M)</t>
  </si>
  <si>
    <t xml:space="preserve">  Prosumer Revenue ($M)</t>
  </si>
  <si>
    <t xml:space="preserve">  DIY Revenue ($M)</t>
  </si>
  <si>
    <t>Total New Equipment Revenue</t>
  </si>
  <si>
    <t>Installed base (M units, active)</t>
  </si>
  <si>
    <t xml:space="preserve">  IB growth %</t>
  </si>
  <si>
    <t>Attach rate ($/unit/yr)</t>
  </si>
  <si>
    <t xml:space="preserve">  Aftermarket price %</t>
  </si>
  <si>
    <t>Consumables: hoses, tips, fluid sections, parts.</t>
  </si>
  <si>
    <t>Placeholder for bolt-ons at ~1/yr run-rate.</t>
  </si>
  <si>
    <t>FX impact %</t>
  </si>
  <si>
    <t xml:space="preserve">  YoY Growth %</t>
  </si>
  <si>
    <t>› Pro Tier (Commercial Contractors)</t>
  </si>
  <si>
    <t>› Prosumer Tier (Small Contractors)</t>
  </si>
  <si>
    <t>› DIY Tier (home centers)</t>
  </si>
  <si>
    <t>Aftermarket revenue = Installed Base x Attach Rate</t>
  </si>
  <si>
    <t>New units - retirements (ppl getting rid of old equipment) - Comes from # of units sold in Step 1</t>
  </si>
  <si>
    <t xml:space="preserve">Revenue's levers to grow are either price, volume, or selling higher margin products. </t>
  </si>
  <si>
    <t>Aftermarket Revenue ($M)</t>
  </si>
  <si>
    <t>USD</t>
  </si>
  <si>
    <t>EUR</t>
  </si>
  <si>
    <t>CNY</t>
  </si>
  <si>
    <t>Other</t>
  </si>
  <si>
    <t>Total</t>
  </si>
  <si>
    <t>FX Revenue ($M)</t>
  </si>
  <si>
    <t xml:space="preserve"> ›  % Change vs. USD</t>
  </si>
  <si>
    <t>How much excess/(reduction) is obtained from FX movements?</t>
  </si>
  <si>
    <t>FX as a % of Revenue</t>
  </si>
  <si>
    <t>New Equipment Revenue ($M)</t>
  </si>
  <si>
    <t>Aftermarket &amp; Consumables ($M)</t>
  </si>
  <si>
    <t>FX Impact ($M)</t>
  </si>
  <si>
    <t>Airless Sprayers Revenue</t>
  </si>
  <si>
    <t>Contractor Revenue Build - Product Family 1: Airless Sprayer</t>
  </si>
  <si>
    <t>Contractor Revenue Build - Product Family 2: Powder Coating Equipment</t>
  </si>
  <si>
    <t>› Complete Systems (full booths, ovens, reclaim)</t>
  </si>
  <si>
    <t xml:space="preserve">  Units sold</t>
  </si>
  <si>
    <t xml:space="preserve">  ASP ($, per system)</t>
  </si>
  <si>
    <t xml:space="preserve">  Complete Systems Revenue ($M)</t>
  </si>
  <si>
    <t>Complete systems: $100K-$500K. Custom-engineered, long sales cycles.</t>
  </si>
  <si>
    <t>ASP drifts up as reclaim/automation content increases.</t>
  </si>
  <si>
    <t>› Automatic Guns (robotic / inline booth integration)</t>
  </si>
  <si>
    <t xml:space="preserve">  Automatic Guns Revenue ($M)</t>
  </si>
  <si>
    <t>› Manual Guns (handheld, small shop)</t>
  </si>
  <si>
    <t xml:space="preserve">  Manual Guns Revenue ($M)</t>
  </si>
  <si>
    <t>Automatic guns: $15-30K. Standard for medium/large production lines.</t>
  </si>
  <si>
    <t>Manual guns: $2-5K. Higher volume, replaced every 5-7 years.</t>
  </si>
  <si>
    <t>Installed base (K units, active guns + systems)</t>
  </si>
  <si>
    <t>Higher $/unit/yr: powder + wear parts + booth filters.</t>
  </si>
  <si>
    <t>Aftermarket revenue = Installed Base × Attach Rate</t>
  </si>
  <si>
    <t>› Installation Revenue (tied to new Complete Systems sold)</t>
  </si>
  <si>
    <t xml:space="preserve">  Install attach rate (% of new system revenue)</t>
  </si>
  <si>
    <t xml:space="preserve">  Installation Revenue ($M)</t>
  </si>
  <si>
    <t>› Service Contracts (recurring, tied to installed base)</t>
  </si>
  <si>
    <t xml:space="preserve">  Contract attach % (share of IB on a service plan)</t>
  </si>
  <si>
    <t xml:space="preserve">  Annual contract value ($K / unit)</t>
  </si>
  <si>
    <t xml:space="preserve">  Service Contract Revenue ($M)</t>
  </si>
  <si>
    <t>Total Service &amp; Integration Revenue ($M)</t>
  </si>
  <si>
    <t>New booth installs: 15-20% of system ASP for engineering, commissioning, training.</t>
  </si>
  <si>
    <t>Recurring annual service plans on installed base — preventative maintenance, parts, uptime SLAs.</t>
  </si>
  <si>
    <t>Service revenue = IB × contract attach % × ACV</t>
  </si>
  <si>
    <t>Product Family Revenue</t>
  </si>
  <si>
    <t>Step 3 -  FX Impact (Weighted Currency Exposure × Spot Rate Movement)</t>
  </si>
  <si>
    <t>FX applied to pre-FX subtotal (Equipment + Aftermarket + Service)</t>
  </si>
  <si>
    <t>Step 2 -  Aftermarket &amp; Consumables (Installed Base × Attach Rate)</t>
  </si>
  <si>
    <t>Step 1 - New Equipment Sales (Units × ASP)</t>
  </si>
  <si>
    <t>Service &amp; Integration ($M)</t>
  </si>
  <si>
    <t>Powder Coating Revenue</t>
  </si>
  <si>
    <t>Airless Sprayers ($M)</t>
  </si>
  <si>
    <t>Powder Coating ($M)</t>
  </si>
  <si>
    <t>Total Product Family Revenue ($M)</t>
  </si>
  <si>
    <t>Rolled up from 'Rev Build - Airless Spray' tab</t>
  </si>
  <si>
    <t>Rolled up from 'Rev Build - Powder Coat' tab</t>
  </si>
  <si>
    <t>Pre-M&amp;A Segment Revenue ($M)</t>
  </si>
  <si>
    <t>Only Powder has this line (Airless — 0). If other Contractor families had service, it would roll up here too.</t>
  </si>
  <si>
    <t>Corob (tinting equipment, acquired Aug 2024)</t>
  </si>
  <si>
    <t>Color Service (tinting, acquired Aug 2025)</t>
  </si>
  <si>
    <t>Pipeline (unnamed future bolt-ons)</t>
  </si>
  <si>
    <t xml:space="preserve">  Segment M&amp;A Revenue ($M)</t>
  </si>
  <si>
    <t>Annualized in FY26; ~8% organic thereafter.</t>
  </si>
  <si>
    <t>Partial-year FY25; full year FY26 onward.</t>
  </si>
  <si>
    <t>Pre-M&amp;A Segment Revenue</t>
  </si>
  <si>
    <t>Segment M&amp;A</t>
  </si>
  <si>
    <t>Contractor Segment Revenue</t>
  </si>
  <si>
    <r>
      <t xml:space="preserve">Presented below is a bottoms-up revenue build for the Airless Sprayers Product Family within the Contractor Business Unit. 
The revenue forecast has three parts: 
</t>
    </r>
    <r>
      <rPr>
        <b/>
        <sz val="10"/>
        <color theme="1"/>
        <rFont val="Calibri"/>
        <family val="2"/>
        <scheme val="minor"/>
      </rPr>
      <t xml:space="preserve">i) New Equipment Sales </t>
    </r>
    <r>
      <rPr>
        <sz val="10"/>
        <color theme="1"/>
        <rFont val="Calibri"/>
        <family val="2"/>
        <scheme val="minor"/>
      </rPr>
      <t xml:space="preserve">- derived from price x volume x margin mix assumptions
</t>
    </r>
    <r>
      <rPr>
        <b/>
        <sz val="10"/>
        <color theme="1"/>
        <rFont val="Calibri"/>
        <family val="2"/>
        <scheme val="minor"/>
      </rPr>
      <t xml:space="preserve">ii) Consumable Cross-sell </t>
    </r>
    <r>
      <rPr>
        <sz val="10"/>
        <color theme="1"/>
        <rFont val="Calibri"/>
        <family val="2"/>
        <scheme val="minor"/>
      </rPr>
      <t xml:space="preserve">- Additional revenue from smaller SKUs w/n this Product Family that are used to maintain and upgrade a previously sold airless sprayer
</t>
    </r>
    <r>
      <rPr>
        <b/>
        <sz val="10"/>
        <color theme="1"/>
        <rFont val="Calibri"/>
        <family val="2"/>
        <scheme val="minor"/>
      </rPr>
      <t>iii) FX Impact</t>
    </r>
    <r>
      <rPr>
        <sz val="10"/>
        <color theme="1"/>
        <rFont val="Calibri"/>
        <family val="2"/>
        <scheme val="minor"/>
      </rPr>
      <t xml:space="preserve"> - Adjusting for the change in foreign currencies against the USD 
</t>
    </r>
  </si>
  <si>
    <t>Step 1 -  New Equipment Sales (Units × ASP)</t>
  </si>
  <si>
    <t>Step 3 -  Service &amp; Systems Integration (Install Revenue + Service Contracts)</t>
  </si>
  <si>
    <t>Step 4 -  FX Impact (Weighted Currency Exposure × Spot Rate Movement)</t>
  </si>
  <si>
    <r>
      <t xml:space="preserve">Presented below is a bottoms-up revenue build for the Powder Coating Equipment Product Family within the Contractor Business Unit. 
The revenue forecast has four parts:
</t>
    </r>
    <r>
      <rPr>
        <b/>
        <sz val="10"/>
        <color rgb="FF000000"/>
        <rFont val="Calibri"/>
        <family val="2"/>
        <scheme val="minor"/>
      </rPr>
      <t xml:space="preserve">i) New Equipment Sales - </t>
    </r>
    <r>
      <rPr>
        <sz val="10"/>
        <color rgb="FF000000"/>
        <rFont val="Calibri"/>
        <family val="2"/>
        <scheme val="minor"/>
      </rPr>
      <t xml:space="preserve">derived from systems/guns price x volume x mix assumptions
</t>
    </r>
    <r>
      <rPr>
        <b/>
        <sz val="10"/>
        <color rgb="FF000000"/>
        <rFont val="Calibri"/>
        <family val="2"/>
        <scheme val="minor"/>
      </rPr>
      <t xml:space="preserve">ii) Aftermarket &amp; Consumables - </t>
    </r>
    <r>
      <rPr>
        <sz val="10"/>
        <color rgb="FF000000"/>
        <rFont val="Calibri"/>
        <family val="2"/>
        <scheme val="minor"/>
      </rPr>
      <t xml:space="preserve">Powder, filters, wear parts tied to installed base
</t>
    </r>
    <r>
      <rPr>
        <b/>
        <sz val="10"/>
        <color rgb="FF000000"/>
        <rFont val="Calibri"/>
        <family val="2"/>
        <scheme val="minor"/>
      </rPr>
      <t>iii) Service &amp; Systems Integration -</t>
    </r>
    <r>
      <rPr>
        <sz val="10"/>
        <color rgb="FF000000"/>
        <rFont val="Calibri"/>
        <family val="2"/>
        <scheme val="minor"/>
      </rPr>
      <t xml:space="preserve"> Install revenue on new systems + recurring service contracts on installed base
</t>
    </r>
    <r>
      <rPr>
        <b/>
        <sz val="10"/>
        <color rgb="FF000000"/>
        <rFont val="Calibri"/>
        <family val="2"/>
        <scheme val="minor"/>
      </rPr>
      <t>iv) FX Impact -</t>
    </r>
    <r>
      <rPr>
        <sz val="10"/>
        <color rgb="FF000000"/>
        <rFont val="Calibri"/>
        <family val="2"/>
        <scheme val="minor"/>
      </rPr>
      <t xml:space="preserve"> Adjusting for the change in foreign currencies against the USD
</t>
    </r>
  </si>
  <si>
    <t>Smaller installed base than sprayers - longer replacement cycle (10-15 yrs).</t>
  </si>
  <si>
    <t xml:space="preserve"> Revenue Build - BU 1: Contractor</t>
  </si>
  <si>
    <t xml:space="preserve">Sums product family tabs into segment totals. This demo only includes two families (Airless Sprayers, Powder Coating); a full build would include ~5-7 families under Contractor. We would engage in the same exercise across every product family and their respective business unit. Each of the three business segment tabs, would feed into a Consolidated Revenue Build.
Structure:
i) Revenue by Product Family - each family's total rolled up from its own tab
ii) Revenue by Driver - same totals re-cut by economic driver (Equipment, Aftermarket, Service, FX) to show segment composition
iii) Segment-Level M&amp;A - deals that don't cleanly map to one family (e.g. Corob tinting, Color Service) are modeled here
iv) Total Contractor Segment Revenue
</t>
  </si>
  <si>
    <t>Revenue by Product Family</t>
  </si>
  <si>
    <t>[OPEN] - Add other product families</t>
  </si>
  <si>
    <t>Revenue by Driver</t>
  </si>
  <si>
    <t>Segment Level M&amp;A</t>
  </si>
  <si>
    <t>Business Unit Revenue</t>
  </si>
  <si>
    <t>Ideal Revenue Build &gt;&gt;&gt;</t>
  </si>
  <si>
    <t>Additional Enhancements to Revenue Build</t>
  </si>
  <si>
    <t>This units × ASP build by product family still doesn't incorporate a breakout by (i) Region or (ii) Sales Channel. When constructing a revenue forecast, we must choose which factors are worth being able to flex as drivers of future performance vs. the complexity and input count they add. Adding a regional breakout for each product family tier (Pro, Prosumer, DIY on Airless Sprayers) is the higher-priority enhancement as demand for each tier is tied to the economic cycle of its region (NA ties to US housing, Europe to repaint cycles, APAC to industrial capex), and regional revenue mix also replaces the standalone FX weights section, since regional mix is currency exposure. Sales Channel, on the other hand, has a much bigger impact on gross margin than on revenue, so the right place to introduce it is in the GM build — not as another axis on top of the revenue model.</t>
  </si>
  <si>
    <t>Revenue Build Overview</t>
  </si>
  <si>
    <t>Gross Profit</t>
  </si>
  <si>
    <t>Gross Margin %</t>
  </si>
  <si>
    <t>Product Development</t>
  </si>
  <si>
    <t>Operating Expenses</t>
  </si>
  <si>
    <t>Cost of Products Sold</t>
  </si>
  <si>
    <t>Total Operating Expenses</t>
  </si>
  <si>
    <t>Income Tax Expense</t>
  </si>
  <si>
    <t>Adjusted Diluted EPS</t>
  </si>
  <si>
    <t>COST (As a % of Revenue)</t>
  </si>
  <si>
    <t>Selling, Marketing, &amp; Dist</t>
  </si>
  <si>
    <t>G&amp;A</t>
  </si>
  <si>
    <t>Operating Margin %</t>
  </si>
  <si>
    <t>Long-term debt</t>
  </si>
  <si>
    <t>Notes payable to banks (short-term)</t>
  </si>
  <si>
    <t>Revolver (US$750M facility, undrawn)</t>
  </si>
  <si>
    <t>Total Debt</t>
  </si>
  <si>
    <t>Interest Expense</t>
  </si>
  <si>
    <t>Historical (actual, per 10-K)</t>
  </si>
  <si>
    <t>Forecast (avg balance × blended rate)</t>
  </si>
  <si>
    <t>Inventories, net</t>
  </si>
  <si>
    <t>PP&amp;E, net</t>
  </si>
  <si>
    <t>Notes payable</t>
  </si>
  <si>
    <t>Trade accounts payable</t>
  </si>
  <si>
    <t>Salaries and incentives</t>
  </si>
  <si>
    <t>Dividends payable</t>
  </si>
  <si>
    <t>Other current liabilities</t>
  </si>
  <si>
    <t>Retirement benefits and deferred comp</t>
  </si>
  <si>
    <t>Deferred income taxes</t>
  </si>
  <si>
    <t>Days Payables Outstanding (DPO)</t>
  </si>
  <si>
    <t>Days Inventory Outstanding (DIO)</t>
  </si>
  <si>
    <t>Days Sales Outstanding (DSO)</t>
  </si>
  <si>
    <t>CASH CONVERSION CYCLE</t>
  </si>
  <si>
    <t>Graco Inc. (NYSE: GGG)</t>
  </si>
  <si>
    <t>Capex $</t>
  </si>
  <si>
    <t>Days sales outstanding (DSO)</t>
  </si>
  <si>
    <t>Days inventory outstanding (DIO)</t>
  </si>
  <si>
    <t>Days payables outstanding (DPO)</t>
  </si>
  <si>
    <t>Cash conversion cycle (CCC)</t>
  </si>
  <si>
    <t>Buybacks (as % of FCF)</t>
  </si>
  <si>
    <t>CAPITAL ALLOCATION</t>
  </si>
  <si>
    <t>CapEx % (as a % of revenue)</t>
  </si>
  <si>
    <t>Buybacks % (as a % of FCF)</t>
  </si>
  <si>
    <t>Common stock ($1.00 stated value)</t>
  </si>
  <si>
    <t>Accumulated other comprehensive loss</t>
  </si>
  <si>
    <t>Other current assets</t>
  </si>
  <si>
    <t>Current portion of LTD</t>
  </si>
  <si>
    <t xml:space="preserve">Operating lease liability </t>
  </si>
  <si>
    <t>D&amp;A Detail</t>
  </si>
  <si>
    <t>Depreciation</t>
  </si>
  <si>
    <t>Amortization of intangibles</t>
  </si>
  <si>
    <t>Total D&amp;A (check)</t>
  </si>
  <si>
    <t>Working capital changes</t>
  </si>
  <si>
    <t>Accounts receivable</t>
  </si>
  <si>
    <t>Inventory</t>
  </si>
  <si>
    <t>Retirement benefits</t>
  </si>
  <si>
    <t>Acquisitions</t>
  </si>
  <si>
    <t>PP&amp;E sales</t>
  </si>
  <si>
    <t>Borrowings (repayments) on notes payable</t>
  </si>
  <si>
    <t>Borrowings on LTD</t>
  </si>
  <si>
    <t>Payments on LTD</t>
  </si>
  <si>
    <t>Common stock issued</t>
  </si>
  <si>
    <t>Taxes paid related to net share settlement</t>
  </si>
  <si>
    <t>Cash BOP</t>
  </si>
  <si>
    <t>Cash EOP</t>
  </si>
  <si>
    <t>Non-cash other (gains)/charges</t>
  </si>
  <si>
    <t>Other assets and liabilities</t>
  </si>
  <si>
    <t>Common stock buybacks</t>
  </si>
  <si>
    <t>Exchange rate changes</t>
  </si>
  <si>
    <t>Stock-based comp</t>
  </si>
  <si>
    <t>This tab is a high-level segment-level revenue bridge: BoP Revenue × (1 + Organic % + Acquisitions % + FX %) = EoP Revenue, applied separately to each segment (Contractor, Industrial, Expansion) and rolled to consolidated. Historicals tie to filed numbers; forecasts pull growth assumptions from the Assumptions tab via a scenario switch. This enables an easier understanding of the model and quick scenario analysis - flex one growth rate and watch the total roll forward.
Graco's investor matierials only break out metrics at the business unit level. What this build cannot do is explain the drivers behind growth — price vs. volume, which tier, which sales channel, which geography, aftermarket vs. new equipment, or how M&amp;A integrates into the revenue base. The growth rate is the assumption; there is no underlying logic within this model supporting the growth rates at a more granular level. 
An ideal revenue decomposition is illustrated on the orange-colored tabs (Rev Build - PF1 - Airless Spray, Rev Build - PF2 - Powder Coat, Rev Build - BU 1 - Contractor). Those derive segment growth from Units × ASP by tier, Installed Base × Attach Rate for aftermarket, Service &amp; Integration contracts, deal-by-deal M&amp;A, and FX on a weighted currency-exposure base. Inputs are real business mechanics, not top-line growth rates.
Those tabs demonstrate that we would have a build for each product family feeding into business segment tabs, which would roll up to a consolidated company-level view like the one presented below. In that architecture, the growth rates on this tab stop being standalone inputs and become outputs of the bottoms-up work — this tab becomes the presentation layer, the bottoms-up tabs become the justification layer.</t>
  </si>
  <si>
    <t>Graco's three reporting segments. Contractor (~48% of sales) sells paint sprayers and dispensing equipment to professional contractors. Industrial (~45%) supplies fluid handling and finishing systems for manufacturing and process applications. Expansion Markets (~7%) covers semiconductor pumps, oil &amp; gas valves, and environmental remediation. Forecast pulls segment-level revenue from the Revenue Build tab, which scenarios growth rates by segment.</t>
  </si>
  <si>
    <t>Cost of products sold</t>
  </si>
  <si>
    <t>Product development</t>
  </si>
  <si>
    <t>Selling, marketing, &amp; distribution</t>
  </si>
  <si>
    <t>General &amp; admin</t>
  </si>
  <si>
    <t>Other Op. items / contingent considerations</t>
  </si>
  <si>
    <t>Three main buckets: Product Development (~3.7-4.1% of revenue) is R&amp;D for new equipment platforms. Selling, Marketing &amp; Distribution (~12-13% of revenue) covers the global sales force, channel partners, and distribution. G&amp;A (~7-9% of revenue) is corporate overhead. 'Other Operating Items' captures contingent consideration adjustments, impairments, and one-time charges. FY25 operating margin was 27.9%, expanding from 26.7% in FY21 as the business scaled.</t>
  </si>
  <si>
    <t>Interest expense</t>
  </si>
  <si>
    <t>Other (income) / expense, net</t>
  </si>
  <si>
    <t>Diluted shares = basic shares + dilutive impact of stock options and RSUs. Graco's share count drifts down ~2% per year (buybacks &gt; RSUs). Forecast assumes 2% annual share count reduction and EPS reaches ~$3.93 by FY30. Adjusted EPS strips out one-time items in historicals; in the forecast we don't model discrete charges so Adjusted = GAAP.</t>
  </si>
  <si>
    <t>EBITDA margin has expanded from 29.7% (FY21) to 33.4% (FY25) as fixed-cost leverage and acquisition-driven amortization both grew. Forecast EBITDA margin compresses slightly to ~31% by FY30 as amortization runs off (intangibles burn down without new M&amp;A modeled). Stock-based compensation runs ~1.2-1.5% of revenue.</t>
  </si>
  <si>
    <t>% of revenue</t>
  </si>
  <si>
    <t>Two separate items between EBIT and pretax income. (1) Interest expense: cost of carrying Graco's small debt load (2) Other (income) / expense, non operating costs including pension/retirement plan returns, FX gains/losses, equity method investment income, gains on sale of buildings. This line is volatile: FY23 had a $42M pension settlement charge; FY24-FY25 had $19-22M of net gains. Therefore, we took 5 yr avg. for forecast. Effective tax rate has run 13-19%, held BELOW the ~21-23% statutory rate by OBBBA bonus depreciation and SBC excess tax benefits.</t>
  </si>
  <si>
    <t>Excess of acquisition cost over fair value of net assets acquired. Held flat in forecast (no future M&amp;A modeled). Step-ups from FY24 Corob ($230M) and FY25 Color Service / Radia acquisitions.</t>
  </si>
  <si>
    <t>Acquired customer relationships, technology, trademarks. Forecast roll-forward: prior - Amortization (assumes no new M&amp;A). Runs off ~$7M/yr as ~7-yr useful life intangibles age.</t>
  </si>
  <si>
    <t>Right-of-use asset for operating leases (ASC 842). Held flat in forecast — small (~$26M) and minimal impact.</t>
  </si>
  <si>
    <t>Accrued bonus, commissions, and incentive comp. Forecast as % of revenue (scales with headcount and revenue base).</t>
  </si>
  <si>
    <t>Quarterly cash dividend declared but not yet paid. Held flat at FY25 level (≈ quarterly dividend run-rate × shares outstanding).</t>
  </si>
  <si>
    <t>Accrued warranties, customer rebates, deferred revenue, accrued professional fees, and miscellaneous accruals. Forecast as % of revenue.</t>
  </si>
  <si>
    <t>Pension obligation + deferred compensation liability for executives. Held flat in forecast (assumes minimal pension contribution changes).</t>
  </si>
  <si>
    <t>Cost of Products Sold includes raw materials, direct labor, manufacturing overhead, freight. Graco's gross margin runs historically at ~52-53%, well above peers like IDEX (~44-45%), Watts Water (~37-38%), and Lincoln Electric (~35%) and roughly in line with Nordson (~55%)</t>
  </si>
  <si>
    <t>Net Income</t>
  </si>
  <si>
    <t xml:space="preserve">Cash on hand. Graco runs a large cash balance (~$600-700M). No marketable securities. </t>
  </si>
  <si>
    <t>Mostly comprised from channel resellers - distributors, OEMs</t>
  </si>
  <si>
    <t>Raw materials, WIP, and finished goods. Inventory has been declining since FY22 peak as supply chain normalizes.</t>
  </si>
  <si>
    <t>Prepaid expenses, refundable income taxes, and miscellaneous short-term receivables. Forecast as % of revenue (scales with operating activity).</t>
  </si>
  <si>
    <t xml:space="preserve">Net deferred tax asset position from temporary differences (mostly U.S. pension, SBC, inventory reserves). Held flat in forecast because its based on discrete events. </t>
  </si>
  <si>
    <t>Short-term borrowings on bank lines of credit, primarily used to fund foreign subsidiary operations in local currency. A treasury / financing decision, not an operating one. Historically stable at $21-44M range with no clear trend; held flat at FY25 level (~$23M) since there is no clean economic driver.</t>
  </si>
  <si>
    <t xml:space="preserve">DPO well below industry norms (~50-60 days), suggesting it doesn't use suppliers as a cheap financing source, but gains discounts and strengthens relationship by paying fast. They can do this because consistent they got stockpile of cash. </t>
  </si>
  <si>
    <t>Held flat in forecast - small total (~$18M)</t>
  </si>
  <si>
    <t>All LTD is maturing in NTM</t>
  </si>
  <si>
    <t>Graco operates with minimal LT debt (mostly paid off after FY22); held at $0 in forecast (no new debt assumed).</t>
  </si>
  <si>
    <t>Net deferred tax liability from temporary differences (intangible amortization, accelerated tax depreciation). Volatile, hard to forecast so held flat .</t>
  </si>
  <si>
    <t>Shares Outs. x 1.00 (bookeeping number, no insights here)</t>
  </si>
  <si>
    <t>Equity / Total Cap</t>
  </si>
  <si>
    <t>Cumulative NI less cumulative dividends, plus buyback overflow once APIC hits zero. Grows ~$340M/yr from retained earnings; dampens FY29+ as overflow charges here.</t>
  </si>
  <si>
    <t>Cumulative FX translation + pension OCI. Held flat at FY25 ($37.5M). Historically volatile (-$80M to +$38M) driven by USD strength and pension discount rates.</t>
  </si>
  <si>
    <t>Capital paid in above par. Drivers: SBC (+~$15M/yr), stock issued (small), buybacks (-~$300M+/yr). Floored at zero cuz GAAP doesn't allow negative APIC. Exhausts by FY29; overflow flows to RE.</t>
  </si>
  <si>
    <t>Net Income from IS row 38. Starting point for indirect-method CFO.</t>
  </si>
  <si>
    <t>Depreciation addback (non-cash). Drives from IS row 58.</t>
  </si>
  <si>
    <t>Amortization of intangibles addback (non-cash). Drives from IS row 59. Declines as acquired intangibles roll off.</t>
  </si>
  <si>
    <t>Catch-all for non-cash items: pension settlement losses, impairments, contingent consideration adjustments, gains on building sale. Forecast = 0 (assumes no discrete events; override if M&amp;A or impairments expected).</t>
  </si>
  <si>
    <t>Deferred tax movements. Forecast = 0 (timing-driven; averages to ~zero over multi-year periods).</t>
  </si>
  <si>
    <t>AR change: prior - current. Decrease in AR = cash source. Driven by DSO assumption.</t>
  </si>
  <si>
    <t>Inventory change: prior - current. Decrease in Inv = cash source. Driven by DIO assumption.</t>
  </si>
  <si>
    <t>AP change: current - prior. Increase in AP = cash source. Driven by DPO assumption.</t>
  </si>
  <si>
    <t>Salaries &amp; incentives change: tracks BS row 30 (% of revenue).</t>
  </si>
  <si>
    <t>Retirement benefits change. Forecast = 0 (assumes routine pension contributions = expense; minor).</t>
  </si>
  <si>
    <t>M&amp;A spend. Forecast = 0 (no future M&amp;A modeled). Historical FY24-25 reflects Corob/Color Service/Radia.</t>
  </si>
  <si>
    <t>PP&amp;E sale proceeds. Forecast = 0 (building sales are discretionary and lumpy). Historical FY24-25 from divested facilities.</t>
  </si>
  <si>
    <t>FX impact on USD cash balances. Forecast = 0 (FX moves average to ~zero over multi-year periods).</t>
  </si>
  <si>
    <t>Net change in cash = CFO + CFI + CFF + FX.</t>
  </si>
  <si>
    <t>Cash beginning of period (= prior period EoP cash).</t>
  </si>
  <si>
    <t>Cash end of period. Flows to BS row 10 next period.</t>
  </si>
  <si>
    <t>Stock-based comp addback (non-cash) as it sits hidden in OpEx. Drives from IS row 54.</t>
  </si>
  <si>
    <t>Catch-all: long-term notes receivable, minority equity investments in companies, indemnification escrow assets from acquisitions, and deferred long-term costs. Inflated FY24-25 likely high M&amp;A activity tied escrow holdbacks and minority stakes from those deals. Forecast linear runoff to ~$36M baseline over 5 years as escrows release and items roll off.</t>
  </si>
  <si>
    <t>Captures: change in Other CL + change in Other CA + Other NC asset runoff. Positive in forecast as acquisition indemnifications convert to cash.</t>
  </si>
  <si>
    <t>Uncertain tax positions, contingent consideration earnouts from acquisitions, miscellaneous LT obligations. Held flat in forecast.</t>
  </si>
  <si>
    <t>Maintennce + Growth Capex. Drives from Assumptions (Capex % × Revenue). Maintenance ~$40-50M/yr per mgmt.</t>
  </si>
  <si>
    <t xml:space="preserve">Other investing (small; equity investments, intangible additions). </t>
  </si>
  <si>
    <t>Net change in short-term notes payable. Forecast = 0 (BS notes payable held constant)</t>
  </si>
  <si>
    <t xml:space="preserve">Share buybacks </t>
  </si>
  <si>
    <t>Cash from option being exercised + ESPP. Forecast at 5-yr historical average (~$52M/yr). Real cash inflow when employees pay strike price to exercise vested options.</t>
  </si>
  <si>
    <t>Tax withholding on RSU/option vesting</t>
  </si>
  <si>
    <t>Cash dividends paid. (FY25 base × 5% growth/yr) — 25-yr track record of annual dividend hikes.</t>
  </si>
  <si>
    <t>FCF margin = FCF / Revenue. Graco runs ~21-25% - best-in-class for industrials.</t>
  </si>
  <si>
    <t>WACC = cost of equity × equity weight + after-tax cost of debt × debt weight. Graco is essentially debt-free (~0.1% of cap), so WACC ≈ cost of equity. Excludes operating leases.</t>
  </si>
  <si>
    <t>FCF = CFO − Capex − SBC. SBC deducted as a true economic cost (dilution is real). Capex runs at the assumed % of revenue from the scenario selector.</t>
  </si>
  <si>
    <t>Exit multiple TV = FY30E EBITDA × exit multiple. More stable than perpetuity but only as good as the chosen multiple. Triangulate against current LTM multiple, peer median (Comps tab), and historical M&amp;A precedents.</t>
  </si>
  <si>
    <t>Both methods place ~70-80% of EV in terminal value — either way this is largely a bet on terminal-period economics. The gap between the two methods quantifies how much the answer depends on your terminal assumption choice.</t>
  </si>
  <si>
    <t>Perpetuity sensitivity quantifies fragility to WACC vs. g. Use this grid to reverse-engineer which WACC/g combo matches the current market price; if that combo looks unreasonable, the stock may be mispriced.</t>
  </si>
  <si>
    <t>Exit-multiple sensitivity is tighter than perpetuity since TV anchors to EBITDA. Useful for stress-testing the implied exit multiple the market is pricing today vs. peer and historical ranges.</t>
  </si>
  <si>
    <t>GGG</t>
  </si>
  <si>
    <t>NDSN</t>
  </si>
  <si>
    <t>IEX</t>
  </si>
  <si>
    <t>ROP</t>
  </si>
  <si>
    <t>WTS</t>
  </si>
  <si>
    <t>LECO</t>
  </si>
  <si>
    <t>DCI</t>
  </si>
  <si>
    <t>AOS</t>
  </si>
  <si>
    <t>Summary Statistics (Peers, excl. GGG)</t>
  </si>
  <si>
    <t>All Peers Mean</t>
  </si>
  <si>
    <t>All Peers Median</t>
  </si>
  <si>
    <t>Implied GGG Valuation (Tier 1+2 Median)</t>
  </si>
  <si>
    <t>SBC ($M)</t>
  </si>
  <si>
    <t>EV / EBITDA-SBC</t>
  </si>
  <si>
    <t>Graco Inc.</t>
  </si>
  <si>
    <t>Nordson Corp</t>
  </si>
  <si>
    <t>IDEX Corp</t>
  </si>
  <si>
    <t>Roper Technologies</t>
  </si>
  <si>
    <t>Watts Water Tech</t>
  </si>
  <si>
    <t>Lincoln Electric</t>
  </si>
  <si>
    <t>Donaldson Co</t>
  </si>
  <si>
    <t>A.O. Smith</t>
  </si>
  <si>
    <t>Implied Price</t>
  </si>
  <si>
    <t>Multiple</t>
  </si>
  <si>
    <t>GGG Metric</t>
  </si>
  <si>
    <t>Shares (M)</t>
  </si>
  <si>
    <t>EV/EBITDA-SBC</t>
  </si>
  <si>
    <t>Tier 1 Mean (NDSN, IEX)</t>
  </si>
  <si>
    <t>Tier 1+2 Median</t>
  </si>
  <si>
    <t>All amounts in $ millions unless noted | EPS = GAAP diluted | FCF = CFO - Capex - SBC</t>
  </si>
  <si>
    <t>EPS</t>
  </si>
  <si>
    <t>FCF/Sh</t>
  </si>
  <si>
    <t>EBITDA Mgn</t>
  </si>
  <si>
    <t>P/FCF</t>
  </si>
  <si>
    <t>Tier 1 — Niche Industrial Specialists (Closest)</t>
  </si>
  <si>
    <t>Tier 2 — Specialty Industrial (Similar Moat)</t>
  </si>
  <si>
    <t>Tier 3 — Diversified Industrial (Directional)</t>
  </si>
  <si>
    <t>P / E (no EV/net debt)</t>
  </si>
  <si>
    <t>P / FCF (no EV/net debt)</t>
  </si>
  <si>
    <t>Forecast roll-forward: prior + Capex - Depreciation. Reflects manufacturing facilities in MN, OH, MI, plus international sites. PPE is cumulative total CapEx spend - Acc. Dep</t>
  </si>
  <si>
    <t>EBITDA-SBC ($M)</t>
  </si>
  <si>
    <t>Competitors</t>
  </si>
  <si>
    <t>Less Net Debt ($M)</t>
  </si>
  <si>
    <t>Calc. Mkt Cap ($M)</t>
  </si>
  <si>
    <t>FCF ($M)</t>
  </si>
  <si>
    <t>FCF-SBC ($M)</t>
  </si>
  <si>
    <t>FCF Margin</t>
  </si>
  <si>
    <t>vs.  Current GGG</t>
  </si>
  <si>
    <t>Using peer exit multiples, the implied share price of Graco is close to the current $80.76. EV-based multiples suggest a slight premium (~5%), while P/FCF suggests modest undervaluation (~9%). The premium on EV/EBITDA reflects the higher premium investors are willing to pay on Graco's margin durability and growth. However, the P/FCF implied price is +9% above current, suggesting investors aren't fully rewarding Graco's current FCF conversion. Is Graco's current FCF margin on aligned with historcals? ---&gt; No, Graco's FY25 FCF was elevated by anomalously low capex ($46M vs $130-200M historical) — as capex normalizes toward 4-5% of revenue, FCF and the implied multiple will compress.</t>
  </si>
  <si>
    <t>Perpetuity TV = FY30E Terminal FCF × (1+g) / (WACC − g). Fragile to small changes in (WACC − g) spread. Most defensible when g anchors to long-run nominal GDP (~2.5-3%).</t>
  </si>
  <si>
    <t>Revenue build by segment (Contractor, Industrial, Expansion). Drives top-line forecast off scenario-selected growth rates. Contractor (~48% of revenue) is the largest segment and most cyclical; Industrial is the highest-margin business; Expansion Markets is the smallest but fastest-growing.</t>
  </si>
  <si>
    <t>P&amp;L cost structure as % of revenue. COGS drives gross margin (~52-53% historically); Product Development, S&amp;M, and G&amp;A combine for total operating expenses. Forecast normalizes toward scenario-selected terminal margins via linear ramp from FY25A.</t>
  </si>
  <si>
    <t>Debt schedule: tracks Graco's three debt tranches (LT debt, ST notes payable, undrawn revolver). FY25 total debt ~$25M, essentially debt-free. Used to calculate weighted-avg pre-tax cost of debt for WACC.</t>
  </si>
  <si>
    <t>Effective tax rate and interest expense. Tax rate runs below statutory (~22-24%) due to OBBBA bonus depreciation and excess SBC tax benefits, both of which lower ETR. Interest expense is minimal given Graco's near-zero debt balance.</t>
  </si>
  <si>
    <t>Working capital drivers: DSO, DIO, DPO, and CCC. Drive forecasted AR, Inventory, and AP via days × volume / 365. Capex % of revenue and SBC % of revenue drive capex spend and stock comp expense respectively.</t>
  </si>
  <si>
    <t>Capital allocation block: drives buyback dollars (% of FCF) and dividend growth. Share count rolls forward dynamically using buyback dollars / share price net of SBC issuance / share price. Updates tie to IS row 42 (diluted shares) for EPS calc.</t>
  </si>
  <si>
    <t>DCF inputs: cost of equity (CAPM), pre-tax cost of debt (weighted from debt schedule), market values of debt and equity, and resulting WACC. Terminal growth rate and exit multiple drive perpetuity vs. multiple terminal value calculations.</t>
  </si>
  <si>
    <t>•  Diversified end markets: Contractor (paint sprayers ~48%), Industrial (manufacturing/automotive/finishing ~45%), Expansion (semis, oil &amp; gas ~7%)</t>
  </si>
  <si>
    <t>•  Geographic balance: Americas ~60%, EMEA ~24%, APAC ~16% — reduces single-region exposure</t>
  </si>
  <si>
    <t>•  M&amp;A pipeline: 100+ name pipeline per mgmt; FY24-25 closed Corob (€230M), Color Service (€63M), Radia ($69M); $190M run-rate revenue from acquisitions</t>
  </si>
  <si>
    <t>•  ETM electric pump licensing: high-torque motor IP being licensed to OEMs/motor manufacturers; royalties not in current guidance — incremental upside</t>
  </si>
  <si>
    <t>•  Capex normalization: FY25 capex spiked low ($46M) post heavy FY21-23 buildout cycle; sustained low maintenance capex would lift FCF</t>
  </si>
  <si>
    <t>•  Cyclical end-market exposure: Contractor segment tied to U.S. residential/commercial construction; Industrial tied to manufacturing capex</t>
  </si>
  <si>
    <t>•  US construction soft in recent periods; FY25 Contractor organic growth muted, masked by acquisitions and FX tailwind</t>
  </si>
  <si>
    <t>•  Tariff exposure: $4M Q4 FY25 hit to gross margin (70bps) from increased product costs; ongoing tariff and supply chain risk</t>
  </si>
  <si>
    <t>•  Industrial production weakness: end markets remain soft; macroeconomic uncertainty cited by mgmt as biggest near-term headwind</t>
  </si>
  <si>
    <t>•  Valuation premium: trades at 17x EV/EBITDA, ~5% premium to closest comps (NDSN, IEX); limited multiple expansion room</t>
  </si>
  <si>
    <t>•  Currency translation risk: 40% of revenue outside USA; EUR/CNY/GBP fluctuations swing reported results materially</t>
  </si>
  <si>
    <t>•  Acquisition integration risk: 3 acquisitions in 18 months (Corob/Color Service/Radia); execution risk if integration falters or earnouts trigger</t>
  </si>
  <si>
    <t>•  One Graco operating model launch (2025) — organizational leverage from consolidation</t>
  </si>
  <si>
    <t>•  Strong margins: 33% EBITDA margin, 28.5% FCF margin (peer-leading ex-Roper); ROIC ~24% sustained over 5 years</t>
  </si>
  <si>
    <t xml:space="preserve">•  Niche pricing power: 52-53% gross margin reflects specialty fluid-handling moat in difficult-to-handle materials. Peer median ~38% but Nordson - most direct compeitior - is around the same GM. </t>
  </si>
  <si>
    <t>•  Strong balance sheet: $624M cash, ~$25M debt = $600M+ net cash; 100-year operating history with consistent dividend increases for 25+ years</t>
  </si>
  <si>
    <t>•  Capital return engine: $423M buybacks + $183M dividends in FY25 = $606M returned (~89% of FCF)</t>
  </si>
  <si>
    <t>•  Mature business in mature end markets, there is a ceiling to growth and most likely the company will stay within low-single digits</t>
  </si>
  <si>
    <t>•   R&amp;D intensity below specialty peers: Graco spends ~3.7% of revenue on Product Development vs. Nordson at ~5%+</t>
  </si>
  <si>
    <t>•  Heavy reliance on a few large channel partners in Contractor segment (Sherwin-Williams, Home Depot/Sam's Club)</t>
  </si>
  <si>
    <t>Supports Scenario Summary. Each scenario re-runs a simplified DCF using Bear/Base/Bull drivers from Assumptions. Shared WACC, shares, net debt.</t>
  </si>
  <si>
    <t>Terminal EBITDA margin</t>
  </si>
  <si>
    <t>Income Statement'!M12</t>
  </si>
  <si>
    <t>Income Statement'!M38</t>
  </si>
  <si>
    <t>Income Statement'!M51</t>
  </si>
  <si>
    <t>Cash Flow'!M52</t>
  </si>
  <si>
    <t>Snapshot taken via scenario toggle sweep on Assumptions!H11:H35. Main model returned to Base after capture.</t>
  </si>
  <si>
    <t>Football Field Chart — Source Data (Graco)</t>
  </si>
  <si>
    <t>Peer 25th–75th pctile × GGG FY26E EBITDA</t>
  </si>
  <si>
    <t>Peer 25th–75th pctile × GGG FY26E EPS</t>
  </si>
  <si>
    <t>(-) D&amp;A (~4.7% of revenue, Graco actual)</t>
  </si>
  <si>
    <t>(-) D&amp;A (~4.7% of revenue)</t>
  </si>
  <si>
    <t>Acquisition Spend ($M/year)</t>
  </si>
  <si>
    <t>Refreshed after M&amp;A and WACC scenario logic added</t>
  </si>
  <si>
    <t>As a % of Total of Revenue</t>
  </si>
  <si>
    <t>YoY Growth %</t>
  </si>
  <si>
    <t>Note: Simplified scenario view showing Bear/Base/Bull side-by-side (independent of the main Assumptions toggle, by design). Uses a single blended revenue growth (organic + acquisitions + FX collapsed to a single rate), FY26E EBITDA margin anchored to management's guidance and interpolated linearly to each scenario's terminal margin, D&amp;A held flat at 14% of EBITDA (~Graco run-rate), and no working capital.</t>
  </si>
  <si>
    <t>FY26E anchored to mgmt's guidance where given. FY27-FY30 interpolate linearly between FY26 start and scenario terminal values. Each driver toggles independently via column H dropdown.</t>
  </si>
  <si>
    <t>Graco is a high-quality industrial compounder with industry-leading margins (33% EBITDA, 28.5% FCF), a 100-year brand, and a $600M cash position. As a mature business with organic growth structurally capped at 1-3%, Graco's growth engine is acquisitions (~$100M/yr to deliver mid-single-digit total growth), making M&amp;A execution the single biggest swing factor in the implied price. At ~$81, the stock trades roughly in line with peer multiples but above conventional DCF fair value. This gap reflects the market paying for moat durability and capital return discipline that a DCF valuation mechanically undersells. The bull case is owning a steady compounder where 89% of FCF returns to shareholders annually; the bear case is paying full price for a business showing early cracks (Q1 FY26 organic -6%, 60bps tariff GM drag) without much room for multiple expansion. Over the next 12-24 months, watch organic growth recovery, tariff/pricing dynamics, acquisition cadence and multiples paid, and whether mgmt remains buyback-disciplined at premium prices. 
Overall, this is a quality mature business that trades near its fair value. It isn't undervalued where it must be bought, but is a stable compounder where the downside is contained by margins and cash, and the upside depends on M&amp;A success.</t>
  </si>
  <si>
    <t>Investment Thesis</t>
  </si>
  <si>
    <t>GRACO INC.</t>
  </si>
  <si>
    <t>NYSE: GGG</t>
  </si>
  <si>
    <t>Industrial — Specialty Fluid Handling Equipment &amp; Coatings</t>
  </si>
  <si>
    <t>Industrials: Specialty Industrial Machinery</t>
  </si>
  <si>
    <t>Three segments: Contractor (paint sprayers ~48% of rev), Industrial (manufacturing/finishing ~45%), Expansion Markets (semis, oil &amp; gas, environmental ~7%)</t>
  </si>
  <si>
    <t>Global manufacturing: HQ Minneapolis MN; major facilities in OH, MI, plus international (Italy, Switzerland, India, China). Sells in 60+ countries via distributor network. ~4,400 employees.</t>
  </si>
  <si>
    <t>Equipment &amp; systems sales (point-of-shipment recognition); some service &amp; contract revenue. Americas ~60%, EMEA ~24%, APAC ~16%.</t>
  </si>
  <si>
    <t>Essentially debt-free: $25M total debt (FY25), $624M cash = $600M+ net cash position. $750M revolver undrawn. $507M buyback authority outstanding.</t>
  </si>
  <si>
    <t>Base Case (Exit Multiple, 15x)</t>
  </si>
  <si>
    <t>Terminal EBITDA Margin</t>
  </si>
  <si>
    <t>1. Set all dropdowns on Assumptions!H11:H37 to "Bear" → copy values from main model into column D below.  2. Repeat for "Base" (column E) and "Bull" (column F).  3. Update timestamp in C9.  4. Return Assumptions toggles to your preferred scenario for the main model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</si>
</sst>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_(* \(#,##0.00\);_(* &quot;-&quot;??_);_(@_)"/>
    <numFmt numFmtId="164" formatCode="0.0"/>
    <numFmt numFmtId="165" formatCode="#,##0.0"/>
    <numFmt numFmtId="166" formatCode="_(* #,##0_);_(* \(#,##0\);_(* &quot;-&quot;??_);_(@_)"/>
    <numFmt numFmtId="167" formatCode="0.0\x"/>
    <numFmt numFmtId="168" formatCode="0.0%"/>
    <numFmt numFmtId="169" formatCode="&quot;$&quot;#,##0.00"/>
    <numFmt numFmtId="170" formatCode="0.0&quot;x&quot;"/>
    <numFmt numFmtId="171" formatCode="&quot;$&quot;#,##0.0"/>
    <numFmt numFmtId="172" formatCode="0.000"/>
    <numFmt numFmtId="173" formatCode="0.00&quot;x&quot;"/>
    <numFmt numFmtId="174" formatCode="#,##0;\(#,##0\);\-"/>
    <numFmt numFmtId="175" formatCode="#,##0.0;\(#,##0.0\);\-"/>
    <numFmt numFmtId="176" formatCode="&quot;$&quot;#,##0"/>
    <numFmt numFmtId="178" formatCode="yyyy\-mm\-dd"/>
    <numFmt numFmtId="179" formatCode="0.0%;[Red]\-0.0%;\-"/>
    <numFmt numFmtId="180" formatCode="0.0%;\(0.0%\);\-"/>
    <numFmt numFmtId="181" formatCode="0%;\(0%\);\-"/>
    <numFmt numFmtId="182" formatCode="&quot;$&quot;#,##0;\(&quot;$&quot;#,##0\);\-"/>
    <numFmt numFmtId="183" formatCode="&quot;$&quot;#,##0.0;\(&quot;$&quot;#,##0.0\);\-"/>
    <numFmt numFmtId="184" formatCode="0.00;\(0.00\);\-"/>
    <numFmt numFmtId="185" formatCode="0.0;\(0.0\);\-"/>
    <numFmt numFmtId="186" formatCode="&quot;$&quot;#,##0.00;\(&quot;$&quot;#,##0.00\);\-"/>
    <numFmt numFmtId="191" formatCode="0.0%;\(0.0%\)"/>
  </numFmts>
  <fonts count="100" x14ac:knownFonts="1">
    <font>
      <sz val="11"/>
      <color theme="1"/>
      <name val="Calibri"/>
      <family val="2"/>
      <scheme val="minor"/>
    </font>
    <font>
      <sz val="11"/>
      <color theme="1"/>
      <name val="Calibri"/>
      <family val="2"/>
      <scheme val="minor"/>
    </font>
    <font>
      <b/>
      <sz val="10"/>
      <color rgb="FF000000"/>
      <name val="Calibri"/>
      <family val="2"/>
    </font>
    <font>
      <sz val="10"/>
      <color rgb="FF000000"/>
      <name val="Calibri"/>
      <family val="2"/>
    </font>
    <font>
      <i/>
      <sz val="10"/>
      <color rgb="FF000000"/>
      <name val="Calibri"/>
      <family val="2"/>
    </font>
    <font>
      <b/>
      <sz val="10"/>
      <color rgb="FF000000"/>
      <name val="Calibri"/>
      <family val="2"/>
      <scheme val="minor"/>
    </font>
    <font>
      <sz val="10"/>
      <color rgb="FF000000"/>
      <name val="Calibri"/>
      <family val="2"/>
      <scheme val="minor"/>
    </font>
    <font>
      <sz val="10"/>
      <color rgb="FF008000"/>
      <name val="Calibri"/>
      <family val="2"/>
      <scheme val="minor"/>
    </font>
    <font>
      <i/>
      <sz val="10"/>
      <color rgb="FF000000"/>
      <name val="Calibri"/>
      <family val="2"/>
      <scheme val="minor"/>
    </font>
    <font>
      <sz val="10"/>
      <color theme="1"/>
      <name val="Calibri"/>
      <family val="2"/>
      <scheme val="minor"/>
    </font>
    <font>
      <i/>
      <sz val="10"/>
      <color theme="1"/>
      <name val="Calibri"/>
      <family val="2"/>
      <scheme val="minor"/>
    </font>
    <font>
      <sz val="10"/>
      <color rgb="FF0000FF"/>
      <name val="Calibri"/>
      <family val="2"/>
      <scheme val="minor"/>
    </font>
    <font>
      <sz val="10"/>
      <color rgb="FF008000"/>
      <name val="Calibri"/>
      <family val="2"/>
    </font>
    <font>
      <i/>
      <sz val="10"/>
      <color theme="1"/>
      <name val="Calibri (Body)"/>
    </font>
    <font>
      <b/>
      <i/>
      <sz val="10"/>
      <color rgb="FF000000"/>
      <name val="Calibri (Body)"/>
    </font>
    <font>
      <i/>
      <sz val="10"/>
      <color rgb="FF000000"/>
      <name val="Calibri (Body)"/>
    </font>
    <font>
      <b/>
      <sz val="10"/>
      <color rgb="FF000000"/>
      <name val="Calibri (Body)"/>
    </font>
    <font>
      <sz val="10"/>
      <color theme="1"/>
      <name val="Calibri (Body)"/>
    </font>
    <font>
      <sz val="10"/>
      <color rgb="FF000000"/>
      <name val="Calibri (Body)"/>
    </font>
    <font>
      <sz val="10"/>
      <color rgb="FF008000"/>
      <name val="Calibri (Body)"/>
    </font>
    <font>
      <sz val="10"/>
      <color rgb="FF0000FF"/>
      <name val="Calibri (Body)"/>
    </font>
    <font>
      <i/>
      <sz val="10"/>
      <color rgb="FF008000"/>
      <name val="Calibri (Body)"/>
    </font>
    <font>
      <b/>
      <sz val="12"/>
      <color rgb="FF000000"/>
      <name val="Calibri"/>
      <family val="2"/>
      <scheme val="minor"/>
    </font>
    <font>
      <i/>
      <sz val="10"/>
      <color rgb="FF0000FF"/>
      <name val="Calibri (Body)"/>
    </font>
    <font>
      <sz val="10"/>
      <name val="Calibri (Body)"/>
    </font>
    <font>
      <b/>
      <sz val="10"/>
      <name val="Calibri (Body)"/>
    </font>
    <font>
      <b/>
      <sz val="12"/>
      <name val="Calibri"/>
      <family val="2"/>
      <scheme val="minor"/>
    </font>
    <font>
      <b/>
      <i/>
      <sz val="10"/>
      <color rgb="FF000000"/>
      <name val="Calibri"/>
      <family val="2"/>
      <scheme val="minor"/>
    </font>
    <font>
      <b/>
      <sz val="10"/>
      <color rgb="FF1F4E79"/>
      <name val="Calibri (Body)"/>
    </font>
    <font>
      <sz val="10"/>
      <color rgb="FF000000"/>
      <name val="Calibri"/>
      <family val="2"/>
    </font>
    <font>
      <sz val="10"/>
      <color rgb="FF000000"/>
      <name val="Calibri"/>
      <family val="2"/>
    </font>
    <font>
      <b/>
      <sz val="10"/>
      <color theme="1"/>
      <name val="Calibri"/>
      <family val="2"/>
    </font>
    <font>
      <b/>
      <sz val="10"/>
      <color theme="1"/>
      <name val="Calibri (Body)"/>
    </font>
    <font>
      <b/>
      <sz val="11"/>
      <color theme="1"/>
      <name val="Calibri"/>
      <family val="2"/>
      <scheme val="minor"/>
    </font>
    <font>
      <b/>
      <sz val="18"/>
      <color theme="1"/>
      <name val="Calibri"/>
      <family val="2"/>
      <scheme val="minor"/>
    </font>
    <font>
      <sz val="10"/>
      <color rgb="FF000000"/>
      <name val="Tahoma"/>
      <family val="2"/>
    </font>
    <font>
      <b/>
      <sz val="10"/>
      <color rgb="FF000000"/>
      <name val="Tahoma"/>
      <family val="2"/>
    </font>
    <font>
      <b/>
      <sz val="10"/>
      <color theme="1"/>
      <name val="Calibri"/>
      <family val="2"/>
      <scheme val="minor"/>
    </font>
    <font>
      <b/>
      <sz val="10"/>
      <color rgb="FF008000"/>
      <name val="Calibri"/>
      <family val="2"/>
    </font>
    <font>
      <b/>
      <sz val="10"/>
      <color rgb="FF008000"/>
      <name val="Calibri"/>
      <family val="2"/>
      <scheme val="minor"/>
    </font>
    <font>
      <b/>
      <i/>
      <sz val="10"/>
      <color theme="1"/>
      <name val="Calibri"/>
      <family val="2"/>
      <scheme val="minor"/>
    </font>
    <font>
      <i/>
      <sz val="10"/>
      <color rgb="FF008000"/>
      <name val="Calibri"/>
      <family val="2"/>
      <scheme val="minor"/>
    </font>
    <font>
      <b/>
      <sz val="12"/>
      <color theme="1"/>
      <name val="Calibri"/>
      <family val="2"/>
      <scheme val="minor"/>
    </font>
    <font>
      <b/>
      <sz val="11"/>
      <color rgb="FFFFFFFF"/>
      <name val="Calibri"/>
      <family val="2"/>
      <scheme val="minor"/>
    </font>
    <font>
      <sz val="11"/>
      <color rgb="FF000000"/>
      <name val="Calibri"/>
      <family val="2"/>
      <scheme val="minor"/>
    </font>
    <font>
      <b/>
      <sz val="24"/>
      <color rgb="FF1F4E78"/>
      <name val="Calibri"/>
      <family val="2"/>
      <scheme val="minor"/>
    </font>
    <font>
      <sz val="14"/>
      <color rgb="FF404040"/>
      <name val="Calibri"/>
      <family val="2"/>
      <scheme val="minor"/>
    </font>
    <font>
      <i/>
      <sz val="11"/>
      <color rgb="FF595959"/>
      <name val="Calibri"/>
      <family val="2"/>
      <scheme val="minor"/>
    </font>
    <font>
      <b/>
      <sz val="10"/>
      <color rgb="FFFFFFFF"/>
      <name val="Calibri"/>
      <family val="2"/>
      <scheme val="minor"/>
    </font>
    <font>
      <i/>
      <sz val="11"/>
      <color rgb="FF595959"/>
      <name val="Calibri (Body)"/>
    </font>
    <font>
      <b/>
      <sz val="10"/>
      <color rgb="FFFFFFFF"/>
      <name val="Calibri (Body)"/>
    </font>
    <font>
      <i/>
      <sz val="10"/>
      <color rgb="FF666666"/>
      <name val="Calibri"/>
      <family val="2"/>
      <scheme val="minor"/>
    </font>
    <font>
      <i/>
      <sz val="10"/>
      <color rgb="FF808080"/>
      <name val="Calibri"/>
      <family val="2"/>
      <scheme val="minor"/>
    </font>
    <font>
      <i/>
      <sz val="9"/>
      <color rgb="FF666666"/>
      <name val="Calibri"/>
      <family val="2"/>
      <scheme val="minor"/>
    </font>
    <font>
      <i/>
      <sz val="9"/>
      <color rgb="FF808080"/>
      <name val="Calibri (Body)"/>
    </font>
    <font>
      <b/>
      <sz val="8"/>
      <color rgb="FF1F4E79"/>
      <name val="Calibri (Body)"/>
    </font>
    <font>
      <b/>
      <sz val="9"/>
      <color rgb="FF1F4E79"/>
      <name val="Calibri"/>
      <family val="2"/>
      <scheme val="minor"/>
    </font>
    <font>
      <i/>
      <sz val="10"/>
      <color rgb="FF0000FF"/>
      <name val="Calibri"/>
      <family val="2"/>
      <scheme val="minor"/>
    </font>
    <font>
      <b/>
      <sz val="10"/>
      <color theme="0"/>
      <name val="Calibri"/>
      <family val="2"/>
      <scheme val="minor"/>
    </font>
    <font>
      <sz val="10"/>
      <color theme="0"/>
      <name val="Calibri"/>
      <family val="2"/>
      <scheme val="minor"/>
    </font>
    <font>
      <i/>
      <sz val="10"/>
      <name val="Calibri"/>
      <family val="2"/>
      <scheme val="minor"/>
    </font>
    <font>
      <i/>
      <sz val="10"/>
      <color rgb="FF666666"/>
      <name val="Calibri (Body)"/>
    </font>
    <font>
      <b/>
      <sz val="10"/>
      <color rgb="FF0000FF"/>
      <name val="Calibri"/>
      <family val="2"/>
      <scheme val="minor"/>
    </font>
    <font>
      <b/>
      <i/>
      <sz val="10"/>
      <color theme="1"/>
      <name val="Calibri (Body)"/>
    </font>
    <font>
      <i/>
      <sz val="9"/>
      <color theme="1"/>
      <name val="Calibri"/>
      <family val="2"/>
      <scheme val="minor"/>
    </font>
    <font>
      <i/>
      <sz val="9"/>
      <color theme="1"/>
      <name val="Calibri"/>
      <family val="2"/>
    </font>
    <font>
      <i/>
      <sz val="9"/>
      <color theme="1"/>
      <name val="Calibri (Body)"/>
    </font>
    <font>
      <b/>
      <sz val="10"/>
      <color theme="0" tint="-4.9989318521683403E-2"/>
      <name val="Calibri"/>
      <family val="2"/>
      <scheme val="minor"/>
    </font>
    <font>
      <sz val="10"/>
      <color theme="0" tint="-4.9989318521683403E-2"/>
      <name val="Calibri"/>
      <family val="2"/>
      <scheme val="minor"/>
    </font>
    <font>
      <b/>
      <sz val="10"/>
      <color rgb="FFFFFFFF"/>
      <name val="Arial"/>
      <family val="2"/>
    </font>
    <font>
      <i/>
      <sz val="10"/>
      <color rgb="FF595959"/>
      <name val="Calibri"/>
      <family val="2"/>
      <scheme val="minor"/>
    </font>
    <font>
      <i/>
      <sz val="10"/>
      <color rgb="FF777777"/>
      <name val="Calibri"/>
      <family val="2"/>
      <scheme val="minor"/>
    </font>
    <font>
      <i/>
      <sz val="10"/>
      <color rgb="FFC00000"/>
      <name val="Calibri"/>
      <family val="2"/>
      <scheme val="minor"/>
    </font>
    <font>
      <b/>
      <i/>
      <sz val="10"/>
      <color rgb="FF008000"/>
      <name val="Calibri"/>
      <family val="2"/>
      <scheme val="minor"/>
    </font>
    <font>
      <i/>
      <sz val="11"/>
      <color theme="1"/>
      <name val="Calibri"/>
      <family val="2"/>
      <scheme val="minor"/>
    </font>
    <font>
      <i/>
      <sz val="9"/>
      <color rgb="FF595959"/>
      <name val="Calibri"/>
      <family val="2"/>
      <scheme val="minor"/>
    </font>
    <font>
      <sz val="11"/>
      <color rgb="FF008000"/>
      <name val="Calibri"/>
      <family val="2"/>
      <scheme val="minor"/>
    </font>
    <font>
      <sz val="11"/>
      <color rgb="FF0000FF"/>
      <name val="Calibri"/>
      <family val="2"/>
      <scheme val="minor"/>
    </font>
    <font>
      <b/>
      <i/>
      <sz val="10"/>
      <color rgb="FF595959"/>
      <name val="Calibri"/>
      <family val="2"/>
      <scheme val="minor"/>
    </font>
    <font>
      <b/>
      <sz val="11"/>
      <color rgb="FF595959"/>
      <name val="Calibri"/>
      <family val="2"/>
      <scheme val="minor"/>
    </font>
    <font>
      <b/>
      <sz val="14"/>
      <color rgb="FF1B5E20"/>
      <name val="Calibri"/>
      <family val="2"/>
      <scheme val="minor"/>
    </font>
    <font>
      <b/>
      <sz val="14"/>
      <color rgb="FF8B1A1A"/>
      <name val="Calibri"/>
      <family val="2"/>
      <scheme val="minor"/>
    </font>
    <font>
      <b/>
      <sz val="14"/>
      <color rgb="FF0D47A1"/>
      <name val="Calibri"/>
      <family val="2"/>
      <scheme val="minor"/>
    </font>
    <font>
      <b/>
      <sz val="14"/>
      <color rgb="FFBF360C"/>
      <name val="Calibri"/>
      <family val="2"/>
      <scheme val="minor"/>
    </font>
    <font>
      <i/>
      <sz val="10"/>
      <name val="Calibri (Body)"/>
    </font>
    <font>
      <sz val="10"/>
      <color rgb="FF0000FF"/>
      <name val="Calibri"/>
      <family val="2"/>
    </font>
    <font>
      <b/>
      <sz val="10"/>
      <color rgb="FF0000FF"/>
      <name val="Calibri"/>
      <family val="2"/>
    </font>
    <font>
      <sz val="10"/>
      <color rgb="FF808080"/>
      <name val="Calibri"/>
      <family val="2"/>
      <scheme val="minor"/>
    </font>
    <font>
      <b/>
      <i/>
      <sz val="10"/>
      <color theme="1"/>
      <name val="Calibri"/>
      <family val="2"/>
    </font>
    <font>
      <i/>
      <sz val="10"/>
      <color theme="1"/>
      <name val="Calibri"/>
      <family val="2"/>
    </font>
    <font>
      <b/>
      <i/>
      <sz val="10"/>
      <color rgb="FF0000FF"/>
      <name val="Calibri"/>
      <family val="2"/>
    </font>
    <font>
      <i/>
      <sz val="10"/>
      <color rgb="FF0000FF"/>
      <name val="Calibri"/>
      <family val="2"/>
    </font>
    <font>
      <b/>
      <i/>
      <sz val="10"/>
      <color rgb="FF000000"/>
      <name val="Calibri"/>
      <family val="2"/>
    </font>
    <font>
      <i/>
      <sz val="10"/>
      <color rgb="FF008000"/>
      <name val="Calibri"/>
      <family val="2"/>
    </font>
    <font>
      <b/>
      <sz val="11"/>
      <color rgb="FF1F4E79"/>
      <name val="Calibri"/>
      <family val="2"/>
      <scheme val="minor"/>
    </font>
    <font>
      <b/>
      <sz val="10"/>
      <color rgb="FF1F4E79"/>
      <name val="Calibri"/>
      <family val="2"/>
      <scheme val="minor"/>
    </font>
    <font>
      <i/>
      <sz val="10"/>
      <color rgb="FFFF0000"/>
      <name val="Calibri"/>
      <family val="2"/>
      <scheme val="minor"/>
    </font>
    <font>
      <b/>
      <sz val="10"/>
      <color rgb="FF008000"/>
      <name val="Calibri (Body)"/>
    </font>
    <font>
      <i/>
      <sz val="10"/>
      <color theme="1"/>
      <name val="Aptos"/>
    </font>
    <font>
      <b/>
      <i/>
      <sz val="9"/>
      <color theme="1"/>
      <name val="Calibri"/>
      <family val="2"/>
      <scheme val="minor"/>
    </font>
  </fonts>
  <fills count="31">
    <fill>
      <patternFill patternType="none"/>
    </fill>
    <fill>
      <patternFill patternType="gray125"/>
    </fill>
    <fill>
      <patternFill patternType="solid">
        <fgColor theme="4" tint="0.79998168889431442"/>
        <bgColor indexed="64"/>
      </patternFill>
    </fill>
    <fill>
      <patternFill patternType="solid">
        <fgColor theme="4" tint="0.79998168889431442"/>
        <bgColor rgb="FFFFF2CC"/>
      </patternFill>
    </fill>
    <fill>
      <patternFill patternType="darkGray">
        <fgColor rgb="FF0B1F3A"/>
        <bgColor theme="0" tint="-0.249977111117893"/>
      </patternFill>
    </fill>
    <fill>
      <patternFill patternType="solid">
        <fgColor theme="1" tint="0.499984740745262"/>
        <bgColor indexed="64"/>
      </patternFill>
    </fill>
    <fill>
      <patternFill patternType="solid">
        <fgColor rgb="FFFFF2CC"/>
        <bgColor indexed="64"/>
      </patternFill>
    </fill>
    <fill>
      <patternFill patternType="solid">
        <fgColor rgb="FF2E75B6"/>
        <bgColor indexed="64"/>
      </patternFill>
    </fill>
    <fill>
      <patternFill patternType="solid">
        <fgColor rgb="FFDCE6F1"/>
        <bgColor indexed="64"/>
      </patternFill>
    </fill>
    <fill>
      <patternFill patternType="solid">
        <fgColor rgb="FF1F4E79"/>
        <bgColor indexed="64"/>
      </patternFill>
    </fill>
    <fill>
      <patternFill patternType="solid">
        <fgColor rgb="FF1F4E78"/>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4B6B6"/>
        <bgColor indexed="64"/>
      </patternFill>
    </fill>
    <fill>
      <patternFill patternType="solid">
        <fgColor rgb="FFC6EFCE"/>
        <bgColor indexed="64"/>
      </patternFill>
    </fill>
    <fill>
      <patternFill patternType="solid">
        <fgColor rgb="FFFFE699"/>
        <bgColor indexed="64"/>
      </patternFill>
    </fill>
    <fill>
      <patternFill patternType="solid">
        <fgColor rgb="FFF2F2F2"/>
        <bgColor indexed="64"/>
      </patternFill>
    </fill>
    <fill>
      <patternFill patternType="solid">
        <fgColor rgb="FFFFFFFF"/>
        <bgColor indexed="64"/>
      </patternFill>
    </fill>
    <fill>
      <patternFill patternType="solid">
        <fgColor rgb="FFFFFF00"/>
        <bgColor indexed="64"/>
      </patternFill>
    </fill>
    <fill>
      <patternFill patternType="solid">
        <fgColor rgb="FF81C784"/>
        <bgColor indexed="64"/>
      </patternFill>
    </fill>
    <fill>
      <patternFill patternType="solid">
        <fgColor rgb="FFE57373"/>
        <bgColor indexed="64"/>
      </patternFill>
    </fill>
    <fill>
      <patternFill patternType="solid">
        <fgColor rgb="FF64B5F6"/>
        <bgColor indexed="64"/>
      </patternFill>
    </fill>
    <fill>
      <patternFill patternType="solid">
        <fgColor rgb="FFFFB74D"/>
        <bgColor indexed="64"/>
      </patternFill>
    </fill>
    <fill>
      <patternFill patternType="solid">
        <fgColor rgb="FFF1F8F1"/>
        <bgColor indexed="64"/>
      </patternFill>
    </fill>
    <fill>
      <patternFill patternType="solid">
        <fgColor rgb="FFFDF2F2"/>
        <bgColor indexed="64"/>
      </patternFill>
    </fill>
    <fill>
      <patternFill patternType="solid">
        <fgColor rgb="FFF0F7FD"/>
        <bgColor indexed="64"/>
      </patternFill>
    </fill>
    <fill>
      <patternFill patternType="solid">
        <fgColor rgb="FFFFF8F0"/>
        <bgColor indexed="64"/>
      </patternFill>
    </fill>
    <fill>
      <patternFill patternType="solid">
        <fgColor rgb="FFE7E6E6"/>
        <bgColor indexed="64"/>
      </patternFill>
    </fill>
    <fill>
      <patternFill patternType="solid">
        <fgColor rgb="FFDEEBF7"/>
        <bgColor indexed="64"/>
      </patternFill>
    </fill>
    <fill>
      <patternFill patternType="solid">
        <fgColor rgb="FFD9E1F2"/>
        <bgColor indexed="64"/>
      </patternFill>
    </fill>
  </fills>
  <borders count="60">
    <border>
      <left/>
      <right/>
      <top/>
      <bottom/>
      <diagonal/>
    </border>
    <border>
      <left/>
      <right/>
      <top/>
      <bottom style="medium">
        <color auto="1"/>
      </bottom>
      <diagonal/>
    </border>
    <border>
      <left/>
      <right/>
      <top style="thin">
        <color theme="0" tint="-4.9989318521683403E-2"/>
      </top>
      <bottom style="thin">
        <color theme="0" tint="-4.9989318521683403E-2"/>
      </bottom>
      <diagonal/>
    </border>
    <border>
      <left/>
      <right/>
      <top style="medium">
        <color theme="1"/>
      </top>
      <bottom style="thin">
        <color theme="0" tint="-4.9989318521683403E-2"/>
      </bottom>
      <diagonal/>
    </border>
    <border>
      <left/>
      <right/>
      <top style="medium">
        <color auto="1"/>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right/>
      <top/>
      <bottom style="thin">
        <color rgb="FFD9D9D9"/>
      </bottom>
      <diagonal/>
    </border>
    <border>
      <left/>
      <right/>
      <top style="medium">
        <color theme="1"/>
      </top>
      <bottom style="thin">
        <color rgb="FFD9D9D9"/>
      </bottom>
      <diagonal/>
    </border>
    <border>
      <left/>
      <right/>
      <top style="thin">
        <color theme="1"/>
      </top>
      <bottom style="thin">
        <color theme="1"/>
      </bottom>
      <diagonal/>
    </border>
    <border>
      <left/>
      <right/>
      <top/>
      <bottom style="medium">
        <color theme="1"/>
      </bottom>
      <diagonal/>
    </border>
    <border>
      <left/>
      <right/>
      <top style="thin">
        <color rgb="FFE7E6E6"/>
      </top>
      <bottom style="thin">
        <color rgb="FFE7E6E6"/>
      </bottom>
      <diagonal/>
    </border>
    <border>
      <left/>
      <right/>
      <top style="thin">
        <color rgb="FFE7E6E6"/>
      </top>
      <bottom/>
      <diagonal/>
    </border>
    <border>
      <left/>
      <right/>
      <top style="thin">
        <color rgb="FF1F4E79"/>
      </top>
      <bottom/>
      <diagonal/>
    </border>
    <border>
      <left/>
      <right/>
      <top/>
      <bottom style="thin">
        <color rgb="FFF2F2F2"/>
      </bottom>
      <diagonal/>
    </border>
    <border>
      <left/>
      <right/>
      <top style="thin">
        <color rgb="FFF2F2F2"/>
      </top>
      <bottom style="thin">
        <color rgb="FFF2F2F2"/>
      </bottom>
      <diagonal/>
    </border>
    <border>
      <left/>
      <right/>
      <top style="thin">
        <color rgb="FFF2F2F2"/>
      </top>
      <bottom/>
      <diagonal/>
    </border>
    <border>
      <left/>
      <right/>
      <top/>
      <bottom style="medium">
        <color rgb="FF000000"/>
      </bottom>
      <diagonal/>
    </border>
    <border>
      <left/>
      <right/>
      <top style="thin">
        <color rgb="FFD9D9D9"/>
      </top>
      <bottom style="thin">
        <color rgb="FFF2F2F2"/>
      </bottom>
      <diagonal/>
    </border>
    <border>
      <left/>
      <right/>
      <top style="medium">
        <color rgb="FF000000"/>
      </top>
      <bottom style="thin">
        <color theme="0" tint="-4.9989318521683403E-2"/>
      </bottom>
      <diagonal/>
    </border>
    <border>
      <left/>
      <right/>
      <top style="medium">
        <color rgb="FF000000"/>
      </top>
      <bottom/>
      <diagonal/>
    </border>
    <border>
      <left/>
      <right/>
      <top style="thin">
        <color rgb="FF1F4E79"/>
      </top>
      <bottom style="thin">
        <color theme="0" tint="-4.9989318521683403E-2"/>
      </bottom>
      <diagonal/>
    </border>
    <border>
      <left/>
      <right/>
      <top style="thin">
        <color rgb="FFD9D9D9"/>
      </top>
      <bottom style="thin">
        <color theme="0" tint="-4.9989318521683403E-2"/>
      </bottom>
      <diagonal/>
    </border>
    <border>
      <left/>
      <right/>
      <top style="medium">
        <color theme="0" tint="-4.9989318521683403E-2"/>
      </top>
      <bottom style="medium">
        <color theme="0" tint="-4.9989318521683403E-2"/>
      </bottom>
      <diagonal/>
    </border>
    <border>
      <left/>
      <right/>
      <top style="thin">
        <color rgb="FFA5D6A7"/>
      </top>
      <bottom/>
      <diagonal/>
    </border>
    <border>
      <left/>
      <right/>
      <top/>
      <bottom style="thin">
        <color rgb="FFA5D6A7"/>
      </bottom>
      <diagonal/>
    </border>
    <border>
      <left style="thin">
        <color rgb="FFA5D6A7"/>
      </left>
      <right/>
      <top style="thin">
        <color rgb="FFA5D6A7"/>
      </top>
      <bottom/>
      <diagonal/>
    </border>
    <border>
      <left style="thin">
        <color rgb="FFA5D6A7"/>
      </left>
      <right/>
      <top/>
      <bottom/>
      <diagonal/>
    </border>
    <border>
      <left style="thin">
        <color rgb="FFA5D6A7"/>
      </left>
      <right/>
      <top/>
      <bottom style="thin">
        <color rgb="FFA5D6A7"/>
      </bottom>
      <diagonal/>
    </border>
    <border>
      <left/>
      <right/>
      <top style="thin">
        <color rgb="FFEF9A9A"/>
      </top>
      <bottom/>
      <diagonal/>
    </border>
    <border>
      <left/>
      <right/>
      <top/>
      <bottom style="thin">
        <color rgb="FFEF9A9A"/>
      </bottom>
      <diagonal/>
    </border>
    <border>
      <left style="thin">
        <color rgb="FFEF9A9A"/>
      </left>
      <right/>
      <top style="thin">
        <color rgb="FFEF9A9A"/>
      </top>
      <bottom/>
      <diagonal/>
    </border>
    <border>
      <left style="thin">
        <color rgb="FFEF9A9A"/>
      </left>
      <right/>
      <top/>
      <bottom/>
      <diagonal/>
    </border>
    <border>
      <left style="thin">
        <color rgb="FFEF9A9A"/>
      </left>
      <right/>
      <top/>
      <bottom style="thin">
        <color rgb="FFEF9A9A"/>
      </bottom>
      <diagonal/>
    </border>
    <border>
      <left/>
      <right style="thin">
        <color rgb="FFEF9A9A"/>
      </right>
      <top style="thin">
        <color rgb="FFEF9A9A"/>
      </top>
      <bottom/>
      <diagonal/>
    </border>
    <border>
      <left/>
      <right style="thin">
        <color rgb="FFEF9A9A"/>
      </right>
      <top/>
      <bottom/>
      <diagonal/>
    </border>
    <border>
      <left/>
      <right style="thin">
        <color rgb="FFEF9A9A"/>
      </right>
      <top/>
      <bottom style="thin">
        <color rgb="FFEF9A9A"/>
      </bottom>
      <diagonal/>
    </border>
    <border>
      <left/>
      <right/>
      <top style="thin">
        <color rgb="FF90CAF9"/>
      </top>
      <bottom/>
      <diagonal/>
    </border>
    <border>
      <left/>
      <right/>
      <top/>
      <bottom style="thin">
        <color rgb="FF90CAF9"/>
      </bottom>
      <diagonal/>
    </border>
    <border>
      <left style="thin">
        <color rgb="FF90CAF9"/>
      </left>
      <right/>
      <top style="thin">
        <color rgb="FF90CAF9"/>
      </top>
      <bottom/>
      <diagonal/>
    </border>
    <border>
      <left style="thin">
        <color rgb="FF90CAF9"/>
      </left>
      <right/>
      <top/>
      <bottom/>
      <diagonal/>
    </border>
    <border>
      <left style="thin">
        <color rgb="FF90CAF9"/>
      </left>
      <right/>
      <top/>
      <bottom style="thin">
        <color rgb="FF90CAF9"/>
      </bottom>
      <diagonal/>
    </border>
    <border>
      <left/>
      <right/>
      <top style="thin">
        <color rgb="FFFFCC80"/>
      </top>
      <bottom/>
      <diagonal/>
    </border>
    <border>
      <left/>
      <right/>
      <top/>
      <bottom style="thin">
        <color rgb="FFFFCC80"/>
      </bottom>
      <diagonal/>
    </border>
    <border>
      <left style="thin">
        <color rgb="FFFFCC80"/>
      </left>
      <right/>
      <top style="thin">
        <color rgb="FFFFCC80"/>
      </top>
      <bottom/>
      <diagonal/>
    </border>
    <border>
      <left style="thin">
        <color rgb="FFFFCC80"/>
      </left>
      <right/>
      <top/>
      <bottom/>
      <diagonal/>
    </border>
    <border>
      <left style="thin">
        <color rgb="FFFFCC80"/>
      </left>
      <right/>
      <top/>
      <bottom style="thin">
        <color rgb="FFFFCC80"/>
      </bottom>
      <diagonal/>
    </border>
    <border>
      <left/>
      <right style="thin">
        <color rgb="FFFFCC80"/>
      </right>
      <top style="thin">
        <color rgb="FFFFCC80"/>
      </top>
      <bottom/>
      <diagonal/>
    </border>
    <border>
      <left/>
      <right style="thin">
        <color rgb="FFFFCC80"/>
      </right>
      <top/>
      <bottom/>
      <diagonal/>
    </border>
    <border>
      <left/>
      <right style="thin">
        <color rgb="FFFFCC80"/>
      </right>
      <top/>
      <bottom style="thin">
        <color rgb="FFFFCC80"/>
      </bottom>
      <diagonal/>
    </border>
    <border>
      <left/>
      <right style="thin">
        <color rgb="FFFFCC80"/>
      </right>
      <top/>
      <bottom style="thin">
        <color rgb="FF90CAF9"/>
      </bottom>
      <diagonal/>
    </border>
    <border>
      <left/>
      <right style="thin">
        <color rgb="FFEF9A9A"/>
      </right>
      <top/>
      <bottom style="thin">
        <color rgb="FFA5D6A7"/>
      </bottom>
      <diagonal/>
    </border>
    <border>
      <left/>
      <right/>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right/>
      <top style="thin">
        <color auto="1"/>
      </top>
      <bottom/>
      <diagonal/>
    </border>
    <border>
      <left/>
      <right/>
      <top style="thin">
        <color theme="0" tint="-4.9989318521683403E-2"/>
      </top>
      <bottom style="thin">
        <color theme="1"/>
      </bottom>
      <diagonal/>
    </border>
    <border>
      <left/>
      <right/>
      <top style="thin">
        <color theme="0" tint="-4.9989318521683403E-2"/>
      </top>
      <bottom style="thin">
        <color rgb="FF000000"/>
      </bottom>
      <diagonal/>
    </border>
    <border>
      <left/>
      <right/>
      <top style="thin">
        <color indexed="64"/>
      </top>
      <bottom style="thin">
        <color theme="0" tint="-4.9989318521683403E-2"/>
      </bottom>
      <diagonal/>
    </border>
    <border>
      <left/>
      <right/>
      <top style="thin">
        <color theme="0" tint="-4.9989318521683403E-2"/>
      </top>
      <bottom style="thin">
        <color indexed="64"/>
      </bottom>
      <diagonal/>
    </border>
  </borders>
  <cellStyleXfs count="3">
    <xf numFmtId="0" fontId="0" fillId="0" borderId="0"/>
    <xf numFmtId="43" fontId="1" fillId="0" borderId="0"/>
    <xf numFmtId="9" fontId="1" fillId="0" borderId="0" applyFont="0" applyFill="0" applyBorder="0" applyAlignment="0" applyProtection="0"/>
  </cellStyleXfs>
  <cellXfs count="774">
    <xf numFmtId="0" fontId="0" fillId="0" borderId="0" xfId="0"/>
    <xf numFmtId="0" fontId="4" fillId="0" borderId="0" xfId="0" applyFont="1"/>
    <xf numFmtId="0" fontId="8" fillId="0" borderId="0" xfId="0" applyFont="1"/>
    <xf numFmtId="0" fontId="9" fillId="0" borderId="0" xfId="0" applyFont="1"/>
    <xf numFmtId="0" fontId="10" fillId="0" borderId="0" xfId="0" applyFont="1"/>
    <xf numFmtId="0" fontId="9" fillId="0" borderId="2" xfId="0" applyFont="1" applyBorder="1"/>
    <xf numFmtId="0" fontId="3" fillId="0" borderId="2" xfId="0" applyFont="1" applyBorder="1"/>
    <xf numFmtId="0" fontId="6" fillId="0" borderId="2" xfId="0" applyFont="1" applyBorder="1"/>
    <xf numFmtId="0" fontId="6" fillId="0" borderId="3" xfId="0" applyFont="1" applyBorder="1"/>
    <xf numFmtId="164" fontId="7" fillId="0" borderId="3" xfId="0" applyNumberFormat="1" applyFont="1" applyBorder="1"/>
    <xf numFmtId="164" fontId="11" fillId="0" borderId="2" xfId="0" applyNumberFormat="1" applyFont="1" applyBorder="1"/>
    <xf numFmtId="164" fontId="12" fillId="0" borderId="2" xfId="0" applyNumberFormat="1" applyFont="1" applyBorder="1"/>
    <xf numFmtId="0" fontId="13" fillId="0" borderId="0" xfId="0" applyFont="1"/>
    <xf numFmtId="164" fontId="14" fillId="3" borderId="0" xfId="0" applyNumberFormat="1" applyFont="1" applyFill="1" applyAlignment="1">
      <alignment horizontal="center"/>
    </xf>
    <xf numFmtId="0" fontId="15" fillId="0" borderId="0" xfId="0" applyFont="1"/>
    <xf numFmtId="0" fontId="16" fillId="0" borderId="0" xfId="0" applyFont="1"/>
    <xf numFmtId="0" fontId="17" fillId="0" borderId="0" xfId="0" applyFont="1"/>
    <xf numFmtId="164" fontId="17" fillId="0" borderId="0" xfId="0" applyNumberFormat="1" applyFont="1"/>
    <xf numFmtId="0" fontId="15" fillId="0" borderId="2" xfId="0" applyFont="1" applyBorder="1"/>
    <xf numFmtId="0" fontId="18" fillId="0" borderId="2" xfId="0" applyFont="1" applyBorder="1"/>
    <xf numFmtId="0" fontId="22" fillId="0" borderId="0" xfId="0" applyFont="1"/>
    <xf numFmtId="0" fontId="17" fillId="0" borderId="3" xfId="0" applyFont="1" applyBorder="1"/>
    <xf numFmtId="0" fontId="17" fillId="0" borderId="2" xfId="0" applyFont="1" applyBorder="1"/>
    <xf numFmtId="0" fontId="17" fillId="2" borderId="0" xfId="0" applyFont="1" applyFill="1"/>
    <xf numFmtId="0" fontId="18" fillId="0" borderId="0" xfId="0" applyFont="1"/>
    <xf numFmtId="0" fontId="24" fillId="0" borderId="0" xfId="0" applyFont="1"/>
    <xf numFmtId="0" fontId="24" fillId="0" borderId="2" xfId="0" applyFont="1" applyBorder="1"/>
    <xf numFmtId="0" fontId="26" fillId="0" borderId="0" xfId="0" applyFont="1"/>
    <xf numFmtId="0" fontId="9" fillId="0" borderId="3" xfId="0" applyFont="1" applyBorder="1"/>
    <xf numFmtId="0" fontId="27" fillId="0" borderId="0" xfId="0" applyFont="1"/>
    <xf numFmtId="0" fontId="6" fillId="0" borderId="0" xfId="0" applyFont="1"/>
    <xf numFmtId="0" fontId="24" fillId="0" borderId="4" xfId="0" applyFont="1" applyBorder="1"/>
    <xf numFmtId="165" fontId="9" fillId="0" borderId="0" xfId="0" applyNumberFormat="1" applyFont="1"/>
    <xf numFmtId="164" fontId="6" fillId="0" borderId="2" xfId="0" applyNumberFormat="1" applyFont="1" applyBorder="1"/>
    <xf numFmtId="0" fontId="2" fillId="2" borderId="0" xfId="0" applyFont="1" applyFill="1"/>
    <xf numFmtId="0" fontId="31" fillId="2" borderId="2" xfId="0" applyFont="1" applyFill="1" applyBorder="1" applyAlignment="1">
      <alignment horizontal="right"/>
    </xf>
    <xf numFmtId="0" fontId="2" fillId="2" borderId="9" xfId="0" applyFont="1" applyFill="1" applyBorder="1" applyAlignment="1">
      <alignment horizontal="right"/>
    </xf>
    <xf numFmtId="165" fontId="6" fillId="0" borderId="2" xfId="0" applyNumberFormat="1" applyFont="1" applyBorder="1"/>
    <xf numFmtId="165" fontId="7" fillId="0" borderId="2" xfId="0" applyNumberFormat="1" applyFont="1" applyBorder="1"/>
    <xf numFmtId="165" fontId="11" fillId="0" borderId="2" xfId="0" applyNumberFormat="1" applyFont="1" applyBorder="1"/>
    <xf numFmtId="165" fontId="6" fillId="0" borderId="3" xfId="0" applyNumberFormat="1" applyFont="1" applyBorder="1"/>
    <xf numFmtId="0" fontId="27" fillId="0" borderId="3" xfId="0" applyFont="1" applyBorder="1"/>
    <xf numFmtId="167" fontId="17" fillId="0" borderId="0" xfId="0" applyNumberFormat="1" applyFont="1"/>
    <xf numFmtId="0" fontId="33" fillId="0" borderId="0" xfId="0" applyFont="1"/>
    <xf numFmtId="0" fontId="34" fillId="0" borderId="0" xfId="0" applyFont="1"/>
    <xf numFmtId="0" fontId="25" fillId="0" borderId="0" xfId="0" applyFont="1"/>
    <xf numFmtId="0" fontId="9" fillId="2" borderId="0" xfId="0" applyFont="1" applyFill="1"/>
    <xf numFmtId="0" fontId="9" fillId="0" borderId="12" xfId="0" applyFont="1" applyBorder="1"/>
    <xf numFmtId="0" fontId="9" fillId="0" borderId="11" xfId="0" applyFont="1" applyBorder="1"/>
    <xf numFmtId="0" fontId="9" fillId="0" borderId="5" xfId="0" applyFont="1" applyBorder="1"/>
    <xf numFmtId="0" fontId="37" fillId="2" borderId="0" xfId="0" applyFont="1" applyFill="1" applyAlignment="1">
      <alignment horizontal="right"/>
    </xf>
    <xf numFmtId="0" fontId="9" fillId="0" borderId="0" xfId="0" applyFont="1" applyAlignment="1">
      <alignment horizontal="center"/>
    </xf>
    <xf numFmtId="0" fontId="43" fillId="9" borderId="0" xfId="0" applyFont="1" applyFill="1"/>
    <xf numFmtId="0" fontId="43" fillId="9" borderId="0" xfId="0" applyFont="1" applyFill="1" applyAlignment="1">
      <alignment horizontal="center"/>
    </xf>
    <xf numFmtId="0" fontId="45" fillId="0" borderId="0" xfId="0" applyFont="1"/>
    <xf numFmtId="0" fontId="46" fillId="0" borderId="0" xfId="0" applyFont="1"/>
    <xf numFmtId="0" fontId="47" fillId="0" borderId="0" xfId="0" applyFont="1"/>
    <xf numFmtId="0" fontId="42" fillId="0" borderId="0" xfId="0" applyFont="1"/>
    <xf numFmtId="0" fontId="17" fillId="10" borderId="0" xfId="0" applyFont="1" applyFill="1"/>
    <xf numFmtId="0" fontId="49" fillId="0" borderId="0" xfId="0" applyFont="1"/>
    <xf numFmtId="0" fontId="50" fillId="10" borderId="0" xfId="0" applyFont="1" applyFill="1"/>
    <xf numFmtId="0" fontId="51" fillId="0" borderId="0" xfId="0" applyFont="1"/>
    <xf numFmtId="0" fontId="54" fillId="0" borderId="0" xfId="0" applyFont="1"/>
    <xf numFmtId="168" fontId="9" fillId="0" borderId="11" xfId="0" applyNumberFormat="1" applyFont="1" applyBorder="1" applyAlignment="1">
      <alignment horizontal="left"/>
    </xf>
    <xf numFmtId="3" fontId="18" fillId="0" borderId="2" xfId="0" applyNumberFormat="1" applyFont="1" applyBorder="1"/>
    <xf numFmtId="0" fontId="17" fillId="0" borderId="5" xfId="0" applyFont="1" applyBorder="1"/>
    <xf numFmtId="0" fontId="18" fillId="0" borderId="5" xfId="0" applyFont="1" applyBorder="1"/>
    <xf numFmtId="0" fontId="15" fillId="0" borderId="5" xfId="0" applyFont="1" applyBorder="1"/>
    <xf numFmtId="0" fontId="20" fillId="0" borderId="0" xfId="0" applyFont="1"/>
    <xf numFmtId="0" fontId="55" fillId="0" borderId="0" xfId="0" applyFont="1" applyAlignment="1">
      <alignment horizontal="center"/>
    </xf>
    <xf numFmtId="0" fontId="11" fillId="0" borderId="0" xfId="0" applyFont="1" applyAlignment="1">
      <alignment horizontal="right"/>
    </xf>
    <xf numFmtId="0" fontId="51" fillId="0" borderId="0" xfId="0" applyFont="1" applyAlignment="1">
      <alignment horizontal="center"/>
    </xf>
    <xf numFmtId="0" fontId="16" fillId="0" borderId="0" xfId="0" applyFont="1" applyAlignment="1">
      <alignment horizontal="right"/>
    </xf>
    <xf numFmtId="0" fontId="14" fillId="0" borderId="0" xfId="0" applyFont="1" applyAlignment="1">
      <alignment horizontal="center"/>
    </xf>
    <xf numFmtId="0" fontId="37" fillId="0" borderId="0" xfId="0" applyFont="1" applyAlignment="1">
      <alignment horizontal="center"/>
    </xf>
    <xf numFmtId="0" fontId="56" fillId="0" borderId="0" xfId="0" applyFont="1" applyAlignment="1">
      <alignment horizontal="left"/>
    </xf>
    <xf numFmtId="0" fontId="59" fillId="0" borderId="0" xfId="0" applyFont="1" applyAlignment="1">
      <alignment horizontal="center"/>
    </xf>
    <xf numFmtId="0" fontId="11" fillId="0" borderId="0" xfId="0" applyFont="1" applyAlignment="1">
      <alignment horizontal="center"/>
    </xf>
    <xf numFmtId="0" fontId="10" fillId="0" borderId="2" xfId="0" applyFont="1" applyBorder="1" applyAlignment="1">
      <alignment horizontal="left" indent="1"/>
    </xf>
    <xf numFmtId="0" fontId="10" fillId="0" borderId="2" xfId="0" applyFont="1" applyBorder="1" applyAlignment="1">
      <alignment horizontal="center"/>
    </xf>
    <xf numFmtId="0" fontId="9" fillId="0" borderId="2" xfId="0" applyFont="1" applyBorder="1" applyAlignment="1">
      <alignment horizontal="left" indent="1"/>
    </xf>
    <xf numFmtId="0" fontId="9" fillId="0" borderId="2" xfId="0" applyFont="1" applyBorder="1" applyAlignment="1">
      <alignment horizontal="center"/>
    </xf>
    <xf numFmtId="0" fontId="11" fillId="0" borderId="2" xfId="0" applyFont="1" applyBorder="1" applyAlignment="1">
      <alignment horizontal="right"/>
    </xf>
    <xf numFmtId="0" fontId="18" fillId="0" borderId="6" xfId="0" applyFont="1" applyBorder="1"/>
    <xf numFmtId="0" fontId="16" fillId="8" borderId="10" xfId="0" applyFont="1" applyFill="1" applyBorder="1"/>
    <xf numFmtId="0" fontId="18" fillId="0" borderId="10" xfId="0" applyFont="1" applyBorder="1"/>
    <xf numFmtId="164" fontId="21" fillId="0" borderId="0" xfId="0" applyNumberFormat="1" applyFont="1"/>
    <xf numFmtId="164" fontId="29" fillId="0" borderId="0" xfId="0" applyNumberFormat="1" applyFont="1"/>
    <xf numFmtId="0" fontId="15" fillId="0" borderId="10" xfId="0" applyFont="1" applyBorder="1"/>
    <xf numFmtId="164" fontId="21" fillId="0" borderId="10" xfId="0" applyNumberFormat="1" applyFont="1" applyBorder="1"/>
    <xf numFmtId="164" fontId="30" fillId="0" borderId="10" xfId="0" applyNumberFormat="1" applyFont="1" applyBorder="1"/>
    <xf numFmtId="1" fontId="13" fillId="0" borderId="10" xfId="0" applyNumberFormat="1" applyFont="1" applyBorder="1"/>
    <xf numFmtId="0" fontId="16" fillId="8" borderId="10" xfId="0" applyFont="1" applyFill="1" applyBorder="1" applyAlignment="1">
      <alignment vertical="center"/>
    </xf>
    <xf numFmtId="0" fontId="16" fillId="8" borderId="10" xfId="0" applyFont="1" applyFill="1" applyBorder="1" applyAlignment="1">
      <alignment horizontal="left" vertical="center"/>
    </xf>
    <xf numFmtId="2" fontId="20" fillId="0" borderId="5" xfId="0" applyNumberFormat="1" applyFont="1" applyBorder="1"/>
    <xf numFmtId="0" fontId="17" fillId="0" borderId="10" xfId="0" applyFont="1" applyBorder="1"/>
    <xf numFmtId="0" fontId="61" fillId="0" borderId="0" xfId="0" applyFont="1"/>
    <xf numFmtId="0" fontId="43" fillId="9" borderId="0" xfId="0" applyFont="1" applyFill="1" applyAlignment="1">
      <alignment horizontal="right"/>
    </xf>
    <xf numFmtId="0" fontId="43" fillId="7" borderId="0" xfId="0" applyFont="1" applyFill="1" applyAlignment="1">
      <alignment horizontal="right"/>
    </xf>
    <xf numFmtId="0" fontId="16" fillId="8" borderId="1" xfId="0" applyFont="1" applyFill="1" applyBorder="1"/>
    <xf numFmtId="0" fontId="32" fillId="0" borderId="2" xfId="0" applyFont="1" applyBorder="1"/>
    <xf numFmtId="3" fontId="19" fillId="0" borderId="2" xfId="0" applyNumberFormat="1" applyFont="1" applyBorder="1" applyAlignment="1">
      <alignment horizontal="right"/>
    </xf>
    <xf numFmtId="164" fontId="19" fillId="0" borderId="2" xfId="0" applyNumberFormat="1" applyFont="1" applyBorder="1" applyAlignment="1">
      <alignment horizontal="right"/>
    </xf>
    <xf numFmtId="165" fontId="19" fillId="0" borderId="2" xfId="0" applyNumberFormat="1" applyFont="1" applyBorder="1" applyAlignment="1">
      <alignment horizontal="right"/>
    </xf>
    <xf numFmtId="174" fontId="19" fillId="0" borderId="2" xfId="0" applyNumberFormat="1" applyFont="1" applyBorder="1" applyAlignment="1">
      <alignment horizontal="right"/>
    </xf>
    <xf numFmtId="0" fontId="15" fillId="0" borderId="0" xfId="0" applyFont="1" applyAlignment="1">
      <alignment horizontal="center"/>
    </xf>
    <xf numFmtId="0" fontId="61" fillId="0" borderId="0" xfId="0" applyFont="1" applyAlignment="1">
      <alignment horizontal="center"/>
    </xf>
    <xf numFmtId="164" fontId="61" fillId="0" borderId="0" xfId="0" applyNumberFormat="1" applyFont="1" applyAlignment="1">
      <alignment horizontal="right"/>
    </xf>
    <xf numFmtId="176" fontId="23" fillId="0" borderId="3" xfId="0" applyNumberFormat="1" applyFont="1" applyBorder="1" applyAlignment="1">
      <alignment horizontal="right"/>
    </xf>
    <xf numFmtId="0" fontId="60" fillId="0" borderId="2" xfId="0" applyFont="1" applyBorder="1"/>
    <xf numFmtId="0" fontId="15" fillId="0" borderId="3" xfId="0" applyFont="1" applyBorder="1" applyAlignment="1">
      <alignment horizontal="left"/>
    </xf>
    <xf numFmtId="0" fontId="15" fillId="0" borderId="2" xfId="0" applyFont="1" applyBorder="1" applyAlignment="1">
      <alignment horizontal="left"/>
    </xf>
    <xf numFmtId="0" fontId="17" fillId="0" borderId="2" xfId="0" applyFont="1" applyBorder="1" applyAlignment="1">
      <alignment horizontal="left"/>
    </xf>
    <xf numFmtId="0" fontId="18" fillId="0" borderId="2" xfId="0" applyFont="1" applyBorder="1" applyAlignment="1">
      <alignment horizontal="left"/>
    </xf>
    <xf numFmtId="0" fontId="60" fillId="0" borderId="2" xfId="0" applyFont="1" applyBorder="1" applyAlignment="1">
      <alignment horizontal="left"/>
    </xf>
    <xf numFmtId="0" fontId="10" fillId="0" borderId="0" xfId="0" applyFont="1" applyAlignment="1">
      <alignment horizontal="center"/>
    </xf>
    <xf numFmtId="176" fontId="21" fillId="0" borderId="3" xfId="0" applyNumberFormat="1" applyFont="1" applyBorder="1" applyAlignment="1">
      <alignment horizontal="right"/>
    </xf>
    <xf numFmtId="2" fontId="18" fillId="0" borderId="2" xfId="0" applyNumberFormat="1" applyFont="1" applyBorder="1"/>
    <xf numFmtId="0" fontId="9" fillId="0" borderId="14" xfId="0" applyFont="1" applyBorder="1"/>
    <xf numFmtId="3" fontId="11" fillId="0" borderId="0" xfId="0" applyNumberFormat="1" applyFont="1"/>
    <xf numFmtId="3" fontId="6" fillId="0" borderId="0" xfId="0" applyNumberFormat="1" applyFont="1"/>
    <xf numFmtId="0" fontId="6" fillId="0" borderId="16" xfId="0" applyFont="1" applyBorder="1"/>
    <xf numFmtId="0" fontId="9" fillId="0" borderId="16" xfId="0" applyFont="1" applyBorder="1"/>
    <xf numFmtId="174" fontId="6" fillId="0" borderId="16" xfId="0" applyNumberFormat="1" applyFont="1" applyBorder="1"/>
    <xf numFmtId="3" fontId="11" fillId="0" borderId="16" xfId="0" applyNumberFormat="1" applyFont="1" applyBorder="1"/>
    <xf numFmtId="3" fontId="6" fillId="0" borderId="16" xfId="0" applyNumberFormat="1" applyFont="1" applyBorder="1"/>
    <xf numFmtId="0" fontId="8" fillId="0" borderId="14" xfId="0" applyFont="1" applyBorder="1"/>
    <xf numFmtId="0" fontId="37" fillId="8" borderId="1" xfId="0" applyFont="1" applyFill="1" applyBorder="1"/>
    <xf numFmtId="0" fontId="37" fillId="8" borderId="17" xfId="0" applyFont="1" applyFill="1" applyBorder="1"/>
    <xf numFmtId="0" fontId="37" fillId="0" borderId="18" xfId="0" applyFont="1" applyBorder="1"/>
    <xf numFmtId="0" fontId="37" fillId="0" borderId="0" xfId="0" applyFont="1"/>
    <xf numFmtId="0" fontId="5" fillId="0" borderId="0" xfId="0" applyFont="1"/>
    <xf numFmtId="3" fontId="5" fillId="0" borderId="0" xfId="0" applyNumberFormat="1" applyFont="1"/>
    <xf numFmtId="0" fontId="9" fillId="0" borderId="16" xfId="0" applyFont="1" applyBorder="1" applyAlignment="1">
      <alignment horizontal="center"/>
    </xf>
    <xf numFmtId="0" fontId="37" fillId="0" borderId="18" xfId="0" applyFont="1" applyBorder="1" applyAlignment="1">
      <alignment horizontal="center"/>
    </xf>
    <xf numFmtId="0" fontId="9" fillId="0" borderId="14" xfId="0" applyFont="1" applyBorder="1" applyAlignment="1">
      <alignment horizontal="center"/>
    </xf>
    <xf numFmtId="0" fontId="6" fillId="0" borderId="0" xfId="0" applyFont="1" applyAlignment="1">
      <alignment horizontal="left"/>
    </xf>
    <xf numFmtId="0" fontId="6" fillId="0" borderId="16" xfId="0" applyFont="1" applyBorder="1" applyAlignment="1">
      <alignment horizontal="left"/>
    </xf>
    <xf numFmtId="0" fontId="6" fillId="0" borderId="15" xfId="0" applyFont="1" applyBorder="1"/>
    <xf numFmtId="0" fontId="5" fillId="12" borderId="15" xfId="0" applyFont="1" applyFill="1" applyBorder="1" applyAlignment="1">
      <alignment horizontal="left"/>
    </xf>
    <xf numFmtId="0" fontId="9" fillId="12" borderId="15" xfId="0" applyFont="1" applyFill="1" applyBorder="1" applyAlignment="1">
      <alignment horizontal="center"/>
    </xf>
    <xf numFmtId="0" fontId="5" fillId="12" borderId="15" xfId="0" applyFont="1" applyFill="1" applyBorder="1"/>
    <xf numFmtId="0" fontId="37" fillId="12" borderId="15" xfId="0" applyFont="1" applyFill="1" applyBorder="1" applyAlignment="1">
      <alignment horizontal="center"/>
    </xf>
    <xf numFmtId="0" fontId="48" fillId="9" borderId="0" xfId="0" applyFont="1" applyFill="1" applyAlignment="1">
      <alignment horizontal="left"/>
    </xf>
    <xf numFmtId="0" fontId="48" fillId="9" borderId="0" xfId="0" applyFont="1" applyFill="1" applyAlignment="1">
      <alignment horizontal="center"/>
    </xf>
    <xf numFmtId="168" fontId="8" fillId="0" borderId="0" xfId="0" applyNumberFormat="1" applyFont="1"/>
    <xf numFmtId="0" fontId="10" fillId="0" borderId="2" xfId="0" applyFont="1" applyBorder="1"/>
    <xf numFmtId="0" fontId="37" fillId="8" borderId="0" xfId="0" applyFont="1" applyFill="1"/>
    <xf numFmtId="0" fontId="9" fillId="0" borderId="20" xfId="0" applyFont="1" applyBorder="1"/>
    <xf numFmtId="0" fontId="10" fillId="0" borderId="15" xfId="0" applyFont="1" applyBorder="1"/>
    <xf numFmtId="0" fontId="10" fillId="0" borderId="16" xfId="0" applyFont="1" applyBorder="1"/>
    <xf numFmtId="0" fontId="10" fillId="0" borderId="14" xfId="0" applyFont="1" applyBorder="1"/>
    <xf numFmtId="0" fontId="9" fillId="0" borderId="20" xfId="0" applyFont="1" applyBorder="1" applyAlignment="1">
      <alignment horizontal="center"/>
    </xf>
    <xf numFmtId="164" fontId="6" fillId="0" borderId="16" xfId="0" applyNumberFormat="1" applyFont="1" applyBorder="1"/>
    <xf numFmtId="0" fontId="58" fillId="5" borderId="18" xfId="0" applyFont="1" applyFill="1" applyBorder="1"/>
    <xf numFmtId="0" fontId="58" fillId="5" borderId="18" xfId="0" applyFont="1" applyFill="1" applyBorder="1" applyAlignment="1">
      <alignment horizontal="center"/>
    </xf>
    <xf numFmtId="0" fontId="37" fillId="12" borderId="18" xfId="0" applyFont="1" applyFill="1" applyBorder="1"/>
    <xf numFmtId="0" fontId="37" fillId="12" borderId="18" xfId="0" applyFont="1" applyFill="1" applyBorder="1" applyAlignment="1">
      <alignment horizontal="center"/>
    </xf>
    <xf numFmtId="0" fontId="37" fillId="8" borderId="0" xfId="0" applyFont="1" applyFill="1" applyAlignment="1">
      <alignment horizontal="center"/>
    </xf>
    <xf numFmtId="0" fontId="58" fillId="5" borderId="13" xfId="0" applyFont="1" applyFill="1" applyBorder="1"/>
    <xf numFmtId="0" fontId="58" fillId="5" borderId="13" xfId="0" applyFont="1" applyFill="1" applyBorder="1" applyAlignment="1">
      <alignment horizontal="center"/>
    </xf>
    <xf numFmtId="0" fontId="14" fillId="0" borderId="0" xfId="0" applyFont="1"/>
    <xf numFmtId="3" fontId="39" fillId="12" borderId="15" xfId="0" applyNumberFormat="1" applyFont="1" applyFill="1" applyBorder="1"/>
    <xf numFmtId="0" fontId="18" fillId="0" borderId="2" xfId="0" applyFont="1" applyBorder="1" applyAlignment="1">
      <alignment horizontal="center"/>
    </xf>
    <xf numFmtId="3" fontId="18" fillId="0" borderId="2" xfId="0" applyNumberFormat="1" applyFont="1" applyBorder="1" applyAlignment="1">
      <alignment horizontal="right"/>
    </xf>
    <xf numFmtId="0" fontId="16" fillId="8" borderId="1" xfId="0" applyFont="1" applyFill="1" applyBorder="1" applyAlignment="1">
      <alignment horizontal="center"/>
    </xf>
    <xf numFmtId="0" fontId="43" fillId="9" borderId="1" xfId="0" applyFont="1" applyFill="1" applyBorder="1" applyAlignment="1">
      <alignment horizontal="right"/>
    </xf>
    <xf numFmtId="0" fontId="43" fillId="7" borderId="1" xfId="0" applyFont="1" applyFill="1" applyBorder="1" applyAlignment="1">
      <alignment horizontal="right"/>
    </xf>
    <xf numFmtId="0" fontId="16" fillId="12" borderId="21" xfId="0" applyFont="1" applyFill="1" applyBorder="1"/>
    <xf numFmtId="0" fontId="16" fillId="12" borderId="21" xfId="0" applyFont="1" applyFill="1" applyBorder="1" applyAlignment="1">
      <alignment horizontal="center"/>
    </xf>
    <xf numFmtId="0" fontId="40" fillId="12" borderId="22" xfId="0" applyFont="1" applyFill="1" applyBorder="1"/>
    <xf numFmtId="0" fontId="40" fillId="12" borderId="22" xfId="0" applyFont="1" applyFill="1" applyBorder="1" applyAlignment="1">
      <alignment horizontal="center"/>
    </xf>
    <xf numFmtId="0" fontId="52" fillId="0" borderId="0" xfId="0" applyFont="1" applyAlignment="1">
      <alignment wrapText="1"/>
    </xf>
    <xf numFmtId="3" fontId="63" fillId="0" borderId="0" xfId="1" applyNumberFormat="1" applyFont="1" applyAlignment="1">
      <alignment horizontal="right"/>
    </xf>
    <xf numFmtId="0" fontId="14" fillId="0" borderId="10" xfId="0" applyFont="1" applyBorder="1" applyAlignment="1">
      <alignment horizontal="center"/>
    </xf>
    <xf numFmtId="3" fontId="63" fillId="0" borderId="10" xfId="1" applyNumberFormat="1" applyFont="1" applyBorder="1" applyAlignment="1">
      <alignment horizontal="right"/>
    </xf>
    <xf numFmtId="0" fontId="15" fillId="0" borderId="5" xfId="0" applyFont="1" applyBorder="1" applyAlignment="1">
      <alignment horizontal="center"/>
    </xf>
    <xf numFmtId="3" fontId="11" fillId="0" borderId="2" xfId="0" applyNumberFormat="1" applyFont="1" applyBorder="1"/>
    <xf numFmtId="3" fontId="7" fillId="0" borderId="2" xfId="0" applyNumberFormat="1" applyFont="1" applyBorder="1"/>
    <xf numFmtId="0" fontId="37" fillId="12" borderId="14" xfId="0" applyFont="1" applyFill="1" applyBorder="1"/>
    <xf numFmtId="0" fontId="9" fillId="0" borderId="5" xfId="0" applyFont="1" applyBorder="1" applyAlignment="1">
      <alignment horizontal="center"/>
    </xf>
    <xf numFmtId="0" fontId="37" fillId="0" borderId="1" xfId="0" applyFont="1" applyBorder="1" applyAlignment="1">
      <alignment horizontal="center"/>
    </xf>
    <xf numFmtId="0" fontId="37" fillId="0" borderId="1" xfId="0" applyFont="1" applyBorder="1"/>
    <xf numFmtId="0" fontId="10" fillId="0" borderId="15" xfId="0" applyFont="1" applyBorder="1" applyAlignment="1">
      <alignment horizontal="center"/>
    </xf>
    <xf numFmtId="164" fontId="11" fillId="0" borderId="0" xfId="0" applyNumberFormat="1" applyFont="1"/>
    <xf numFmtId="0" fontId="5" fillId="8" borderId="1" xfId="0" applyFont="1" applyFill="1" applyBorder="1"/>
    <xf numFmtId="0" fontId="9" fillId="0" borderId="1" xfId="0" applyFont="1" applyBorder="1"/>
    <xf numFmtId="171" fontId="37" fillId="0" borderId="0" xfId="0" applyNumberFormat="1" applyFont="1"/>
    <xf numFmtId="0" fontId="37" fillId="12" borderId="2" xfId="0" applyFont="1" applyFill="1" applyBorder="1"/>
    <xf numFmtId="0" fontId="37" fillId="12" borderId="2" xfId="0" applyFont="1" applyFill="1" applyBorder="1" applyAlignment="1">
      <alignment horizontal="center"/>
    </xf>
    <xf numFmtId="0" fontId="65" fillId="0" borderId="0" xfId="0" applyFont="1" applyAlignment="1">
      <alignment vertical="top" wrapText="1"/>
    </xf>
    <xf numFmtId="0" fontId="58" fillId="5" borderId="23" xfId="0" applyFont="1" applyFill="1" applyBorder="1"/>
    <xf numFmtId="0" fontId="58" fillId="5" borderId="23" xfId="0" applyFont="1" applyFill="1" applyBorder="1" applyAlignment="1">
      <alignment horizontal="center"/>
    </xf>
    <xf numFmtId="0" fontId="37" fillId="12" borderId="23" xfId="0" applyFont="1" applyFill="1" applyBorder="1"/>
    <xf numFmtId="0" fontId="37" fillId="12" borderId="23" xfId="0" applyFont="1" applyFill="1" applyBorder="1" applyAlignment="1">
      <alignment horizontal="center"/>
    </xf>
    <xf numFmtId="164" fontId="11" fillId="0" borderId="20" xfId="0" applyNumberFormat="1" applyFont="1" applyBorder="1"/>
    <xf numFmtId="164" fontId="7" fillId="0" borderId="20" xfId="0" applyNumberFormat="1" applyFont="1" applyBorder="1"/>
    <xf numFmtId="164" fontId="11" fillId="0" borderId="16" xfId="0" applyNumberFormat="1" applyFont="1" applyBorder="1"/>
    <xf numFmtId="165" fontId="11" fillId="0" borderId="20" xfId="0" applyNumberFormat="1" applyFont="1" applyBorder="1" applyAlignment="1">
      <alignment horizontal="right"/>
    </xf>
    <xf numFmtId="165" fontId="11" fillId="0" borderId="16" xfId="0" applyNumberFormat="1" applyFont="1" applyBorder="1" applyAlignment="1">
      <alignment horizontal="right"/>
    </xf>
    <xf numFmtId="165" fontId="11" fillId="0" borderId="1" xfId="0" applyNumberFormat="1" applyFont="1" applyBorder="1" applyAlignment="1">
      <alignment horizontal="right"/>
    </xf>
    <xf numFmtId="165" fontId="11" fillId="0" borderId="0" xfId="0" applyNumberFormat="1" applyFont="1" applyAlignment="1">
      <alignment horizontal="right"/>
    </xf>
    <xf numFmtId="165" fontId="62" fillId="8" borderId="0" xfId="0" applyNumberFormat="1" applyFont="1" applyFill="1" applyAlignment="1">
      <alignment horizontal="right"/>
    </xf>
    <xf numFmtId="165" fontId="58" fillId="5" borderId="23" xfId="0" applyNumberFormat="1" applyFont="1" applyFill="1" applyBorder="1"/>
    <xf numFmtId="165" fontId="62" fillId="8" borderId="1" xfId="0" applyNumberFormat="1" applyFont="1" applyFill="1" applyBorder="1" applyAlignment="1">
      <alignment horizontal="right"/>
    </xf>
    <xf numFmtId="0" fontId="53" fillId="0" borderId="0" xfId="0" applyFont="1" applyAlignment="1">
      <alignment vertical="top"/>
    </xf>
    <xf numFmtId="0" fontId="64" fillId="0" borderId="0" xfId="0" applyFont="1" applyAlignment="1">
      <alignment vertical="top"/>
    </xf>
    <xf numFmtId="0" fontId="66" fillId="0" borderId="0" xfId="0" applyFont="1"/>
    <xf numFmtId="0" fontId="9" fillId="0" borderId="4" xfId="0" applyFont="1" applyBorder="1"/>
    <xf numFmtId="0" fontId="67" fillId="5" borderId="2" xfId="0" applyFont="1" applyFill="1" applyBorder="1"/>
    <xf numFmtId="164" fontId="7" fillId="0" borderId="2" xfId="0" applyNumberFormat="1" applyFont="1" applyBorder="1"/>
    <xf numFmtId="164" fontId="11" fillId="0" borderId="4" xfId="0" applyNumberFormat="1" applyFont="1" applyBorder="1"/>
    <xf numFmtId="0" fontId="9" fillId="12" borderId="2" xfId="0" applyFont="1" applyFill="1" applyBorder="1" applyAlignment="1">
      <alignment horizontal="center"/>
    </xf>
    <xf numFmtId="0" fontId="9" fillId="0" borderId="4" xfId="0" applyFont="1" applyBorder="1" applyAlignment="1">
      <alignment horizontal="center"/>
    </xf>
    <xf numFmtId="0" fontId="68" fillId="5" borderId="2" xfId="0" applyFont="1" applyFill="1" applyBorder="1" applyAlignment="1">
      <alignment horizontal="center"/>
    </xf>
    <xf numFmtId="0" fontId="5" fillId="0" borderId="2" xfId="0" applyFont="1" applyBorder="1"/>
    <xf numFmtId="0" fontId="5" fillId="2" borderId="0" xfId="0" applyFont="1" applyFill="1"/>
    <xf numFmtId="2" fontId="12" fillId="0" borderId="2" xfId="0" applyNumberFormat="1" applyFont="1" applyBorder="1"/>
    <xf numFmtId="0" fontId="12" fillId="0" borderId="0" xfId="0" applyFont="1"/>
    <xf numFmtId="0" fontId="48" fillId="9" borderId="0" xfId="0" applyFont="1" applyFill="1" applyAlignment="1">
      <alignment horizontal="right"/>
    </xf>
    <xf numFmtId="0" fontId="48" fillId="7" borderId="0" xfId="0" applyFont="1" applyFill="1" applyAlignment="1">
      <alignment horizontal="right"/>
    </xf>
    <xf numFmtId="0" fontId="69" fillId="4" borderId="8" xfId="0" applyFont="1" applyFill="1" applyBorder="1" applyAlignment="1">
      <alignment vertical="center"/>
    </xf>
    <xf numFmtId="0" fontId="69" fillId="4" borderId="7" xfId="0" applyFont="1" applyFill="1" applyBorder="1" applyAlignment="1">
      <alignment vertical="center"/>
    </xf>
    <xf numFmtId="0" fontId="37" fillId="2" borderId="1" xfId="0" applyFont="1" applyFill="1" applyBorder="1"/>
    <xf numFmtId="0" fontId="9" fillId="2" borderId="1" xfId="0" applyFont="1" applyFill="1" applyBorder="1"/>
    <xf numFmtId="0" fontId="37" fillId="13" borderId="2" xfId="0" applyFont="1" applyFill="1" applyBorder="1" applyAlignment="1">
      <alignment horizontal="left"/>
    </xf>
    <xf numFmtId="0" fontId="70" fillId="0" borderId="0" xfId="0" applyFont="1"/>
    <xf numFmtId="164" fontId="63" fillId="3" borderId="0" xfId="0" applyNumberFormat="1" applyFont="1" applyFill="1" applyAlignment="1">
      <alignment horizontal="center"/>
    </xf>
    <xf numFmtId="0" fontId="37" fillId="6" borderId="0" xfId="0" applyFont="1" applyFill="1"/>
    <xf numFmtId="168" fontId="9" fillId="0" borderId="2" xfId="0" applyNumberFormat="1" applyFont="1" applyBorder="1"/>
    <xf numFmtId="0" fontId="37" fillId="0" borderId="2" xfId="0" applyFont="1" applyBorder="1"/>
    <xf numFmtId="0" fontId="37" fillId="2" borderId="0" xfId="0" applyFont="1" applyFill="1"/>
    <xf numFmtId="0" fontId="37" fillId="14" borderId="0" xfId="0" applyFont="1" applyFill="1" applyAlignment="1">
      <alignment horizontal="right"/>
    </xf>
    <xf numFmtId="0" fontId="37" fillId="8" borderId="0" xfId="0" applyFont="1" applyFill="1" applyAlignment="1">
      <alignment horizontal="right"/>
    </xf>
    <xf numFmtId="0" fontId="37" fillId="15" borderId="0" xfId="0" applyFont="1" applyFill="1" applyAlignment="1">
      <alignment horizontal="right"/>
    </xf>
    <xf numFmtId="0" fontId="9" fillId="8" borderId="0" xfId="0" applyFont="1" applyFill="1"/>
    <xf numFmtId="169" fontId="7" fillId="0" borderId="3" xfId="0" applyNumberFormat="1" applyFont="1" applyBorder="1"/>
    <xf numFmtId="169" fontId="7" fillId="0" borderId="2" xfId="0" applyNumberFormat="1" applyFont="1" applyBorder="1"/>
    <xf numFmtId="169" fontId="9" fillId="0" borderId="2" xfId="0" applyNumberFormat="1" applyFont="1" applyBorder="1"/>
    <xf numFmtId="169" fontId="37" fillId="0" borderId="2" xfId="0" applyNumberFormat="1" applyFont="1" applyBorder="1"/>
    <xf numFmtId="0" fontId="9" fillId="0" borderId="2" xfId="0" applyFont="1" applyBorder="1" applyAlignment="1">
      <alignment horizontal="right"/>
    </xf>
    <xf numFmtId="170" fontId="7" fillId="0" borderId="2" xfId="0" applyNumberFormat="1" applyFont="1" applyBorder="1"/>
    <xf numFmtId="3" fontId="7" fillId="0" borderId="3" xfId="0" applyNumberFormat="1" applyFont="1" applyBorder="1"/>
    <xf numFmtId="0" fontId="72" fillId="0" borderId="0" xfId="0" applyFont="1"/>
    <xf numFmtId="168" fontId="41" fillId="0" borderId="2" xfId="0" applyNumberFormat="1" applyFont="1" applyBorder="1"/>
    <xf numFmtId="0" fontId="24" fillId="0" borderId="5" xfId="0" applyFont="1" applyBorder="1"/>
    <xf numFmtId="0" fontId="28" fillId="0" borderId="2" xfId="0" applyFont="1" applyBorder="1"/>
    <xf numFmtId="0" fontId="50" fillId="10" borderId="6" xfId="0" applyFont="1" applyFill="1" applyBorder="1"/>
    <xf numFmtId="0" fontId="24" fillId="10" borderId="6" xfId="0" applyFont="1" applyFill="1" applyBorder="1"/>
    <xf numFmtId="0" fontId="17" fillId="0" borderId="4" xfId="0" applyFont="1" applyBorder="1"/>
    <xf numFmtId="0" fontId="10" fillId="0" borderId="0" xfId="0" applyFont="1" applyAlignment="1">
      <alignment vertical="top"/>
    </xf>
    <xf numFmtId="0" fontId="37" fillId="0" borderId="0" xfId="0" applyFont="1" applyAlignment="1">
      <alignment horizontal="right"/>
    </xf>
    <xf numFmtId="0" fontId="37" fillId="12" borderId="0" xfId="0" applyFont="1" applyFill="1" applyAlignment="1">
      <alignment horizontal="right"/>
    </xf>
    <xf numFmtId="0" fontId="9" fillId="0" borderId="0" xfId="0" applyFont="1" applyAlignment="1">
      <alignment vertical="center" wrapText="1"/>
    </xf>
    <xf numFmtId="176" fontId="0" fillId="0" borderId="0" xfId="0" applyNumberFormat="1"/>
    <xf numFmtId="0" fontId="74" fillId="0" borderId="0" xfId="0" applyFont="1"/>
    <xf numFmtId="176" fontId="74" fillId="0" borderId="0" xfId="0" applyNumberFormat="1" applyFont="1"/>
    <xf numFmtId="0" fontId="33" fillId="17" borderId="0" xfId="0" applyFont="1" applyFill="1"/>
    <xf numFmtId="0" fontId="75" fillId="0" borderId="0" xfId="0" applyFont="1" applyAlignment="1">
      <alignment horizontal="left"/>
    </xf>
    <xf numFmtId="168" fontId="7" fillId="0" borderId="2" xfId="0" applyNumberFormat="1" applyFont="1" applyBorder="1"/>
    <xf numFmtId="168" fontId="7" fillId="0" borderId="0" xfId="0" applyNumberFormat="1" applyFont="1"/>
    <xf numFmtId="0" fontId="37" fillId="14" borderId="0" xfId="0" applyFont="1" applyFill="1"/>
    <xf numFmtId="0" fontId="9" fillId="14" borderId="0" xfId="0" applyFont="1" applyFill="1"/>
    <xf numFmtId="0" fontId="37" fillId="15" borderId="0" xfId="0" applyFont="1" applyFill="1"/>
    <xf numFmtId="0" fontId="9" fillId="15" borderId="0" xfId="0" applyFont="1" applyFill="1"/>
    <xf numFmtId="164" fontId="7" fillId="0" borderId="5" xfId="0" applyNumberFormat="1" applyFont="1" applyBorder="1"/>
    <xf numFmtId="169" fontId="6" fillId="0" borderId="3" xfId="0" applyNumberFormat="1" applyFont="1" applyBorder="1"/>
    <xf numFmtId="169" fontId="6" fillId="0" borderId="2" xfId="0" applyNumberFormat="1" applyFont="1" applyBorder="1"/>
    <xf numFmtId="169" fontId="39" fillId="16" borderId="2" xfId="0" applyNumberFormat="1" applyFont="1" applyFill="1" applyBorder="1"/>
    <xf numFmtId="169" fontId="5" fillId="0" borderId="2" xfId="0" applyNumberFormat="1" applyFont="1" applyBorder="1"/>
    <xf numFmtId="168" fontId="6" fillId="0" borderId="2" xfId="0" applyNumberFormat="1" applyFont="1" applyBorder="1"/>
    <xf numFmtId="175" fontId="6" fillId="0" borderId="2" xfId="0" applyNumberFormat="1" applyFont="1" applyBorder="1" applyAlignment="1">
      <alignment horizontal="right"/>
    </xf>
    <xf numFmtId="3" fontId="7" fillId="0" borderId="2" xfId="0" applyNumberFormat="1" applyFont="1" applyBorder="1" applyAlignment="1">
      <alignment horizontal="right"/>
    </xf>
    <xf numFmtId="176" fontId="8" fillId="0" borderId="3" xfId="0" applyNumberFormat="1" applyFont="1" applyBorder="1" applyAlignment="1">
      <alignment horizontal="right"/>
    </xf>
    <xf numFmtId="164" fontId="7" fillId="0" borderId="2" xfId="0" applyNumberFormat="1" applyFont="1" applyBorder="1" applyAlignment="1">
      <alignment horizontal="right"/>
    </xf>
    <xf numFmtId="173" fontId="6" fillId="0" borderId="2" xfId="0" applyNumberFormat="1" applyFont="1" applyBorder="1"/>
    <xf numFmtId="169" fontId="6" fillId="0" borderId="16" xfId="0" applyNumberFormat="1" applyFont="1" applyBorder="1"/>
    <xf numFmtId="176" fontId="6" fillId="0" borderId="20" xfId="0" applyNumberFormat="1" applyFont="1" applyBorder="1"/>
    <xf numFmtId="176" fontId="6" fillId="0" borderId="16" xfId="0" applyNumberFormat="1" applyFont="1" applyBorder="1"/>
    <xf numFmtId="164" fontId="7" fillId="0" borderId="0" xfId="0" applyNumberFormat="1" applyFont="1"/>
    <xf numFmtId="164" fontId="7" fillId="0" borderId="16" xfId="0" applyNumberFormat="1" applyFont="1" applyBorder="1"/>
    <xf numFmtId="3" fontId="5" fillId="12" borderId="2" xfId="0" applyNumberFormat="1" applyFont="1" applyFill="1" applyBorder="1"/>
    <xf numFmtId="164" fontId="5" fillId="12" borderId="2" xfId="0" applyNumberFormat="1" applyFont="1" applyFill="1" applyBorder="1"/>
    <xf numFmtId="165" fontId="5" fillId="12" borderId="23" xfId="0" applyNumberFormat="1" applyFont="1" applyFill="1" applyBorder="1"/>
    <xf numFmtId="165" fontId="5" fillId="12" borderId="2" xfId="0" applyNumberFormat="1" applyFont="1" applyFill="1" applyBorder="1"/>
    <xf numFmtId="164" fontId="6" fillId="0" borderId="0" xfId="0" applyNumberFormat="1" applyFont="1"/>
    <xf numFmtId="164" fontId="6" fillId="0" borderId="20" xfId="0" applyNumberFormat="1" applyFont="1" applyBorder="1"/>
    <xf numFmtId="164" fontId="6" fillId="0" borderId="4" xfId="0" applyNumberFormat="1" applyFont="1" applyBorder="1"/>
    <xf numFmtId="168" fontId="62" fillId="13" borderId="2" xfId="0" applyNumberFormat="1" applyFont="1" applyFill="1" applyBorder="1" applyAlignment="1">
      <alignment horizontal="right"/>
    </xf>
    <xf numFmtId="168" fontId="62" fillId="13" borderId="2" xfId="0" applyNumberFormat="1" applyFont="1" applyFill="1" applyBorder="1" applyAlignment="1">
      <alignment horizontal="left"/>
    </xf>
    <xf numFmtId="169" fontId="6" fillId="0" borderId="2" xfId="0" applyNumberFormat="1" applyFont="1" applyBorder="1" applyAlignment="1">
      <alignment horizontal="right"/>
    </xf>
    <xf numFmtId="168" fontId="62" fillId="8" borderId="0" xfId="0" applyNumberFormat="1" applyFont="1" applyFill="1"/>
    <xf numFmtId="169" fontId="6" fillId="0" borderId="0" xfId="0" applyNumberFormat="1" applyFont="1" applyAlignment="1">
      <alignment horizontal="right"/>
    </xf>
    <xf numFmtId="170" fontId="62" fillId="13" borderId="2" xfId="0" applyNumberFormat="1" applyFont="1" applyFill="1" applyBorder="1" applyAlignment="1">
      <alignment horizontal="right"/>
    </xf>
    <xf numFmtId="168" fontId="6" fillId="0" borderId="4" xfId="0" applyNumberFormat="1" applyFont="1" applyBorder="1"/>
    <xf numFmtId="3" fontId="6" fillId="0" borderId="3" xfId="0" applyNumberFormat="1" applyFont="1" applyBorder="1"/>
    <xf numFmtId="3" fontId="5" fillId="0" borderId="2" xfId="0" applyNumberFormat="1" applyFont="1" applyBorder="1"/>
    <xf numFmtId="3" fontId="6" fillId="0" borderId="2" xfId="0" applyNumberFormat="1" applyFont="1" applyBorder="1"/>
    <xf numFmtId="0" fontId="11" fillId="0" borderId="2" xfId="0" applyFont="1" applyBorder="1"/>
    <xf numFmtId="172" fontId="6" fillId="0" borderId="2" xfId="0" applyNumberFormat="1" applyFont="1" applyBorder="1"/>
    <xf numFmtId="169" fontId="5" fillId="6" borderId="2" xfId="0" applyNumberFormat="1" applyFont="1" applyFill="1" applyBorder="1"/>
    <xf numFmtId="169" fontId="5" fillId="16" borderId="2" xfId="0" applyNumberFormat="1" applyFont="1" applyFill="1" applyBorder="1"/>
    <xf numFmtId="176" fontId="76" fillId="0" borderId="0" xfId="0" applyNumberFormat="1" applyFont="1"/>
    <xf numFmtId="176" fontId="44" fillId="0" borderId="0" xfId="0" applyNumberFormat="1" applyFont="1"/>
    <xf numFmtId="0" fontId="77" fillId="0" borderId="0" xfId="0" applyFont="1"/>
    <xf numFmtId="176" fontId="77" fillId="18" borderId="0" xfId="0" applyNumberFormat="1" applyFont="1" applyFill="1"/>
    <xf numFmtId="176" fontId="77" fillId="0" borderId="0" xfId="0" applyNumberFormat="1" applyFont="1"/>
    <xf numFmtId="164" fontId="58" fillId="9" borderId="0" xfId="0" applyNumberFormat="1" applyFont="1" applyFill="1" applyAlignment="1">
      <alignment horizontal="right"/>
    </xf>
    <xf numFmtId="164" fontId="58" fillId="5" borderId="2" xfId="0" applyNumberFormat="1" applyFont="1" applyFill="1" applyBorder="1"/>
    <xf numFmtId="0" fontId="0" fillId="0" borderId="0" xfId="0" applyAlignment="1">
      <alignment vertical="top" wrapText="1"/>
    </xf>
    <xf numFmtId="0" fontId="9" fillId="0" borderId="0" xfId="0" applyFont="1" applyAlignment="1">
      <alignment vertical="top" wrapText="1"/>
    </xf>
    <xf numFmtId="168" fontId="57" fillId="0" borderId="2" xfId="0" applyNumberFormat="1" applyFont="1" applyBorder="1" applyAlignment="1">
      <alignment horizontal="right"/>
    </xf>
    <xf numFmtId="168" fontId="31" fillId="2" borderId="2" xfId="0" applyNumberFormat="1" applyFont="1" applyFill="1" applyBorder="1" applyAlignment="1">
      <alignment horizontal="right"/>
    </xf>
    <xf numFmtId="168" fontId="17" fillId="0" borderId="0" xfId="0" applyNumberFormat="1" applyFont="1"/>
    <xf numFmtId="168" fontId="0" fillId="0" borderId="0" xfId="0" applyNumberFormat="1"/>
    <xf numFmtId="168" fontId="21" fillId="0" borderId="2" xfId="0" applyNumberFormat="1" applyFont="1" applyBorder="1" applyAlignment="1">
      <alignment horizontal="right"/>
    </xf>
    <xf numFmtId="168" fontId="41" fillId="0" borderId="2" xfId="0" applyNumberFormat="1" applyFont="1" applyBorder="1" applyAlignment="1">
      <alignment horizontal="right"/>
    </xf>
    <xf numFmtId="168" fontId="21" fillId="0" borderId="5" xfId="1" applyNumberFormat="1" applyFont="1" applyBorder="1" applyAlignment="1">
      <alignment horizontal="right"/>
    </xf>
    <xf numFmtId="168" fontId="15" fillId="0" borderId="5" xfId="1" applyNumberFormat="1" applyFont="1" applyBorder="1" applyAlignment="1">
      <alignment horizontal="right"/>
    </xf>
    <xf numFmtId="168" fontId="10" fillId="0" borderId="0" xfId="0" applyNumberFormat="1" applyFont="1"/>
    <xf numFmtId="168" fontId="15" fillId="0" borderId="0" xfId="1" applyNumberFormat="1" applyFont="1" applyAlignment="1">
      <alignment horizontal="right"/>
    </xf>
    <xf numFmtId="168" fontId="27" fillId="12" borderId="22" xfId="1" applyNumberFormat="1" applyFont="1" applyFill="1" applyBorder="1" applyAlignment="1">
      <alignment horizontal="right"/>
    </xf>
    <xf numFmtId="168" fontId="15" fillId="0" borderId="2" xfId="0" applyNumberFormat="1" applyFont="1" applyBorder="1" applyAlignment="1">
      <alignment horizontal="right"/>
    </xf>
    <xf numFmtId="168" fontId="20" fillId="0" borderId="5" xfId="0" applyNumberFormat="1" applyFont="1" applyBorder="1"/>
    <xf numFmtId="168" fontId="21" fillId="0" borderId="5" xfId="0" applyNumberFormat="1" applyFont="1" applyBorder="1" applyAlignment="1">
      <alignment horizontal="right"/>
    </xf>
    <xf numFmtId="168" fontId="4" fillId="0" borderId="5" xfId="0" applyNumberFormat="1" applyFont="1" applyBorder="1"/>
    <xf numFmtId="168" fontId="4" fillId="0" borderId="5" xfId="0" applyNumberFormat="1" applyFont="1" applyBorder="1" applyAlignment="1">
      <alignment horizontal="right"/>
    </xf>
    <xf numFmtId="168" fontId="20" fillId="0" borderId="2" xfId="0" applyNumberFormat="1" applyFont="1" applyBorder="1"/>
    <xf numFmtId="168" fontId="18" fillId="0" borderId="0" xfId="0" applyNumberFormat="1" applyFont="1"/>
    <xf numFmtId="168" fontId="18" fillId="0" borderId="2" xfId="0" applyNumberFormat="1" applyFont="1" applyBorder="1"/>
    <xf numFmtId="168" fontId="18" fillId="0" borderId="2" xfId="0" applyNumberFormat="1" applyFont="1" applyBorder="1" applyAlignment="1">
      <alignment horizontal="right"/>
    </xf>
    <xf numFmtId="168" fontId="11" fillId="0" borderId="16" xfId="2" applyNumberFormat="1" applyFont="1" applyBorder="1"/>
    <xf numFmtId="168" fontId="7" fillId="0" borderId="16" xfId="2" applyNumberFormat="1" applyFont="1" applyBorder="1"/>
    <xf numFmtId="168" fontId="8" fillId="0" borderId="15" xfId="2" applyNumberFormat="1" applyFont="1" applyBorder="1"/>
    <xf numFmtId="168" fontId="9" fillId="0" borderId="14" xfId="0" applyNumberFormat="1" applyFont="1" applyBorder="1"/>
    <xf numFmtId="168" fontId="8" fillId="0" borderId="14" xfId="0" applyNumberFormat="1" applyFont="1" applyBorder="1"/>
    <xf numFmtId="168" fontId="8" fillId="0" borderId="16" xfId="0" applyNumberFormat="1" applyFont="1" applyBorder="1"/>
    <xf numFmtId="168" fontId="8" fillId="0" borderId="15" xfId="0" applyNumberFormat="1" applyFont="1" applyBorder="1"/>
    <xf numFmtId="168" fontId="6" fillId="0" borderId="14" xfId="0" applyNumberFormat="1" applyFont="1" applyBorder="1"/>
    <xf numFmtId="168" fontId="12" fillId="0" borderId="3" xfId="0" applyNumberFormat="1" applyFont="1" applyBorder="1"/>
    <xf numFmtId="168" fontId="9" fillId="0" borderId="3" xfId="0" applyNumberFormat="1" applyFont="1" applyBorder="1"/>
    <xf numFmtId="168" fontId="9" fillId="0" borderId="0" xfId="0" applyNumberFormat="1" applyFont="1"/>
    <xf numFmtId="168" fontId="12" fillId="0" borderId="2" xfId="0" applyNumberFormat="1" applyFont="1" applyBorder="1"/>
    <xf numFmtId="168" fontId="38" fillId="0" borderId="2" xfId="0" applyNumberFormat="1" applyFont="1" applyBorder="1"/>
    <xf numFmtId="168" fontId="8" fillId="0" borderId="2" xfId="0" applyNumberFormat="1" applyFont="1" applyBorder="1"/>
    <xf numFmtId="168" fontId="7" fillId="0" borderId="3" xfId="0" applyNumberFormat="1" applyFont="1" applyBorder="1"/>
    <xf numFmtId="168" fontId="41" fillId="0" borderId="3" xfId="0" applyNumberFormat="1" applyFont="1" applyBorder="1"/>
    <xf numFmtId="0" fontId="6" fillId="0" borderId="0" xfId="0" applyFont="1" applyAlignment="1">
      <alignment vertical="top" wrapText="1"/>
    </xf>
    <xf numFmtId="169" fontId="7" fillId="0" borderId="0" xfId="0" applyNumberFormat="1" applyFont="1" applyAlignment="1">
      <alignment horizontal="left"/>
    </xf>
    <xf numFmtId="169" fontId="7" fillId="0" borderId="12" xfId="0" applyNumberFormat="1" applyFont="1" applyBorder="1" applyAlignment="1">
      <alignment horizontal="left"/>
    </xf>
    <xf numFmtId="169" fontId="7" fillId="0" borderId="11" xfId="0" applyNumberFormat="1" applyFont="1" applyBorder="1" applyAlignment="1">
      <alignment horizontal="left"/>
    </xf>
    <xf numFmtId="10" fontId="7" fillId="0" borderId="12" xfId="0" applyNumberFormat="1" applyFont="1" applyBorder="1" applyAlignment="1">
      <alignment horizontal="left"/>
    </xf>
    <xf numFmtId="170" fontId="7" fillId="0" borderId="12" xfId="0" applyNumberFormat="1" applyFont="1" applyBorder="1" applyAlignment="1">
      <alignment horizontal="left"/>
    </xf>
    <xf numFmtId="168" fontId="7" fillId="0" borderId="12" xfId="2" applyNumberFormat="1" applyFont="1" applyBorder="1" applyAlignment="1">
      <alignment horizontal="left"/>
    </xf>
    <xf numFmtId="176" fontId="7" fillId="0" borderId="12" xfId="0" applyNumberFormat="1" applyFont="1" applyBorder="1" applyAlignment="1">
      <alignment horizontal="left"/>
    </xf>
    <xf numFmtId="165" fontId="7" fillId="0" borderId="11" xfId="0" applyNumberFormat="1" applyFont="1" applyBorder="1" applyAlignment="1">
      <alignment horizontal="left"/>
    </xf>
    <xf numFmtId="0" fontId="11" fillId="0" borderId="0" xfId="0" applyFont="1" applyAlignment="1">
      <alignment horizontal="left" vertical="top" wrapText="1"/>
    </xf>
    <xf numFmtId="0" fontId="5" fillId="19" borderId="0" xfId="0" applyFont="1" applyFill="1"/>
    <xf numFmtId="0" fontId="37" fillId="13" borderId="0" xfId="0" applyFont="1" applyFill="1" applyAlignment="1">
      <alignment horizontal="left" vertical="center"/>
    </xf>
    <xf numFmtId="0" fontId="9" fillId="13" borderId="0" xfId="0" applyFont="1" applyFill="1" applyAlignment="1">
      <alignment horizontal="left" vertical="center"/>
    </xf>
    <xf numFmtId="0" fontId="9" fillId="13" borderId="0" xfId="0" applyFont="1" applyFill="1"/>
    <xf numFmtId="0" fontId="37" fillId="13" borderId="0" xfId="0" applyFont="1" applyFill="1"/>
    <xf numFmtId="0" fontId="70" fillId="13" borderId="0" xfId="0" applyFont="1" applyFill="1"/>
    <xf numFmtId="0" fontId="70" fillId="0" borderId="2" xfId="0" quotePrefix="1" applyFont="1" applyBorder="1"/>
    <xf numFmtId="176" fontId="11" fillId="0" borderId="2" xfId="0" applyNumberFormat="1" applyFont="1" applyBorder="1"/>
    <xf numFmtId="169" fontId="11" fillId="0" borderId="2" xfId="0" applyNumberFormat="1" applyFont="1" applyBorder="1"/>
    <xf numFmtId="0" fontId="70" fillId="0" borderId="2" xfId="0" applyFont="1" applyBorder="1"/>
    <xf numFmtId="179" fontId="37" fillId="0" borderId="2" xfId="0" applyNumberFormat="1" applyFont="1" applyBorder="1"/>
    <xf numFmtId="0" fontId="70" fillId="0" borderId="5" xfId="0" quotePrefix="1" applyFont="1" applyBorder="1"/>
    <xf numFmtId="176" fontId="11" fillId="0" borderId="5" xfId="0" applyNumberFormat="1" applyFont="1" applyBorder="1"/>
    <xf numFmtId="0" fontId="37" fillId="17" borderId="10" xfId="0" applyFont="1" applyFill="1" applyBorder="1"/>
    <xf numFmtId="0" fontId="40" fillId="17" borderId="10" xfId="0" applyFont="1" applyFill="1" applyBorder="1"/>
    <xf numFmtId="0" fontId="37" fillId="14" borderId="10" xfId="0" applyFont="1" applyFill="1" applyBorder="1" applyAlignment="1">
      <alignment horizontal="right"/>
    </xf>
    <xf numFmtId="0" fontId="37" fillId="8" borderId="10" xfId="0" applyFont="1" applyFill="1" applyBorder="1" applyAlignment="1">
      <alignment horizontal="right"/>
    </xf>
    <xf numFmtId="0" fontId="37" fillId="15" borderId="10" xfId="0" applyFont="1" applyFill="1" applyBorder="1" applyAlignment="1">
      <alignment horizontal="right"/>
    </xf>
    <xf numFmtId="0" fontId="10" fillId="0" borderId="5" xfId="0" applyFont="1" applyBorder="1"/>
    <xf numFmtId="169" fontId="7" fillId="0" borderId="5" xfId="0" applyNumberFormat="1" applyFont="1" applyBorder="1"/>
    <xf numFmtId="0" fontId="78" fillId="17" borderId="10" xfId="0" applyFont="1" applyFill="1" applyBorder="1"/>
    <xf numFmtId="169" fontId="41" fillId="0" borderId="2" xfId="0" applyNumberFormat="1" applyFont="1" applyBorder="1"/>
    <xf numFmtId="0" fontId="40" fillId="8" borderId="0" xfId="0" applyFont="1" applyFill="1"/>
    <xf numFmtId="0" fontId="40" fillId="14" borderId="0" xfId="0" applyFont="1" applyFill="1" applyAlignment="1">
      <alignment horizontal="right"/>
    </xf>
    <xf numFmtId="0" fontId="40" fillId="8" borderId="0" xfId="0" applyFont="1" applyFill="1" applyAlignment="1">
      <alignment horizontal="right"/>
    </xf>
    <xf numFmtId="0" fontId="40" fillId="15" borderId="0" xfId="0" applyFont="1" applyFill="1" applyAlignment="1">
      <alignment horizontal="right"/>
    </xf>
    <xf numFmtId="0" fontId="9" fillId="0" borderId="0" xfId="0" applyFont="1" applyAlignment="1">
      <alignment horizontal="left" indent="1"/>
    </xf>
    <xf numFmtId="0" fontId="40" fillId="8" borderId="0" xfId="0" applyFont="1" applyFill="1" applyAlignment="1">
      <alignment horizontal="center"/>
    </xf>
    <xf numFmtId="0" fontId="84" fillId="0" borderId="0" xfId="0" applyFont="1"/>
    <xf numFmtId="0" fontId="62" fillId="0" borderId="2" xfId="0" applyFont="1" applyBorder="1" applyAlignment="1">
      <alignment horizontal="left" vertical="top" wrapText="1" indent="1"/>
    </xf>
    <xf numFmtId="0" fontId="9" fillId="0" borderId="2" xfId="0" applyFont="1" applyBorder="1" applyAlignment="1">
      <alignment vertical="top" wrapText="1"/>
    </xf>
    <xf numFmtId="0" fontId="5" fillId="0" borderId="2" xfId="0" applyFont="1" applyBorder="1" applyAlignment="1">
      <alignment horizontal="left" vertical="top" wrapText="1" indent="1"/>
    </xf>
    <xf numFmtId="0" fontId="39" fillId="0" borderId="2" xfId="0" applyFont="1" applyBorder="1" applyAlignment="1">
      <alignment horizontal="left" vertical="top" wrapText="1" indent="1"/>
    </xf>
    <xf numFmtId="0" fontId="6" fillId="0" borderId="2" xfId="0" applyFont="1" applyBorder="1" applyAlignment="1">
      <alignment horizontal="left" vertical="top" wrapText="1" indent="1"/>
    </xf>
    <xf numFmtId="168" fontId="13" fillId="0" borderId="0" xfId="0" applyNumberFormat="1" applyFont="1" applyAlignment="1">
      <alignment vertical="center" wrapText="1"/>
    </xf>
    <xf numFmtId="0" fontId="13" fillId="0" borderId="0" xfId="0" applyFont="1" applyAlignment="1">
      <alignment vertical="center" wrapText="1"/>
    </xf>
    <xf numFmtId="180" fontId="85" fillId="0" borderId="0" xfId="0" applyNumberFormat="1" applyFont="1" applyAlignment="1">
      <alignment horizontal="right" vertical="center"/>
    </xf>
    <xf numFmtId="0" fontId="27" fillId="0" borderId="15" xfId="0" applyFont="1" applyBorder="1"/>
    <xf numFmtId="0" fontId="40" fillId="0" borderId="15" xfId="0" applyFont="1" applyBorder="1" applyAlignment="1">
      <alignment horizontal="center"/>
    </xf>
    <xf numFmtId="168" fontId="27" fillId="0" borderId="15" xfId="2" applyNumberFormat="1" applyFont="1" applyFill="1" applyBorder="1"/>
    <xf numFmtId="3" fontId="73" fillId="0" borderId="15" xfId="0" applyNumberFormat="1" applyFont="1" applyBorder="1"/>
    <xf numFmtId="165" fontId="5" fillId="12" borderId="15" xfId="2" applyNumberFormat="1" applyFont="1" applyFill="1" applyBorder="1"/>
    <xf numFmtId="0" fontId="8" fillId="0" borderId="0" xfId="0" applyFont="1" applyAlignment="1">
      <alignment horizontal="left" indent="1"/>
    </xf>
    <xf numFmtId="168" fontId="8" fillId="0" borderId="0" xfId="2" applyNumberFormat="1" applyFont="1" applyBorder="1"/>
    <xf numFmtId="0" fontId="2" fillId="0" borderId="0" xfId="0" applyFont="1"/>
    <xf numFmtId="0" fontId="3" fillId="0" borderId="0" xfId="0" applyFont="1"/>
    <xf numFmtId="165" fontId="5" fillId="12" borderId="14" xfId="0" applyNumberFormat="1" applyFont="1" applyFill="1" applyBorder="1" applyAlignment="1">
      <alignment horizontal="right"/>
    </xf>
    <xf numFmtId="165" fontId="39" fillId="12" borderId="14" xfId="0" applyNumberFormat="1" applyFont="1" applyFill="1" applyBorder="1" applyAlignment="1">
      <alignment horizontal="right"/>
    </xf>
    <xf numFmtId="3" fontId="11" fillId="0" borderId="19" xfId="0" applyNumberFormat="1" applyFont="1" applyBorder="1" applyAlignment="1">
      <alignment horizontal="right"/>
    </xf>
    <xf numFmtId="3" fontId="6" fillId="0" borderId="19" xfId="0" applyNumberFormat="1" applyFont="1" applyBorder="1" applyAlignment="1">
      <alignment horizontal="right"/>
    </xf>
    <xf numFmtId="168" fontId="11" fillId="0" borderId="2" xfId="0" applyNumberFormat="1" applyFont="1" applyBorder="1" applyAlignment="1">
      <alignment horizontal="right"/>
    </xf>
    <xf numFmtId="3" fontId="11" fillId="0" borderId="2" xfId="0" applyNumberFormat="1" applyFont="1" applyBorder="1" applyAlignment="1">
      <alignment horizontal="right"/>
    </xf>
    <xf numFmtId="168" fontId="7" fillId="0" borderId="2" xfId="0" applyNumberFormat="1" applyFont="1" applyBorder="1" applyAlignment="1">
      <alignment horizontal="right"/>
    </xf>
    <xf numFmtId="169" fontId="11" fillId="0" borderId="2" xfId="0" applyNumberFormat="1" applyFont="1" applyBorder="1" applyAlignment="1">
      <alignment horizontal="right"/>
    </xf>
    <xf numFmtId="3" fontId="39" fillId="12" borderId="14" xfId="0" applyNumberFormat="1" applyFont="1" applyFill="1" applyBorder="1"/>
    <xf numFmtId="3" fontId="11" fillId="0" borderId="19" xfId="0" applyNumberFormat="1" applyFont="1" applyBorder="1"/>
    <xf numFmtId="3" fontId="6" fillId="0" borderId="19" xfId="0" applyNumberFormat="1" applyFont="1" applyBorder="1"/>
    <xf numFmtId="0" fontId="9" fillId="0" borderId="19" xfId="0" applyFont="1" applyBorder="1" applyAlignment="1">
      <alignment horizontal="center"/>
    </xf>
    <xf numFmtId="168" fontId="8" fillId="0" borderId="19" xfId="2" applyNumberFormat="1" applyFont="1" applyBorder="1"/>
    <xf numFmtId="0" fontId="3" fillId="0" borderId="2" xfId="0" applyFont="1" applyBorder="1" applyAlignment="1">
      <alignment horizontal="left" indent="1"/>
    </xf>
    <xf numFmtId="168" fontId="8" fillId="0" borderId="2" xfId="2" applyNumberFormat="1" applyFont="1" applyBorder="1"/>
    <xf numFmtId="0" fontId="31" fillId="12" borderId="2" xfId="0" applyFont="1" applyFill="1" applyBorder="1"/>
    <xf numFmtId="0" fontId="2" fillId="0" borderId="2" xfId="0" applyFont="1" applyBorder="1"/>
    <xf numFmtId="165" fontId="5" fillId="12" borderId="14" xfId="2" applyNumberFormat="1" applyFont="1" applyFill="1" applyBorder="1"/>
    <xf numFmtId="0" fontId="31" fillId="12" borderId="2" xfId="0" applyFont="1" applyFill="1" applyBorder="1" applyAlignment="1">
      <alignment horizontal="left" indent="1"/>
    </xf>
    <xf numFmtId="168" fontId="52" fillId="0" borderId="19" xfId="2" applyNumberFormat="1" applyFont="1" applyBorder="1"/>
    <xf numFmtId="175" fontId="86" fillId="12" borderId="2" xfId="0" applyNumberFormat="1" applyFont="1" applyFill="1" applyBorder="1"/>
    <xf numFmtId="175" fontId="11" fillId="0" borderId="19" xfId="0" applyNumberFormat="1" applyFont="1" applyBorder="1" applyAlignment="1">
      <alignment horizontal="right"/>
    </xf>
    <xf numFmtId="175" fontId="11" fillId="0" borderId="2" xfId="0" applyNumberFormat="1" applyFont="1" applyBorder="1" applyAlignment="1">
      <alignment horizontal="right"/>
    </xf>
    <xf numFmtId="175" fontId="87" fillId="0" borderId="2" xfId="0" applyNumberFormat="1" applyFont="1" applyBorder="1" applyAlignment="1">
      <alignment horizontal="right"/>
    </xf>
    <xf numFmtId="181" fontId="57" fillId="0" borderId="2" xfId="2" applyNumberFormat="1" applyFont="1" applyBorder="1"/>
    <xf numFmtId="175" fontId="8" fillId="0" borderId="2" xfId="2" applyNumberFormat="1" applyFont="1" applyBorder="1"/>
    <xf numFmtId="175" fontId="3" fillId="0" borderId="2" xfId="0" applyNumberFormat="1" applyFont="1" applyBorder="1"/>
    <xf numFmtId="0" fontId="31" fillId="0" borderId="2" xfId="0" applyFont="1" applyBorder="1"/>
    <xf numFmtId="0" fontId="89" fillId="0" borderId="2" xfId="0" applyFont="1" applyBorder="1" applyAlignment="1">
      <alignment horizontal="left" indent="1"/>
    </xf>
    <xf numFmtId="175" fontId="90" fillId="0" borderId="2" xfId="0" applyNumberFormat="1" applyFont="1" applyBorder="1"/>
    <xf numFmtId="175" fontId="89" fillId="0" borderId="2" xfId="0" applyNumberFormat="1" applyFont="1" applyBorder="1"/>
    <xf numFmtId="0" fontId="88" fillId="0" borderId="2" xfId="0" applyFont="1" applyBorder="1"/>
    <xf numFmtId="168" fontId="27" fillId="0" borderId="2" xfId="2" applyNumberFormat="1" applyFont="1" applyBorder="1"/>
    <xf numFmtId="181" fontId="27" fillId="0" borderId="2" xfId="2" applyNumberFormat="1" applyFont="1" applyBorder="1"/>
    <xf numFmtId="175" fontId="88" fillId="0" borderId="2" xfId="0" applyNumberFormat="1" applyFont="1" applyBorder="1"/>
    <xf numFmtId="0" fontId="89" fillId="0" borderId="2" xfId="0" applyFont="1" applyBorder="1"/>
    <xf numFmtId="175" fontId="91" fillId="0" borderId="2" xfId="0" applyNumberFormat="1" applyFont="1" applyBorder="1"/>
    <xf numFmtId="0" fontId="4" fillId="0" borderId="2" xfId="0" applyFont="1" applyBorder="1" applyAlignment="1">
      <alignment horizontal="left" indent="2"/>
    </xf>
    <xf numFmtId="0" fontId="4" fillId="0" borderId="2" xfId="0" applyFont="1" applyBorder="1"/>
    <xf numFmtId="181" fontId="91" fillId="0" borderId="2" xfId="0" applyNumberFormat="1" applyFont="1" applyBorder="1"/>
    <xf numFmtId="181" fontId="57" fillId="0" borderId="16" xfId="2" applyNumberFormat="1" applyFont="1" applyBorder="1"/>
    <xf numFmtId="0" fontId="92" fillId="0" borderId="2" xfId="0" applyFont="1" applyBorder="1" applyAlignment="1">
      <alignment horizontal="left" indent="1"/>
    </xf>
    <xf numFmtId="0" fontId="92" fillId="0" borderId="2" xfId="0" applyFont="1" applyBorder="1"/>
    <xf numFmtId="181" fontId="92" fillId="0" borderId="2" xfId="0" applyNumberFormat="1" applyFont="1" applyBorder="1"/>
    <xf numFmtId="0" fontId="40" fillId="0" borderId="2" xfId="0" applyFont="1" applyBorder="1" applyAlignment="1">
      <alignment horizontal="center"/>
    </xf>
    <xf numFmtId="0" fontId="10" fillId="0" borderId="0" xfId="0" applyFont="1" applyAlignment="1">
      <alignment horizontal="left" indent="1"/>
    </xf>
    <xf numFmtId="0" fontId="10" fillId="0" borderId="2" xfId="0" applyFont="1" applyBorder="1" applyAlignment="1">
      <alignment horizontal="left" indent="2"/>
    </xf>
    <xf numFmtId="168" fontId="31" fillId="0" borderId="2" xfId="0" applyNumberFormat="1" applyFont="1" applyBorder="1" applyAlignment="1">
      <alignment horizontal="right"/>
    </xf>
    <xf numFmtId="0" fontId="31" fillId="0" borderId="0" xfId="0" applyFont="1" applyAlignment="1">
      <alignment horizontal="right"/>
    </xf>
    <xf numFmtId="0" fontId="58" fillId="11" borderId="9" xfId="0" applyFont="1" applyFill="1" applyBorder="1"/>
    <xf numFmtId="0" fontId="58" fillId="11" borderId="9" xfId="0" applyFont="1" applyFill="1" applyBorder="1" applyAlignment="1">
      <alignment horizontal="center"/>
    </xf>
    <xf numFmtId="0" fontId="58" fillId="11" borderId="9" xfId="0" applyFont="1" applyFill="1" applyBorder="1" applyAlignment="1">
      <alignment horizontal="right"/>
    </xf>
    <xf numFmtId="181" fontId="41" fillId="0" borderId="2" xfId="2" applyNumberFormat="1" applyFont="1" applyBorder="1"/>
    <xf numFmtId="181" fontId="38" fillId="0" borderId="2" xfId="0" applyNumberFormat="1" applyFont="1" applyBorder="1"/>
    <xf numFmtId="181" fontId="93" fillId="0" borderId="2" xfId="0" applyNumberFormat="1" applyFont="1" applyBorder="1"/>
    <xf numFmtId="175" fontId="31" fillId="12" borderId="2" xfId="0" applyNumberFormat="1" applyFont="1" applyFill="1" applyBorder="1"/>
    <xf numFmtId="175" fontId="12" fillId="0" borderId="2" xfId="0" applyNumberFormat="1" applyFont="1" applyBorder="1"/>
    <xf numFmtId="0" fontId="94" fillId="0" borderId="0" xfId="0" applyFont="1"/>
    <xf numFmtId="0" fontId="9" fillId="0" borderId="0" xfId="0" applyFont="1" applyAlignment="1">
      <alignment horizontal="left" vertical="center" wrapText="1"/>
    </xf>
    <xf numFmtId="0" fontId="37" fillId="17" borderId="0" xfId="0" applyFont="1" applyFill="1" applyAlignment="1">
      <alignment horizontal="left" vertical="center" wrapText="1"/>
    </xf>
    <xf numFmtId="0" fontId="37" fillId="17" borderId="0" xfId="0" applyFont="1" applyFill="1" applyAlignment="1">
      <alignment horizontal="right" vertical="center" wrapText="1"/>
    </xf>
    <xf numFmtId="0" fontId="10" fillId="0" borderId="0" xfId="0" applyFont="1" applyAlignment="1">
      <alignment vertical="center" wrapText="1"/>
    </xf>
    <xf numFmtId="0" fontId="95" fillId="0" borderId="0" xfId="0" applyFont="1"/>
    <xf numFmtId="0" fontId="52" fillId="0" borderId="0" xfId="0" applyFont="1"/>
    <xf numFmtId="180" fontId="11" fillId="0" borderId="0" xfId="0" applyNumberFormat="1" applyFont="1" applyAlignment="1">
      <alignment horizontal="right"/>
    </xf>
    <xf numFmtId="180" fontId="70" fillId="0" borderId="0" xfId="0" applyNumberFormat="1" applyFont="1" applyAlignment="1">
      <alignment horizontal="right"/>
    </xf>
    <xf numFmtId="0" fontId="40" fillId="8" borderId="17" xfId="0" applyFont="1" applyFill="1" applyBorder="1" applyAlignment="1">
      <alignment horizontal="center"/>
    </xf>
    <xf numFmtId="0" fontId="5" fillId="13" borderId="0" xfId="0" applyFont="1" applyFill="1"/>
    <xf numFmtId="0" fontId="43" fillId="0" borderId="0" xfId="0" applyFont="1" applyAlignment="1">
      <alignment horizontal="right"/>
    </xf>
    <xf numFmtId="0" fontId="9" fillId="0" borderId="0" xfId="0" applyFont="1" applyAlignment="1">
      <alignment horizontal="center" wrapText="1"/>
    </xf>
    <xf numFmtId="164" fontId="37" fillId="13" borderId="0" xfId="0" applyNumberFormat="1" applyFont="1" applyFill="1" applyAlignment="1">
      <alignment horizontal="right"/>
    </xf>
    <xf numFmtId="164" fontId="37" fillId="29" borderId="53" xfId="0" applyNumberFormat="1" applyFont="1" applyFill="1" applyBorder="1"/>
    <xf numFmtId="164" fontId="37" fillId="29" borderId="53" xfId="0" applyNumberFormat="1" applyFont="1" applyFill="1" applyBorder="1" applyAlignment="1">
      <alignment horizontal="right"/>
    </xf>
    <xf numFmtId="0" fontId="37" fillId="0" borderId="0" xfId="0" applyFont="1" applyAlignment="1">
      <alignment horizontal="left"/>
    </xf>
    <xf numFmtId="164" fontId="9" fillId="0" borderId="0" xfId="0" applyNumberFormat="1" applyFont="1" applyAlignment="1">
      <alignment horizontal="right"/>
    </xf>
    <xf numFmtId="0" fontId="37" fillId="16" borderId="0" xfId="0" applyFont="1" applyFill="1"/>
    <xf numFmtId="164" fontId="37" fillId="16" borderId="0" xfId="0" applyNumberFormat="1" applyFont="1" applyFill="1" applyAlignment="1">
      <alignment horizontal="right"/>
    </xf>
    <xf numFmtId="0" fontId="27" fillId="8" borderId="0" xfId="0" applyFont="1" applyFill="1" applyAlignment="1">
      <alignment horizontal="center"/>
    </xf>
    <xf numFmtId="0" fontId="5" fillId="8" borderId="17" xfId="0" applyFont="1" applyFill="1" applyBorder="1"/>
    <xf numFmtId="0" fontId="0" fillId="8" borderId="17" xfId="0" applyFill="1" applyBorder="1"/>
    <xf numFmtId="0" fontId="37" fillId="17" borderId="0" xfId="0" applyFont="1" applyFill="1"/>
    <xf numFmtId="164" fontId="37" fillId="29" borderId="54" xfId="0" applyNumberFormat="1" applyFont="1" applyFill="1" applyBorder="1"/>
    <xf numFmtId="0" fontId="37" fillId="0" borderId="19" xfId="0" applyFont="1" applyBorder="1"/>
    <xf numFmtId="0" fontId="9" fillId="0" borderId="19" xfId="0" applyFont="1" applyBorder="1"/>
    <xf numFmtId="0" fontId="6" fillId="0" borderId="2" xfId="0" applyFont="1" applyBorder="1" applyAlignment="1">
      <alignment horizontal="left" indent="1"/>
    </xf>
    <xf numFmtId="0" fontId="8" fillId="0" borderId="2" xfId="0" applyFont="1" applyBorder="1" applyAlignment="1">
      <alignment horizontal="left" indent="1"/>
    </xf>
    <xf numFmtId="180" fontId="57" fillId="0" borderId="2" xfId="0" applyNumberFormat="1" applyFont="1" applyBorder="1" applyAlignment="1">
      <alignment horizontal="right"/>
    </xf>
    <xf numFmtId="182" fontId="11" fillId="0" borderId="2" xfId="0" applyNumberFormat="1" applyFont="1" applyBorder="1" applyAlignment="1">
      <alignment horizontal="right"/>
    </xf>
    <xf numFmtId="182" fontId="6" fillId="0" borderId="2" xfId="0" applyNumberFormat="1" applyFont="1" applyBorder="1" applyAlignment="1">
      <alignment horizontal="right"/>
    </xf>
    <xf numFmtId="175" fontId="9" fillId="0" borderId="2" xfId="0" applyNumberFormat="1" applyFont="1" applyBorder="1" applyAlignment="1">
      <alignment horizontal="right"/>
    </xf>
    <xf numFmtId="180" fontId="11" fillId="0" borderId="2" xfId="0" applyNumberFormat="1" applyFont="1" applyBorder="1" applyAlignment="1">
      <alignment horizontal="right"/>
    </xf>
    <xf numFmtId="182" fontId="9" fillId="0" borderId="2" xfId="0" applyNumberFormat="1" applyFont="1" applyBorder="1" applyAlignment="1">
      <alignment horizontal="right"/>
    </xf>
    <xf numFmtId="164" fontId="37" fillId="29" borderId="52" xfId="0" applyNumberFormat="1" applyFont="1" applyFill="1" applyBorder="1"/>
    <xf numFmtId="164" fontId="37" fillId="29" borderId="52" xfId="0" applyNumberFormat="1" applyFont="1" applyFill="1" applyBorder="1" applyAlignment="1">
      <alignment horizontal="right"/>
    </xf>
    <xf numFmtId="184" fontId="11" fillId="0" borderId="2" xfId="0" applyNumberFormat="1" applyFont="1" applyBorder="1" applyAlignment="1">
      <alignment horizontal="right"/>
    </xf>
    <xf numFmtId="184" fontId="9" fillId="0" borderId="2" xfId="0" applyNumberFormat="1" applyFont="1" applyBorder="1" applyAlignment="1">
      <alignment horizontal="right"/>
    </xf>
    <xf numFmtId="164" fontId="9" fillId="0" borderId="2" xfId="0" applyNumberFormat="1" applyFont="1" applyBorder="1" applyAlignment="1">
      <alignment horizontal="right"/>
    </xf>
    <xf numFmtId="0" fontId="10" fillId="0" borderId="56" xfId="0" applyFont="1" applyBorder="1"/>
    <xf numFmtId="180" fontId="57" fillId="0" borderId="56" xfId="0" applyNumberFormat="1" applyFont="1" applyBorder="1" applyAlignment="1">
      <alignment horizontal="right"/>
    </xf>
    <xf numFmtId="168" fontId="10" fillId="0" borderId="56" xfId="0" applyNumberFormat="1" applyFont="1" applyBorder="1"/>
    <xf numFmtId="0" fontId="9" fillId="0" borderId="56" xfId="0" applyFont="1" applyBorder="1"/>
    <xf numFmtId="164" fontId="9" fillId="0" borderId="56" xfId="0" applyNumberFormat="1" applyFont="1" applyBorder="1" applyAlignment="1">
      <alignment horizontal="right"/>
    </xf>
    <xf numFmtId="0" fontId="70" fillId="0" borderId="55" xfId="0" applyFont="1" applyBorder="1"/>
    <xf numFmtId="0" fontId="9" fillId="0" borderId="55" xfId="0" applyFont="1" applyBorder="1"/>
    <xf numFmtId="180" fontId="70" fillId="0" borderId="55" xfId="0" applyNumberFormat="1" applyFont="1" applyBorder="1" applyAlignment="1">
      <alignment horizontal="right"/>
    </xf>
    <xf numFmtId="0" fontId="9" fillId="8" borderId="17" xfId="0" applyFont="1" applyFill="1" applyBorder="1"/>
    <xf numFmtId="164" fontId="37" fillId="17" borderId="0" xfId="0" applyNumberFormat="1" applyFont="1" applyFill="1" applyAlignment="1">
      <alignment horizontal="right"/>
    </xf>
    <xf numFmtId="164" fontId="37" fillId="29" borderId="54" xfId="0" applyNumberFormat="1" applyFont="1" applyFill="1" applyBorder="1" applyAlignment="1">
      <alignment horizontal="right"/>
    </xf>
    <xf numFmtId="0" fontId="9" fillId="0" borderId="2" xfId="0" applyFont="1" applyBorder="1" applyAlignment="1">
      <alignment horizontal="left"/>
    </xf>
    <xf numFmtId="0" fontId="10" fillId="0" borderId="2" xfId="0" applyFont="1" applyBorder="1" applyAlignment="1">
      <alignment horizontal="left"/>
    </xf>
    <xf numFmtId="0" fontId="9" fillId="0" borderId="19" xfId="0" applyFont="1" applyBorder="1" applyAlignment="1">
      <alignment horizontal="left"/>
    </xf>
    <xf numFmtId="185" fontId="11" fillId="0" borderId="19" xfId="0" applyNumberFormat="1" applyFont="1" applyBorder="1" applyAlignment="1">
      <alignment horizontal="right"/>
    </xf>
    <xf numFmtId="185" fontId="9" fillId="0" borderId="19" xfId="0" applyNumberFormat="1" applyFont="1" applyBorder="1" applyAlignment="1">
      <alignment horizontal="right"/>
    </xf>
    <xf numFmtId="0" fontId="10" fillId="0" borderId="57" xfId="0" applyFont="1" applyBorder="1" applyAlignment="1">
      <alignment horizontal="left"/>
    </xf>
    <xf numFmtId="0" fontId="9" fillId="0" borderId="57" xfId="0" applyFont="1" applyBorder="1"/>
    <xf numFmtId="180" fontId="57" fillId="0" borderId="57" xfId="0" applyNumberFormat="1" applyFont="1" applyBorder="1" applyAlignment="1">
      <alignment horizontal="right"/>
    </xf>
    <xf numFmtId="183" fontId="11" fillId="0" borderId="2" xfId="0" applyNumberFormat="1" applyFont="1" applyBorder="1" applyAlignment="1">
      <alignment horizontal="right"/>
    </xf>
    <xf numFmtId="183" fontId="9" fillId="0" borderId="2" xfId="0" applyNumberFormat="1" applyFont="1" applyBorder="1" applyAlignment="1">
      <alignment horizontal="right"/>
    </xf>
    <xf numFmtId="0" fontId="10" fillId="0" borderId="6" xfId="0" applyFont="1" applyBorder="1" applyAlignment="1">
      <alignment horizontal="left"/>
    </xf>
    <xf numFmtId="180" fontId="57" fillId="0" borderId="6" xfId="0" applyNumberFormat="1" applyFont="1" applyBorder="1" applyAlignment="1">
      <alignment horizontal="right"/>
    </xf>
    <xf numFmtId="0" fontId="10" fillId="0" borderId="57" xfId="0" applyFont="1" applyBorder="1"/>
    <xf numFmtId="168" fontId="9" fillId="0" borderId="57" xfId="0" applyNumberFormat="1" applyFont="1" applyBorder="1"/>
    <xf numFmtId="164" fontId="9" fillId="0" borderId="57" xfId="0" applyNumberFormat="1" applyFont="1" applyBorder="1" applyAlignment="1">
      <alignment horizontal="right"/>
    </xf>
    <xf numFmtId="180" fontId="10" fillId="0" borderId="2" xfId="0" applyNumberFormat="1" applyFont="1" applyBorder="1" applyAlignment="1">
      <alignment horizontal="right"/>
    </xf>
    <xf numFmtId="164" fontId="37" fillId="16" borderId="54" xfId="0" applyNumberFormat="1" applyFont="1" applyFill="1" applyBorder="1" applyAlignment="1">
      <alignment horizontal="right"/>
    </xf>
    <xf numFmtId="0" fontId="37" fillId="16" borderId="54" xfId="0" applyFont="1" applyFill="1" applyBorder="1"/>
    <xf numFmtId="164" fontId="7" fillId="0" borderId="0" xfId="0" applyNumberFormat="1" applyFont="1" applyAlignment="1">
      <alignment horizontal="right"/>
    </xf>
    <xf numFmtId="0" fontId="37" fillId="29" borderId="54" xfId="0" applyFont="1" applyFill="1" applyBorder="1"/>
    <xf numFmtId="164" fontId="11" fillId="0" borderId="0" xfId="0" applyNumberFormat="1" applyFont="1" applyAlignment="1">
      <alignment horizontal="right"/>
    </xf>
    <xf numFmtId="0" fontId="96" fillId="13" borderId="0" xfId="0" applyFont="1" applyFill="1"/>
    <xf numFmtId="180" fontId="70" fillId="13" borderId="0" xfId="0" applyNumberFormat="1" applyFont="1" applyFill="1" applyAlignment="1">
      <alignment horizontal="right"/>
    </xf>
    <xf numFmtId="164" fontId="7" fillId="13" borderId="0" xfId="0" applyNumberFormat="1" applyFont="1" applyFill="1" applyAlignment="1">
      <alignment horizontal="right"/>
    </xf>
    <xf numFmtId="0" fontId="43" fillId="9" borderId="0" xfId="0" applyFont="1" applyFill="1" applyAlignment="1">
      <alignment horizontal="left"/>
    </xf>
    <xf numFmtId="181" fontId="4" fillId="0" borderId="2" xfId="0" applyNumberFormat="1" applyFont="1" applyBorder="1"/>
    <xf numFmtId="175" fontId="4" fillId="0" borderId="2" xfId="0" applyNumberFormat="1" applyFont="1" applyBorder="1"/>
    <xf numFmtId="0" fontId="37" fillId="0" borderId="2" xfId="0" applyFont="1" applyBorder="1" applyAlignment="1">
      <alignment horizontal="left" indent="1"/>
    </xf>
    <xf numFmtId="175" fontId="6" fillId="0" borderId="2" xfId="2" applyNumberFormat="1" applyFont="1" applyBorder="1"/>
    <xf numFmtId="175" fontId="6" fillId="0" borderId="0" xfId="0" applyNumberFormat="1" applyFont="1"/>
    <xf numFmtId="175" fontId="11" fillId="0" borderId="2" xfId="0" applyNumberFormat="1" applyFont="1" applyBorder="1"/>
    <xf numFmtId="175" fontId="11" fillId="0" borderId="16" xfId="0" applyNumberFormat="1" applyFont="1" applyBorder="1"/>
    <xf numFmtId="175" fontId="7" fillId="0" borderId="5" xfId="0" applyNumberFormat="1" applyFont="1" applyBorder="1"/>
    <xf numFmtId="175" fontId="7" fillId="0" borderId="2" xfId="0" applyNumberFormat="1" applyFont="1" applyBorder="1"/>
    <xf numFmtId="175" fontId="7" fillId="0" borderId="16" xfId="0" applyNumberFormat="1" applyFont="1" applyBorder="1"/>
    <xf numFmtId="175" fontId="62" fillId="12" borderId="15" xfId="2" applyNumberFormat="1" applyFont="1" applyFill="1" applyBorder="1"/>
    <xf numFmtId="180" fontId="6" fillId="0" borderId="14" xfId="0" applyNumberFormat="1" applyFont="1" applyBorder="1" applyAlignment="1">
      <alignment horizontal="right"/>
    </xf>
    <xf numFmtId="180" fontId="8" fillId="0" borderId="14" xfId="0" applyNumberFormat="1" applyFont="1" applyBorder="1"/>
    <xf numFmtId="175" fontId="11" fillId="0" borderId="20" xfId="0" applyNumberFormat="1" applyFont="1" applyBorder="1"/>
    <xf numFmtId="175" fontId="5" fillId="12" borderId="18" xfId="0" applyNumberFormat="1" applyFont="1" applyFill="1" applyBorder="1"/>
    <xf numFmtId="180" fontId="8" fillId="0" borderId="16" xfId="0" applyNumberFormat="1" applyFont="1" applyBorder="1"/>
    <xf numFmtId="175" fontId="11" fillId="0" borderId="0" xfId="0" applyNumberFormat="1" applyFont="1"/>
    <xf numFmtId="175" fontId="5" fillId="0" borderId="18" xfId="0" applyNumberFormat="1" applyFont="1" applyBorder="1"/>
    <xf numFmtId="0" fontId="37" fillId="12" borderId="14" xfId="0" applyFont="1" applyFill="1" applyBorder="1" applyAlignment="1">
      <alignment horizontal="center"/>
    </xf>
    <xf numFmtId="175" fontId="5" fillId="12" borderId="14" xfId="0" applyNumberFormat="1" applyFont="1" applyFill="1" applyBorder="1"/>
    <xf numFmtId="180" fontId="8" fillId="0" borderId="2" xfId="0" applyNumberFormat="1" applyFont="1" applyBorder="1"/>
    <xf numFmtId="180" fontId="6" fillId="0" borderId="2" xfId="0" applyNumberFormat="1" applyFont="1" applyBorder="1"/>
    <xf numFmtId="175" fontId="57" fillId="0" borderId="2" xfId="0" applyNumberFormat="1" applyFont="1" applyBorder="1"/>
    <xf numFmtId="180" fontId="8" fillId="0" borderId="15" xfId="0" applyNumberFormat="1" applyFont="1" applyBorder="1"/>
    <xf numFmtId="175" fontId="6" fillId="0" borderId="20" xfId="0" applyNumberFormat="1" applyFont="1" applyBorder="1"/>
    <xf numFmtId="175" fontId="6" fillId="0" borderId="16" xfId="0" applyNumberFormat="1" applyFont="1" applyBorder="1"/>
    <xf numFmtId="180" fontId="6" fillId="0" borderId="14" xfId="0" applyNumberFormat="1" applyFont="1" applyBorder="1"/>
    <xf numFmtId="180" fontId="8" fillId="0" borderId="15" xfId="2" applyNumberFormat="1" applyFont="1" applyBorder="1"/>
    <xf numFmtId="0" fontId="9" fillId="0" borderId="4" xfId="0" applyFont="1" applyBorder="1" applyAlignment="1">
      <alignment horizontal="left"/>
    </xf>
    <xf numFmtId="10" fontId="11" fillId="0" borderId="4" xfId="0" applyNumberFormat="1" applyFont="1" applyBorder="1" applyAlignment="1">
      <alignment horizontal="center"/>
    </xf>
    <xf numFmtId="175" fontId="11" fillId="0" borderId="4" xfId="0" applyNumberFormat="1" applyFont="1" applyBorder="1"/>
    <xf numFmtId="175" fontId="6" fillId="0" borderId="4" xfId="0" applyNumberFormat="1" applyFont="1" applyBorder="1"/>
    <xf numFmtId="10" fontId="11" fillId="0" borderId="2" xfId="0" applyNumberFormat="1" applyFont="1" applyBorder="1" applyAlignment="1">
      <alignment horizontal="center"/>
    </xf>
    <xf numFmtId="175" fontId="6" fillId="0" borderId="2" xfId="0" applyNumberFormat="1" applyFont="1" applyBorder="1"/>
    <xf numFmtId="0" fontId="52" fillId="0" borderId="2" xfId="0" applyFont="1" applyBorder="1" applyAlignment="1">
      <alignment horizontal="left"/>
    </xf>
    <xf numFmtId="0" fontId="37" fillId="0" borderId="2" xfId="0" applyFont="1" applyBorder="1" applyAlignment="1">
      <alignment horizontal="left"/>
    </xf>
    <xf numFmtId="175" fontId="37" fillId="0" borderId="2" xfId="0" applyNumberFormat="1" applyFont="1" applyBorder="1"/>
    <xf numFmtId="0" fontId="10" fillId="0" borderId="5" xfId="0" applyFont="1" applyBorder="1" applyAlignment="1">
      <alignment horizontal="left"/>
    </xf>
    <xf numFmtId="0" fontId="37" fillId="28" borderId="5" xfId="0" applyFont="1" applyFill="1" applyBorder="1"/>
    <xf numFmtId="175" fontId="21" fillId="0" borderId="0" xfId="0" applyNumberFormat="1" applyFont="1" applyAlignment="1">
      <alignment horizontal="right"/>
    </xf>
    <xf numFmtId="175" fontId="19" fillId="0" borderId="2" xfId="0" applyNumberFormat="1" applyFont="1" applyBorder="1" applyAlignment="1">
      <alignment horizontal="right"/>
    </xf>
    <xf numFmtId="175" fontId="21" fillId="0" borderId="2" xfId="0" applyNumberFormat="1" applyFont="1" applyBorder="1" applyAlignment="1">
      <alignment horizontal="right"/>
    </xf>
    <xf numFmtId="175" fontId="97" fillId="12" borderId="21" xfId="1" applyNumberFormat="1" applyFont="1" applyFill="1" applyBorder="1" applyAlignment="1">
      <alignment horizontal="right"/>
    </xf>
    <xf numFmtId="168" fontId="73" fillId="12" borderId="22" xfId="1" applyNumberFormat="1" applyFont="1" applyFill="1" applyBorder="1" applyAlignment="1">
      <alignment horizontal="right"/>
    </xf>
    <xf numFmtId="175" fontId="7" fillId="0" borderId="20" xfId="0" applyNumberFormat="1" applyFont="1" applyBorder="1"/>
    <xf numFmtId="180" fontId="57" fillId="0" borderId="16" xfId="0" applyNumberFormat="1" applyFont="1" applyBorder="1"/>
    <xf numFmtId="186" fontId="6" fillId="0" borderId="16" xfId="0" applyNumberFormat="1" applyFont="1" applyBorder="1"/>
    <xf numFmtId="0" fontId="71" fillId="0" borderId="12" xfId="0" applyFont="1" applyBorder="1" applyAlignment="1">
      <alignment horizontal="left" wrapText="1"/>
    </xf>
    <xf numFmtId="0" fontId="9" fillId="0" borderId="0" xfId="0" applyFont="1" applyAlignment="1">
      <alignment horizontal="left" vertical="center" wrapText="1"/>
    </xf>
    <xf numFmtId="0" fontId="42" fillId="0" borderId="0" xfId="0" applyFont="1" applyAlignment="1">
      <alignment horizontal="left" vertical="center" wrapText="1"/>
    </xf>
    <xf numFmtId="0" fontId="37" fillId="17" borderId="0" xfId="0" applyFont="1" applyFill="1" applyAlignment="1">
      <alignment horizontal="left" vertical="center" wrapText="1"/>
    </xf>
    <xf numFmtId="0" fontId="37" fillId="17" borderId="0" xfId="0" applyFont="1" applyFill="1" applyAlignment="1">
      <alignment horizontal="right" vertical="center" wrapText="1"/>
    </xf>
    <xf numFmtId="0" fontId="10" fillId="0" borderId="0" xfId="0" applyFont="1" applyAlignment="1">
      <alignment horizontal="left" vertical="center" wrapText="1"/>
    </xf>
    <xf numFmtId="0" fontId="6" fillId="25" borderId="32" xfId="0" applyFont="1" applyFill="1" applyBorder="1" applyAlignment="1">
      <alignment horizontal="left" vertical="top" wrapText="1"/>
    </xf>
    <xf numFmtId="0" fontId="6" fillId="25" borderId="0" xfId="0" applyFont="1" applyFill="1" applyAlignment="1">
      <alignment horizontal="left" vertical="top" wrapText="1"/>
    </xf>
    <xf numFmtId="0" fontId="6" fillId="25" borderId="35" xfId="0" applyFont="1" applyFill="1" applyBorder="1" applyAlignment="1">
      <alignment horizontal="left" vertical="top" wrapText="1"/>
    </xf>
    <xf numFmtId="0" fontId="78" fillId="0" borderId="0" xfId="0" applyFont="1" applyAlignment="1">
      <alignment horizontal="center"/>
    </xf>
    <xf numFmtId="0" fontId="80" fillId="20" borderId="26" xfId="0" applyFont="1" applyFill="1" applyBorder="1" applyAlignment="1">
      <alignment horizontal="center" vertical="center"/>
    </xf>
    <xf numFmtId="0" fontId="0" fillId="0" borderId="24" xfId="0" applyBorder="1"/>
    <xf numFmtId="0" fontId="81" fillId="21" borderId="31" xfId="0" applyFont="1" applyFill="1" applyBorder="1" applyAlignment="1">
      <alignment horizontal="center" vertical="center"/>
    </xf>
    <xf numFmtId="0" fontId="0" fillId="0" borderId="29" xfId="0" applyBorder="1"/>
    <xf numFmtId="0" fontId="0" fillId="0" borderId="34" xfId="0" applyBorder="1"/>
    <xf numFmtId="0" fontId="83" fillId="23" borderId="44" xfId="0" applyFont="1" applyFill="1" applyBorder="1" applyAlignment="1">
      <alignment horizontal="center" vertical="center"/>
    </xf>
    <xf numFmtId="0" fontId="0" fillId="0" borderId="42" xfId="0" applyBorder="1"/>
    <xf numFmtId="0" fontId="0" fillId="0" borderId="47" xfId="0" applyBorder="1"/>
    <xf numFmtId="0" fontId="82" fillId="22" borderId="39" xfId="0" applyFont="1" applyFill="1" applyBorder="1" applyAlignment="1">
      <alignment horizontal="center" vertical="center"/>
    </xf>
    <xf numFmtId="0" fontId="0" fillId="0" borderId="37" xfId="0" applyBorder="1"/>
    <xf numFmtId="0" fontId="79" fillId="17" borderId="0" xfId="0" applyFont="1" applyFill="1" applyAlignment="1">
      <alignment horizontal="center" vertical="center"/>
    </xf>
    <xf numFmtId="0" fontId="0" fillId="0" borderId="0" xfId="0"/>
    <xf numFmtId="0" fontId="6" fillId="24" borderId="28" xfId="0" applyFont="1" applyFill="1" applyBorder="1" applyAlignment="1">
      <alignment horizontal="left" vertical="top" wrapText="1"/>
    </xf>
    <xf numFmtId="0" fontId="6" fillId="24" borderId="25" xfId="0" applyFont="1" applyFill="1" applyBorder="1" applyAlignment="1">
      <alignment horizontal="left" vertical="top" wrapText="1"/>
    </xf>
    <xf numFmtId="0" fontId="6" fillId="24" borderId="51" xfId="0" applyFont="1" applyFill="1" applyBorder="1" applyAlignment="1">
      <alignment horizontal="left" vertical="top" wrapText="1"/>
    </xf>
    <xf numFmtId="0" fontId="6" fillId="25" borderId="33" xfId="0" applyFont="1" applyFill="1" applyBorder="1" applyAlignment="1">
      <alignment horizontal="left" vertical="top" wrapText="1"/>
    </xf>
    <xf numFmtId="0" fontId="6" fillId="25" borderId="30" xfId="0" applyFont="1" applyFill="1" applyBorder="1" applyAlignment="1">
      <alignment horizontal="left" vertical="top" wrapText="1"/>
    </xf>
    <xf numFmtId="0" fontId="6" fillId="25" borderId="36" xfId="0" applyFont="1" applyFill="1" applyBorder="1" applyAlignment="1">
      <alignment horizontal="left" vertical="top" wrapText="1"/>
    </xf>
    <xf numFmtId="0" fontId="6" fillId="24" borderId="27" xfId="0" applyFont="1" applyFill="1" applyBorder="1" applyAlignment="1">
      <alignment horizontal="left" vertical="top" wrapText="1"/>
    </xf>
    <xf numFmtId="0" fontId="6" fillId="24" borderId="0" xfId="0" applyFont="1" applyFill="1" applyAlignment="1">
      <alignment horizontal="left" vertical="top" wrapText="1"/>
    </xf>
    <xf numFmtId="0" fontId="6" fillId="26" borderId="40" xfId="0" applyFont="1" applyFill="1" applyBorder="1" applyAlignment="1">
      <alignment horizontal="left" vertical="top" wrapText="1"/>
    </xf>
    <xf numFmtId="0" fontId="6" fillId="26" borderId="0" xfId="0" applyFont="1" applyFill="1" applyAlignment="1">
      <alignment horizontal="left" vertical="top" wrapText="1"/>
    </xf>
    <xf numFmtId="0" fontId="6" fillId="26" borderId="48" xfId="0" applyFont="1" applyFill="1" applyBorder="1" applyAlignment="1">
      <alignment horizontal="left" vertical="top" wrapText="1"/>
    </xf>
    <xf numFmtId="0" fontId="6" fillId="26" borderId="41" xfId="0" applyFont="1" applyFill="1" applyBorder="1" applyAlignment="1">
      <alignment horizontal="left" vertical="top" wrapText="1"/>
    </xf>
    <xf numFmtId="0" fontId="6" fillId="26" borderId="38" xfId="0" applyFont="1" applyFill="1" applyBorder="1" applyAlignment="1">
      <alignment horizontal="left" vertical="top" wrapText="1"/>
    </xf>
    <xf numFmtId="0" fontId="6" fillId="26" borderId="50" xfId="0" applyFont="1" applyFill="1" applyBorder="1" applyAlignment="1">
      <alignment horizontal="left" vertical="top" wrapText="1"/>
    </xf>
    <xf numFmtId="0" fontId="6" fillId="27" borderId="45" xfId="0" applyFont="1" applyFill="1" applyBorder="1" applyAlignment="1">
      <alignment horizontal="left" vertical="top" wrapText="1"/>
    </xf>
    <xf numFmtId="0" fontId="6" fillId="27" borderId="0" xfId="0" applyFont="1" applyFill="1" applyAlignment="1">
      <alignment horizontal="left" vertical="top" wrapText="1"/>
    </xf>
    <xf numFmtId="0" fontId="6" fillId="27" borderId="48" xfId="0" applyFont="1" applyFill="1" applyBorder="1" applyAlignment="1">
      <alignment horizontal="left" vertical="top" wrapText="1"/>
    </xf>
    <xf numFmtId="0" fontId="6" fillId="27" borderId="46" xfId="0" applyFont="1" applyFill="1" applyBorder="1" applyAlignment="1">
      <alignment horizontal="left" vertical="top" wrapText="1"/>
    </xf>
    <xf numFmtId="0" fontId="6" fillId="27" borderId="43" xfId="0" applyFont="1" applyFill="1" applyBorder="1" applyAlignment="1">
      <alignment horizontal="left" vertical="top" wrapText="1"/>
    </xf>
    <xf numFmtId="0" fontId="6" fillId="27" borderId="49" xfId="0" applyFont="1" applyFill="1" applyBorder="1" applyAlignment="1">
      <alignment horizontal="left" vertical="top" wrapText="1"/>
    </xf>
    <xf numFmtId="0" fontId="6" fillId="17" borderId="0" xfId="0" applyFont="1" applyFill="1" applyAlignment="1">
      <alignment horizontal="left" vertical="center" wrapText="1"/>
    </xf>
    <xf numFmtId="0" fontId="0" fillId="0" borderId="0" xfId="0" applyAlignment="1">
      <alignment vertical="center" wrapText="1"/>
    </xf>
    <xf numFmtId="168" fontId="10" fillId="0" borderId="0" xfId="0" applyNumberFormat="1" applyFont="1" applyAlignment="1">
      <alignment horizontal="left" vertical="center" wrapText="1"/>
    </xf>
    <xf numFmtId="0" fontId="10" fillId="0" borderId="0" xfId="0" applyFont="1" applyAlignment="1">
      <alignment vertical="center" wrapText="1"/>
    </xf>
    <xf numFmtId="168" fontId="10" fillId="0" borderId="0" xfId="0" applyNumberFormat="1" applyFont="1" applyAlignment="1">
      <alignment vertical="center" wrapText="1"/>
    </xf>
    <xf numFmtId="0" fontId="6" fillId="17" borderId="0" xfId="0" applyFont="1" applyFill="1" applyAlignment="1">
      <alignment horizontal="left" vertical="top" wrapText="1"/>
    </xf>
    <xf numFmtId="0" fontId="6" fillId="8" borderId="20" xfId="0" applyFont="1" applyFill="1" applyBorder="1" applyAlignment="1">
      <alignment horizontal="left" vertical="center" wrapText="1"/>
    </xf>
    <xf numFmtId="0" fontId="6" fillId="8" borderId="0" xfId="0" applyFont="1" applyFill="1" applyAlignment="1">
      <alignment horizontal="left" vertical="center" wrapText="1"/>
    </xf>
    <xf numFmtId="0" fontId="9" fillId="13" borderId="0" xfId="0" applyFont="1" applyFill="1" applyAlignment="1">
      <alignment horizontal="left" vertical="center" wrapText="1"/>
    </xf>
    <xf numFmtId="0" fontId="72" fillId="13" borderId="0" xfId="0" applyFont="1" applyFill="1" applyAlignment="1">
      <alignment horizontal="left" vertical="center" wrapText="1"/>
    </xf>
    <xf numFmtId="175" fontId="58" fillId="5" borderId="18" xfId="0" applyNumberFormat="1" applyFont="1" applyFill="1" applyBorder="1"/>
    <xf numFmtId="175" fontId="58" fillId="5" borderId="13" xfId="0" applyNumberFormat="1" applyFont="1" applyFill="1" applyBorder="1"/>
    <xf numFmtId="175" fontId="58" fillId="9" borderId="0" xfId="0" applyNumberFormat="1" applyFont="1" applyFill="1" applyAlignment="1">
      <alignment horizontal="right"/>
    </xf>
    <xf numFmtId="0" fontId="9" fillId="0" borderId="0" xfId="0" applyFont="1" applyBorder="1"/>
    <xf numFmtId="0" fontId="9" fillId="0" borderId="0" xfId="0" applyFont="1" applyBorder="1" applyAlignment="1">
      <alignment horizontal="center"/>
    </xf>
    <xf numFmtId="0" fontId="10" fillId="0" borderId="0" xfId="0" applyFont="1" applyBorder="1" applyAlignment="1">
      <alignment horizontal="center"/>
    </xf>
    <xf numFmtId="168" fontId="57" fillId="0" borderId="0" xfId="0" applyNumberFormat="1" applyFont="1" applyBorder="1" applyAlignment="1">
      <alignment horizontal="right"/>
    </xf>
    <xf numFmtId="168" fontId="31" fillId="2" borderId="0" xfId="0" applyNumberFormat="1" applyFont="1" applyFill="1" applyBorder="1" applyAlignment="1">
      <alignment horizontal="right"/>
    </xf>
    <xf numFmtId="168" fontId="31" fillId="0" borderId="0" xfId="0" applyNumberFormat="1" applyFont="1" applyFill="1" applyBorder="1" applyAlignment="1">
      <alignment horizontal="right"/>
    </xf>
    <xf numFmtId="0" fontId="18" fillId="0" borderId="3" xfId="0" applyFont="1" applyFill="1" applyBorder="1" applyAlignment="1">
      <alignment vertical="center"/>
    </xf>
    <xf numFmtId="0" fontId="18" fillId="0" borderId="2" xfId="0" applyFont="1" applyFill="1" applyBorder="1" applyAlignment="1">
      <alignment vertical="center"/>
    </xf>
    <xf numFmtId="0" fontId="0" fillId="0" borderId="0" xfId="0" applyAlignment="1"/>
    <xf numFmtId="1" fontId="57" fillId="0" borderId="2" xfId="0" applyNumberFormat="1" applyFont="1" applyBorder="1" applyAlignment="1">
      <alignment horizontal="right"/>
    </xf>
    <xf numFmtId="0" fontId="43" fillId="0" borderId="0" xfId="0" applyFont="1" applyFill="1"/>
    <xf numFmtId="164" fontId="13" fillId="0" borderId="0" xfId="0" applyNumberFormat="1" applyFont="1"/>
    <xf numFmtId="165" fontId="11" fillId="0" borderId="19" xfId="0" applyNumberFormat="1" applyFont="1" applyBorder="1" applyAlignment="1">
      <alignment horizontal="right"/>
    </xf>
    <xf numFmtId="164" fontId="11" fillId="0" borderId="19" xfId="0" applyNumberFormat="1" applyFont="1" applyBorder="1"/>
    <xf numFmtId="164" fontId="7" fillId="0" borderId="19" xfId="0" applyNumberFormat="1" applyFont="1" applyBorder="1"/>
    <xf numFmtId="165" fontId="11" fillId="0" borderId="2" xfId="0" applyNumberFormat="1" applyFont="1" applyBorder="1" applyAlignment="1">
      <alignment horizontal="right"/>
    </xf>
    <xf numFmtId="166" fontId="8" fillId="0" borderId="0" xfId="1" applyNumberFormat="1" applyFont="1"/>
    <xf numFmtId="166" fontId="10" fillId="0" borderId="0" xfId="1" applyNumberFormat="1" applyFont="1"/>
    <xf numFmtId="0" fontId="15" fillId="0" borderId="0" xfId="0" applyFont="1" applyAlignment="1">
      <alignment wrapText="1"/>
    </xf>
    <xf numFmtId="0" fontId="17" fillId="0" borderId="0" xfId="0" applyFont="1" applyAlignment="1">
      <alignment wrapText="1"/>
    </xf>
    <xf numFmtId="0" fontId="17" fillId="0" borderId="0" xfId="0" applyFont="1" applyAlignment="1">
      <alignment horizontal="center" wrapText="1"/>
    </xf>
    <xf numFmtId="0" fontId="98" fillId="0" borderId="0" xfId="0" applyFont="1" applyAlignment="1">
      <alignment horizontal="left" vertical="center" wrapText="1"/>
    </xf>
    <xf numFmtId="0" fontId="13" fillId="0" borderId="0" xfId="0" applyFont="1" applyAlignment="1">
      <alignment horizontal="left" vertical="center" wrapText="1"/>
    </xf>
    <xf numFmtId="0" fontId="89" fillId="0" borderId="0" xfId="0" applyFont="1" applyAlignment="1">
      <alignment horizontal="left" vertical="center" wrapText="1"/>
    </xf>
    <xf numFmtId="168" fontId="13" fillId="0" borderId="0" xfId="0" applyNumberFormat="1" applyFont="1" applyAlignment="1">
      <alignment horizontal="left" vertical="center" wrapText="1"/>
    </xf>
    <xf numFmtId="168" fontId="13" fillId="0" borderId="0" xfId="0" applyNumberFormat="1" applyFont="1" applyAlignment="1">
      <alignment horizontal="left" vertical="center" wrapText="1"/>
    </xf>
    <xf numFmtId="164" fontId="9" fillId="0" borderId="2" xfId="0" applyNumberFormat="1" applyFont="1" applyBorder="1"/>
    <xf numFmtId="169" fontId="9" fillId="0" borderId="0" xfId="0" applyNumberFormat="1" applyFont="1"/>
    <xf numFmtId="169" fontId="9" fillId="2" borderId="1" xfId="0" applyNumberFormat="1" applyFont="1" applyFill="1" applyBorder="1"/>
    <xf numFmtId="169" fontId="11" fillId="0" borderId="4" xfId="0" applyNumberFormat="1" applyFont="1" applyBorder="1"/>
    <xf numFmtId="182" fontId="9" fillId="0" borderId="0" xfId="0" applyNumberFormat="1" applyFont="1"/>
    <xf numFmtId="182" fontId="9" fillId="2" borderId="1" xfId="0" applyNumberFormat="1" applyFont="1" applyFill="1" applyBorder="1"/>
    <xf numFmtId="182" fontId="11" fillId="0" borderId="4" xfId="0" applyNumberFormat="1" applyFont="1" applyBorder="1"/>
    <xf numFmtId="168" fontId="9" fillId="2" borderId="1" xfId="0" applyNumberFormat="1" applyFont="1" applyFill="1" applyBorder="1"/>
    <xf numFmtId="0" fontId="17" fillId="0" borderId="0" xfId="0" applyFont="1" applyBorder="1"/>
    <xf numFmtId="164" fontId="19" fillId="0" borderId="3" xfId="0" applyNumberFormat="1" applyFont="1" applyBorder="1"/>
    <xf numFmtId="164" fontId="3" fillId="0" borderId="3" xfId="0" applyNumberFormat="1" applyFont="1" applyBorder="1"/>
    <xf numFmtId="164" fontId="19" fillId="0" borderId="2" xfId="0" applyNumberFormat="1" applyFont="1" applyBorder="1"/>
    <xf numFmtId="164" fontId="3" fillId="0" borderId="2" xfId="0" applyNumberFormat="1" applyFont="1" applyBorder="1"/>
    <xf numFmtId="0" fontId="32" fillId="30" borderId="0" xfId="0" applyFont="1" applyFill="1" applyAlignment="1">
      <alignment horizontal="right"/>
    </xf>
    <xf numFmtId="0" fontId="37" fillId="30" borderId="0" xfId="0" applyFont="1" applyFill="1"/>
    <xf numFmtId="0" fontId="37" fillId="30" borderId="0" xfId="0" applyFont="1" applyFill="1" applyAlignment="1">
      <alignment horizontal="right"/>
    </xf>
    <xf numFmtId="0" fontId="9" fillId="6" borderId="0" xfId="0" applyFont="1" applyFill="1"/>
    <xf numFmtId="167" fontId="9" fillId="0" borderId="0" xfId="0" applyNumberFormat="1" applyFont="1"/>
    <xf numFmtId="0" fontId="40" fillId="0" borderId="4" xfId="0" applyFont="1" applyBorder="1"/>
    <xf numFmtId="167" fontId="9" fillId="0" borderId="2" xfId="0" applyNumberFormat="1" applyFont="1" applyBorder="1"/>
    <xf numFmtId="167" fontId="17" fillId="0" borderId="2" xfId="0" applyNumberFormat="1" applyFont="1" applyBorder="1"/>
    <xf numFmtId="0" fontId="40" fillId="0" borderId="2" xfId="0" applyFont="1" applyBorder="1"/>
    <xf numFmtId="167" fontId="9" fillId="2" borderId="1" xfId="0" applyNumberFormat="1" applyFont="1" applyFill="1" applyBorder="1"/>
    <xf numFmtId="167" fontId="17" fillId="2" borderId="1" xfId="0" applyNumberFormat="1" applyFont="1" applyFill="1" applyBorder="1"/>
    <xf numFmtId="0" fontId="9" fillId="0" borderId="58" xfId="0" applyFont="1" applyBorder="1"/>
    <xf numFmtId="168" fontId="9" fillId="0" borderId="58" xfId="0" applyNumberFormat="1" applyFont="1" applyBorder="1"/>
    <xf numFmtId="167" fontId="9" fillId="0" borderId="58" xfId="0" applyNumberFormat="1" applyFont="1" applyBorder="1"/>
    <xf numFmtId="167" fontId="17" fillId="0" borderId="58" xfId="0" applyNumberFormat="1" applyFont="1" applyBorder="1"/>
    <xf numFmtId="0" fontId="9" fillId="0" borderId="59" xfId="0" applyFont="1" applyBorder="1"/>
    <xf numFmtId="0" fontId="37" fillId="2" borderId="52" xfId="0" applyFont="1" applyFill="1" applyBorder="1"/>
    <xf numFmtId="0" fontId="9" fillId="2" borderId="52" xfId="0" applyFont="1" applyFill="1" applyBorder="1"/>
    <xf numFmtId="0" fontId="17" fillId="2" borderId="52" xfId="0" applyFont="1" applyFill="1" applyBorder="1"/>
    <xf numFmtId="168" fontId="6" fillId="6" borderId="0" xfId="0" applyNumberFormat="1" applyFont="1" applyFill="1" applyAlignment="1">
      <alignment horizontal="right"/>
    </xf>
    <xf numFmtId="167" fontId="6" fillId="6" borderId="0" xfId="0" applyNumberFormat="1" applyFont="1" applyFill="1" applyAlignment="1">
      <alignment horizontal="right"/>
    </xf>
    <xf numFmtId="167" fontId="18" fillId="6" borderId="0" xfId="0" applyNumberFormat="1" applyFont="1" applyFill="1" applyAlignment="1">
      <alignment horizontal="right"/>
    </xf>
    <xf numFmtId="182" fontId="6" fillId="0" borderId="4" xfId="0" applyNumberFormat="1" applyFont="1" applyBorder="1"/>
    <xf numFmtId="167" fontId="6" fillId="0" borderId="4" xfId="0" applyNumberFormat="1" applyFont="1" applyBorder="1"/>
    <xf numFmtId="167" fontId="18" fillId="0" borderId="4" xfId="0" applyNumberFormat="1" applyFont="1" applyBorder="1"/>
    <xf numFmtId="182" fontId="6" fillId="0" borderId="2" xfId="0" applyNumberFormat="1" applyFont="1" applyBorder="1"/>
    <xf numFmtId="167" fontId="6" fillId="0" borderId="2" xfId="0" applyNumberFormat="1" applyFont="1" applyBorder="1"/>
    <xf numFmtId="167" fontId="18" fillId="0" borderId="2" xfId="0" applyNumberFormat="1" applyFont="1" applyBorder="1"/>
    <xf numFmtId="0" fontId="11" fillId="0" borderId="0" xfId="0" applyFont="1"/>
    <xf numFmtId="168" fontId="6" fillId="0" borderId="59" xfId="0" applyNumberFormat="1" applyFont="1" applyBorder="1"/>
    <xf numFmtId="167" fontId="6" fillId="0" borderId="59" xfId="0" applyNumberFormat="1" applyFont="1" applyBorder="1"/>
    <xf numFmtId="167" fontId="18" fillId="0" borderId="59" xfId="0" applyNumberFormat="1" applyFont="1" applyBorder="1"/>
    <xf numFmtId="0" fontId="6" fillId="0" borderId="0" xfId="0" applyFont="1" applyBorder="1"/>
    <xf numFmtId="191" fontId="6" fillId="0" borderId="2" xfId="0" applyNumberFormat="1" applyFont="1" applyBorder="1"/>
    <xf numFmtId="0" fontId="6" fillId="0" borderId="59" xfId="0" applyFont="1" applyBorder="1"/>
    <xf numFmtId="169" fontId="6" fillId="6" borderId="2" xfId="0" applyNumberFormat="1" applyFont="1" applyFill="1" applyBorder="1"/>
    <xf numFmtId="191" fontId="6" fillId="6" borderId="2" xfId="0" applyNumberFormat="1" applyFont="1" applyFill="1" applyBorder="1"/>
    <xf numFmtId="169" fontId="6" fillId="0" borderId="59" xfId="0" applyNumberFormat="1" applyFont="1" applyBorder="1"/>
    <xf numFmtId="167" fontId="9" fillId="0" borderId="5" xfId="0" applyNumberFormat="1" applyFont="1" applyBorder="1"/>
    <xf numFmtId="182" fontId="9" fillId="0" borderId="5" xfId="0" applyNumberFormat="1" applyFont="1" applyBorder="1"/>
    <xf numFmtId="169" fontId="9" fillId="0" borderId="5" xfId="0" applyNumberFormat="1" applyFont="1" applyBorder="1"/>
    <xf numFmtId="191" fontId="9" fillId="0" borderId="5" xfId="0" applyNumberFormat="1" applyFont="1" applyBorder="1"/>
    <xf numFmtId="0" fontId="37" fillId="0" borderId="53" xfId="0" applyFont="1" applyBorder="1"/>
    <xf numFmtId="0" fontId="37" fillId="0" borderId="53" xfId="0" applyFont="1" applyBorder="1" applyAlignment="1">
      <alignment horizontal="right"/>
    </xf>
    <xf numFmtId="182" fontId="6" fillId="0" borderId="56" xfId="0" applyNumberFormat="1" applyFont="1" applyBorder="1"/>
    <xf numFmtId="165" fontId="7" fillId="0" borderId="56" xfId="0" applyNumberFormat="1" applyFont="1" applyBorder="1"/>
    <xf numFmtId="169" fontId="6" fillId="6" borderId="56" xfId="0" applyNumberFormat="1" applyFont="1" applyFill="1" applyBorder="1"/>
    <xf numFmtId="191" fontId="6" fillId="6" borderId="56" xfId="0" applyNumberFormat="1" applyFont="1" applyFill="1" applyBorder="1"/>
    <xf numFmtId="0" fontId="7" fillId="0" borderId="0" xfId="0" applyFont="1"/>
    <xf numFmtId="171" fontId="11" fillId="0" borderId="2" xfId="0" applyNumberFormat="1" applyFont="1" applyBorder="1"/>
    <xf numFmtId="171" fontId="6" fillId="0" borderId="2" xfId="0" applyNumberFormat="1" applyFont="1" applyBorder="1"/>
    <xf numFmtId="171" fontId="9" fillId="0" borderId="2" xfId="0" applyNumberFormat="1" applyFont="1" applyBorder="1"/>
    <xf numFmtId="171" fontId="7" fillId="6" borderId="0" xfId="0" applyNumberFormat="1" applyFont="1" applyFill="1" applyAlignment="1">
      <alignment horizontal="right"/>
    </xf>
    <xf numFmtId="171" fontId="6" fillId="6" borderId="0" xfId="0" applyNumberFormat="1" applyFont="1" applyFill="1" applyAlignment="1">
      <alignment horizontal="right"/>
    </xf>
    <xf numFmtId="168" fontId="6" fillId="0" borderId="0" xfId="0" applyNumberFormat="1" applyFont="1"/>
    <xf numFmtId="168" fontId="6" fillId="2" borderId="1" xfId="0" applyNumberFormat="1" applyFont="1" applyFill="1" applyBorder="1"/>
    <xf numFmtId="2" fontId="6" fillId="0" borderId="2" xfId="0" applyNumberFormat="1" applyFont="1" applyBorder="1"/>
    <xf numFmtId="178" fontId="6" fillId="13" borderId="0" xfId="0" applyNumberFormat="1" applyFont="1" applyFill="1" applyAlignment="1">
      <alignment horizontal="left" vertical="center"/>
    </xf>
    <xf numFmtId="0" fontId="9" fillId="0" borderId="0" xfId="0" applyFont="1" applyBorder="1" applyAlignment="1">
      <alignment horizontal="left" indent="1"/>
    </xf>
    <xf numFmtId="168" fontId="9" fillId="0" borderId="0" xfId="0" applyNumberFormat="1" applyFont="1" applyAlignment="1">
      <alignment horizontal="left" vertical="center" wrapText="1"/>
    </xf>
    <xf numFmtId="2" fontId="41" fillId="0" borderId="2" xfId="0" applyNumberFormat="1" applyFont="1" applyBorder="1"/>
    <xf numFmtId="168" fontId="73" fillId="0" borderId="5" xfId="0" applyNumberFormat="1" applyFont="1" applyBorder="1"/>
    <xf numFmtId="0" fontId="37" fillId="14" borderId="1" xfId="0" applyFont="1" applyFill="1" applyBorder="1" applyAlignment="1">
      <alignment horizontal="right"/>
    </xf>
    <xf numFmtId="0" fontId="37" fillId="8" borderId="1" xfId="0" applyFont="1" applyFill="1" applyBorder="1" applyAlignment="1">
      <alignment horizontal="right"/>
    </xf>
    <xf numFmtId="0" fontId="37" fillId="15" borderId="1" xfId="0" applyFont="1" applyFill="1" applyBorder="1" applyAlignment="1">
      <alignment horizontal="right"/>
    </xf>
    <xf numFmtId="0" fontId="37" fillId="12" borderId="1" xfId="0" applyFont="1" applyFill="1" applyBorder="1" applyAlignment="1">
      <alignment horizontal="right"/>
    </xf>
    <xf numFmtId="0" fontId="37" fillId="8" borderId="0" xfId="0" applyFont="1" applyFill="1" applyAlignment="1">
      <alignment horizontal="left"/>
    </xf>
    <xf numFmtId="0" fontId="9" fillId="0" borderId="3" xfId="0" applyFont="1" applyBorder="1" applyAlignment="1">
      <alignment horizontal="left"/>
    </xf>
    <xf numFmtId="0" fontId="9" fillId="0" borderId="0" xfId="0" applyFont="1" applyAlignment="1">
      <alignment horizontal="left"/>
    </xf>
    <xf numFmtId="0" fontId="37" fillId="8" borderId="1" xfId="0" applyFont="1" applyFill="1" applyBorder="1" applyAlignment="1">
      <alignment horizontal="left"/>
    </xf>
    <xf numFmtId="0" fontId="10" fillId="0" borderId="0" xfId="0" applyFont="1" applyBorder="1" applyAlignment="1">
      <alignment horizontal="left"/>
    </xf>
    <xf numFmtId="0" fontId="99" fillId="17" borderId="0" xfId="0" applyFont="1" applyFill="1" applyAlignment="1">
      <alignment horizontal="left" vertical="center" wrapText="1"/>
    </xf>
    <xf numFmtId="0" fontId="48" fillId="9" borderId="0" xfId="0" applyFont="1" applyFill="1" applyAlignment="1">
      <alignment horizontal="left" vertical="center"/>
    </xf>
    <xf numFmtId="0" fontId="9" fillId="0" borderId="0" xfId="0" applyFont="1" applyAlignment="1">
      <alignment vertical="center"/>
    </xf>
    <xf numFmtId="1" fontId="7" fillId="0" borderId="2" xfId="0" applyNumberFormat="1" applyFont="1" applyBorder="1"/>
    <xf numFmtId="1" fontId="7" fillId="0" borderId="2" xfId="0" applyNumberFormat="1" applyFont="1" applyBorder="1" applyAlignment="1">
      <alignment horizontal="right"/>
    </xf>
    <xf numFmtId="0" fontId="16" fillId="0" borderId="0" xfId="0" applyFont="1" applyFill="1" applyBorder="1"/>
    <xf numFmtId="0" fontId="16" fillId="0" borderId="0" xfId="0" applyFont="1" applyFill="1" applyBorder="1" applyAlignment="1">
      <alignment horizontal="center"/>
    </xf>
    <xf numFmtId="175" fontId="97" fillId="0" borderId="0" xfId="1" applyNumberFormat="1" applyFont="1" applyFill="1" applyBorder="1" applyAlignment="1">
      <alignment horizontal="right"/>
    </xf>
    <xf numFmtId="0" fontId="15" fillId="0" borderId="0" xfId="0" applyFont="1" applyFill="1" applyBorder="1"/>
    <xf numFmtId="0" fontId="15" fillId="0" borderId="0" xfId="0" applyFont="1" applyFill="1" applyBorder="1" applyAlignment="1">
      <alignment horizontal="center"/>
    </xf>
    <xf numFmtId="175" fontId="21" fillId="0" borderId="0" xfId="1" applyNumberFormat="1" applyFont="1" applyFill="1" applyBorder="1" applyAlignment="1">
      <alignment horizontal="right"/>
    </xf>
    <xf numFmtId="0" fontId="10" fillId="0" borderId="2" xfId="0" applyFont="1" applyFill="1" applyBorder="1" applyAlignment="1">
      <alignment horizontal="center"/>
    </xf>
    <xf numFmtId="168" fontId="10" fillId="0" borderId="2" xfId="2" applyNumberFormat="1" applyFont="1" applyFill="1" applyBorder="1" applyAlignment="1">
      <alignment horizontal="right"/>
    </xf>
    <xf numFmtId="0" fontId="17" fillId="0" borderId="0" xfId="0" applyFont="1" applyFill="1"/>
    <xf numFmtId="168" fontId="13" fillId="0" borderId="0" xfId="0" applyNumberFormat="1" applyFont="1" applyFill="1" applyAlignment="1">
      <alignment horizontal="left" vertical="center" wrapText="1"/>
    </xf>
    <xf numFmtId="0" fontId="10" fillId="0" borderId="0" xfId="0" applyFont="1" applyFill="1" applyBorder="1"/>
    <xf numFmtId="0" fontId="10" fillId="0" borderId="0" xfId="0" applyFont="1" applyFill="1" applyBorder="1" applyAlignment="1">
      <alignment horizontal="center"/>
    </xf>
    <xf numFmtId="175" fontId="10" fillId="0" borderId="0" xfId="1" applyNumberFormat="1" applyFont="1" applyFill="1" applyBorder="1" applyAlignment="1">
      <alignment horizontal="right"/>
    </xf>
    <xf numFmtId="168" fontId="10" fillId="0" borderId="0" xfId="2" applyNumberFormat="1" applyFont="1" applyFill="1" applyBorder="1" applyAlignment="1">
      <alignment horizontal="right"/>
    </xf>
    <xf numFmtId="168" fontId="19" fillId="0" borderId="5" xfId="0" applyNumberFormat="1" applyFont="1" applyBorder="1"/>
    <xf numFmtId="165" fontId="7" fillId="0" borderId="2" xfId="0" applyNumberFormat="1" applyFont="1" applyBorder="1" applyAlignment="1">
      <alignment horizontal="right"/>
    </xf>
    <xf numFmtId="1" fontId="19" fillId="0" borderId="2" xfId="0" applyNumberFormat="1" applyFont="1" applyBorder="1" applyAlignment="1">
      <alignment horizontal="left" indent="8"/>
    </xf>
    <xf numFmtId="1" fontId="20" fillId="0" borderId="2" xfId="0" applyNumberFormat="1" applyFont="1" applyBorder="1" applyAlignment="1">
      <alignment horizontal="left" indent="8"/>
    </xf>
    <xf numFmtId="164" fontId="17" fillId="0" borderId="2" xfId="0" applyNumberFormat="1" applyFont="1" applyBorder="1"/>
    <xf numFmtId="0" fontId="99" fillId="17" borderId="0" xfId="0" applyFont="1" applyFill="1" applyAlignment="1">
      <alignment horizontal="left" vertical="center" wrapText="1"/>
    </xf>
    <xf numFmtId="3" fontId="7" fillId="0" borderId="0" xfId="0" applyNumberFormat="1" applyFont="1" applyBorder="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t>Football Field — Implied Price by Method ($/sh)</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lotArea>
      <c:layout/>
      <c:barChart>
        <c:barDir val="bar"/>
        <c:grouping val="stacked"/>
        <c:varyColors val="0"/>
        <c:ser>
          <c:idx val="0"/>
          <c:order val="0"/>
          <c:tx>
            <c:strRef>
              <c:f>'FootballField Data'!$B$5</c:f>
              <c:strCache>
                <c:ptCount val="1"/>
                <c:pt idx="0">
                  <c:v>Low</c:v>
                </c:pt>
              </c:strCache>
            </c:strRef>
          </c:tx>
          <c:spPr>
            <a:solidFill>
              <a:srgbClr val="FFFFFF"/>
            </a:solidFill>
            <a:ln>
              <a:solidFill>
                <a:srgbClr val="FFFFFF"/>
              </a:solidFill>
              <a:prstDash val="solid"/>
            </a:ln>
            <a:effectLst/>
          </c:spPr>
          <c:invertIfNegative val="0"/>
          <c:cat>
            <c:strRef>
              <c:f>'FootballField Data'!$A$6:$A$10</c:f>
              <c:strCache>
                <c:ptCount val="5"/>
                <c:pt idx="0">
                  <c:v>DCF — Perpetuity Growth</c:v>
                </c:pt>
                <c:pt idx="1">
                  <c:v>DCF — Exit Multiple</c:v>
                </c:pt>
                <c:pt idx="2">
                  <c:v>Comps — EV/EBITDA</c:v>
                </c:pt>
                <c:pt idx="3">
                  <c:v>Comps — P/E</c:v>
                </c:pt>
                <c:pt idx="4">
                  <c:v>52-Week Trading Range</c:v>
                </c:pt>
              </c:strCache>
            </c:strRef>
          </c:cat>
          <c:val>
            <c:numRef>
              <c:f>'FootballField Data'!$B$6:$B$10</c:f>
              <c:numCache>
                <c:formatCode>"$"#,##0</c:formatCode>
                <c:ptCount val="5"/>
                <c:pt idx="0">
                  <c:v>23.995326098159072</c:v>
                </c:pt>
                <c:pt idx="1">
                  <c:v>35.617126525983792</c:v>
                </c:pt>
                <c:pt idx="2">
                  <c:v>70.715995624935047</c:v>
                </c:pt>
                <c:pt idx="3">
                  <c:v>78.20529349597669</c:v>
                </c:pt>
                <c:pt idx="4">
                  <c:v>78.87</c:v>
                </c:pt>
              </c:numCache>
            </c:numRef>
          </c:val>
          <c:extLst>
            <c:ext xmlns:c16="http://schemas.microsoft.com/office/drawing/2014/chart" uri="{C3380CC4-5D6E-409C-BE32-E72D297353CC}">
              <c16:uniqueId val="{00000000-F3E3-3942-A337-50894DB32172}"/>
            </c:ext>
          </c:extLst>
        </c:ser>
        <c:ser>
          <c:idx val="1"/>
          <c:order val="1"/>
          <c:tx>
            <c:strRef>
              <c:f>'FootballField Data'!$C$5</c:f>
              <c:strCache>
                <c:ptCount val="1"/>
                <c:pt idx="0">
                  <c:v>Width</c:v>
                </c:pt>
              </c:strCache>
            </c:strRef>
          </c:tx>
          <c:spPr>
            <a:solidFill>
              <a:schemeClr val="accent1">
                <a:lumMod val="20000"/>
                <a:lumOff val="80000"/>
              </a:schemeClr>
            </a:solidFill>
            <a:ln>
              <a:solidFill>
                <a:srgbClr val="2F5496"/>
              </a:solidFill>
              <a:prstDash val="solid"/>
            </a:ln>
            <a:effectLst/>
          </c:spPr>
          <c:invertIfNegative val="0"/>
          <c:dLbls>
            <c:dLbl>
              <c:idx val="0"/>
              <c:tx>
                <c:rich>
                  <a:bodyPr/>
                  <a:lstStyle/>
                  <a:p>
                    <a:r>
                      <a:rPr lang="en-US"/>
                      <a:t>$24 – $103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3E3-3942-A337-50894DB32172}"/>
                </c:ext>
              </c:extLst>
            </c:dLbl>
            <c:dLbl>
              <c:idx val="1"/>
              <c:tx>
                <c:rich>
                  <a:bodyPr/>
                  <a:lstStyle/>
                  <a:p>
                    <a:r>
                      <a:rPr lang="en-US"/>
                      <a:t>$36 – $113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3E3-3942-A337-50894DB32172}"/>
                </c:ext>
              </c:extLst>
            </c:dLbl>
            <c:dLbl>
              <c:idx val="2"/>
              <c:tx>
                <c:rich>
                  <a:bodyPr/>
                  <a:lstStyle/>
                  <a:p>
                    <a:r>
                      <a:rPr lang="en-US"/>
                      <a:t>$71 – $90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3E3-3942-A337-50894DB32172}"/>
                </c:ext>
              </c:extLst>
            </c:dLbl>
            <c:dLbl>
              <c:idx val="3"/>
              <c:tx>
                <c:rich>
                  <a:bodyPr/>
                  <a:lstStyle/>
                  <a:p>
                    <a:r>
                      <a:rPr lang="en-US"/>
                      <a:t>$78 – $85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3E3-3942-A337-50894DB32172}"/>
                </c:ext>
              </c:extLst>
            </c:dLbl>
            <c:dLbl>
              <c:idx val="4"/>
              <c:tx>
                <c:rich>
                  <a:bodyPr/>
                  <a:lstStyle/>
                  <a:p>
                    <a:r>
                      <a:rPr lang="en-US"/>
                      <a:t>$79 – $96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3E3-3942-A337-50894DB32172}"/>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'FootballField Data'!$A$6:$A$10</c:f>
              <c:strCache>
                <c:ptCount val="5"/>
                <c:pt idx="0">
                  <c:v>DCF — Perpetuity Growth</c:v>
                </c:pt>
                <c:pt idx="1">
                  <c:v>DCF — Exit Multiple</c:v>
                </c:pt>
                <c:pt idx="2">
                  <c:v>Comps — EV/EBITDA</c:v>
                </c:pt>
                <c:pt idx="3">
                  <c:v>Comps — P/E</c:v>
                </c:pt>
                <c:pt idx="4">
                  <c:v>52-Week Trading Range</c:v>
                </c:pt>
              </c:strCache>
            </c:strRef>
          </c:cat>
          <c:val>
            <c:numRef>
              <c:f>'FootballField Data'!$C$6:$C$10</c:f>
              <c:numCache>
                <c:formatCode>"$"#,##0</c:formatCode>
                <c:ptCount val="5"/>
                <c:pt idx="0">
                  <c:v>78.881899312962986</c:v>
                </c:pt>
                <c:pt idx="1">
                  <c:v>77.130716526503861</c:v>
                </c:pt>
                <c:pt idx="2">
                  <c:v>19.247304848554151</c:v>
                </c:pt>
                <c:pt idx="3">
                  <c:v>6.7157833656705321</c:v>
                </c:pt>
                <c:pt idx="4">
                  <c:v>16.819999999999993</c:v>
                </c:pt>
              </c:numCache>
            </c:numRef>
          </c:val>
          <c:extLst>
            <c:ext xmlns:c16="http://schemas.microsoft.com/office/drawing/2014/chart" uri="{C3380CC4-5D6E-409C-BE32-E72D297353CC}">
              <c16:uniqueId val="{00000001-F3E3-3942-A337-50894DB32172}"/>
            </c:ext>
          </c:extLst>
        </c:ser>
        <c:dLbls>
          <c:showLegendKey val="0"/>
          <c:showVal val="0"/>
          <c:showCatName val="0"/>
          <c:showSerName val="0"/>
          <c:showPercent val="0"/>
          <c:showBubbleSize val="0"/>
        </c:dLbls>
        <c:gapWidth val="60"/>
        <c:overlap val="100"/>
        <c:axId val="327593343"/>
        <c:axId val="327595135"/>
      </c:barChart>
      <c:scatterChart>
        <c:scatterStyle val="lineMarker"/>
        <c:varyColors val="0"/>
        <c:ser>
          <c:idx val="2"/>
          <c:order val="2"/>
          <c:tx>
            <c:v>Current Price</c:v>
          </c:tx>
          <c:spPr>
            <a:ln w="34925" cap="rnd" cmpd="sng">
              <a:solidFill>
                <a:srgbClr val="C00000"/>
              </a:solidFill>
              <a:prstDash val="dash"/>
              <a:round/>
            </a:ln>
            <a:effectLst/>
          </c:spPr>
          <c:marker>
            <c:symbol val="none"/>
          </c:marker>
          <c:xVal>
            <c:numRef>
              <c:f>'FootballField Data'!$G$7:$G$8</c:f>
              <c:numCache>
                <c:formatCode>"$"#,##0</c:formatCode>
                <c:ptCount val="2"/>
                <c:pt idx="0">
                  <c:v>80.760000000000005</c:v>
                </c:pt>
                <c:pt idx="1">
                  <c:v>80.760000000000005</c:v>
                </c:pt>
              </c:numCache>
            </c:numRef>
          </c:xVal>
          <c:yVal>
            <c:numRef>
              <c:f>'FootballField Data'!$H$7:$H$8</c:f>
              <c:numCache>
                <c:formatCode>General</c:formatCode>
                <c:ptCount val="2"/>
                <c:pt idx="0">
                  <c:v>0.5</c:v>
                </c:pt>
                <c:pt idx="1">
                  <c:v>5.5</c:v>
                </c:pt>
              </c:numCache>
            </c:numRef>
          </c:yVal>
          <c:smooth val="0"/>
          <c:extLst>
            <c:ext xmlns:c16="http://schemas.microsoft.com/office/drawing/2014/chart" uri="{C3380CC4-5D6E-409C-BE32-E72D297353CC}">
              <c16:uniqueId val="{00000009-F3E3-3942-A337-50894DB32172}"/>
            </c:ext>
          </c:extLst>
        </c:ser>
        <c:dLbls>
          <c:showLegendKey val="0"/>
          <c:showVal val="0"/>
          <c:showCatName val="0"/>
          <c:showSerName val="0"/>
          <c:showPercent val="0"/>
          <c:showBubbleSize val="0"/>
        </c:dLbls>
        <c:axId val="98697215"/>
        <c:axId val="327670335"/>
      </c:scatterChart>
      <c:catAx>
        <c:axId val="32759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595135"/>
        <c:crosses val="autoZero"/>
        <c:auto val="1"/>
        <c:lblAlgn val="ctr"/>
        <c:lblOffset val="100"/>
        <c:noMultiLvlLbl val="0"/>
      </c:catAx>
      <c:valAx>
        <c:axId val="327595135"/>
        <c:scaling>
          <c:orientation val="minMax"/>
        </c:scaling>
        <c:delete val="0"/>
        <c:axPos val="b"/>
        <c:majorGridlines>
          <c:spPr>
            <a:ln w="9525" cap="flat" cmpd="sng" algn="ctr">
              <a:noFill/>
              <a:prstDash val="solid"/>
              <a:round/>
            </a:ln>
            <a:effectLst/>
          </c:spPr>
        </c:majorGridlines>
        <c:numFmt formatCode="&quot;$&quot;#,##0" sourceLinked="0"/>
        <c:majorTickMark val="none"/>
        <c:minorTickMark val="none"/>
        <c:tickLblPos val="nextTo"/>
        <c:spPr>
          <a:noFill/>
          <a:ln>
            <a:solidFill>
              <a:srgbClr val="D9D9D9"/>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593343"/>
        <c:crosses val="autoZero"/>
        <c:crossBetween val="between"/>
      </c:valAx>
      <c:valAx>
        <c:axId val="327670335"/>
        <c:scaling>
          <c:orientation val="minMax"/>
        </c:scaling>
        <c:delete val="1"/>
        <c:axPos val="r"/>
        <c:numFmt formatCode="General" sourceLinked="1"/>
        <c:majorTickMark val="out"/>
        <c:minorTickMark val="none"/>
        <c:tickLblPos val="nextTo"/>
        <c:crossAx val="98697215"/>
        <c:crosses val="max"/>
        <c:crossBetween val="midCat"/>
      </c:valAx>
      <c:valAx>
        <c:axId val="98697215"/>
        <c:scaling>
          <c:orientation val="minMax"/>
        </c:scaling>
        <c:delete val="1"/>
        <c:axPos val="b"/>
        <c:numFmt formatCode="&quot;$&quot;#,##0" sourceLinked="1"/>
        <c:majorTickMark val="out"/>
        <c:minorTickMark val="none"/>
        <c:tickLblPos val="nextTo"/>
        <c:crossAx val="327670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787400</xdr:colOff>
      <xdr:row>5</xdr:row>
      <xdr:rowOff>69850</xdr:rowOff>
    </xdr:from>
    <xdr:to>
      <xdr:col>16</xdr:col>
      <xdr:colOff>723900</xdr:colOff>
      <xdr:row>22</xdr:row>
      <xdr:rowOff>165100</xdr:rowOff>
    </xdr:to>
    <xdr:graphicFrame macro="">
      <xdr:nvGraphicFramePr>
        <xdr:cNvPr id="6" name="FootballField">
          <a:extLst>
            <a:ext uri="{FF2B5EF4-FFF2-40B4-BE49-F238E27FC236}">
              <a16:creationId xmlns:a16="http://schemas.microsoft.com/office/drawing/2014/main" id="{34D5F457-68FB-DB30-6E12-DDD997029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rijay Mehta" id="{39B7A69C-F1D4-FA47-B74E-D44BED1DD596}" userId="d6b94afe636dbf6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42" dT="2026-04-27T20:52:42.91" personId="{39B7A69C-F1D4-FA47-B74E-D44BED1DD596}" id="{32AEC018-287C-0B42-B8F4-311F42327A95}">
    <text xml:space="preserve">Based on CAPM which is too punative  for a mature, centenial company with this much cash, and steady FCF conversion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D37" dT="2026-04-27T20:48:30.21" personId="{39B7A69C-F1D4-FA47-B74E-D44BED1DD596}" id="{A5A0257C-BD5A-0E45-A18D-B9F776890E31}">
    <text xml:space="preserve">Based on CAPM - punative for mature, industrial machinery, 100 year old company with strong cash balance. </text>
  </threadedComment>
</ThreadedComments>
</file>

<file path=xl/threadedComments/threadedComment3.xml><?xml version="1.0" encoding="utf-8"?>
<ThreadedComments xmlns="http://schemas.microsoft.com/office/spreadsheetml/2018/threadedcomments" xmlns:x="http://schemas.openxmlformats.org/spreadsheetml/2006/main">
  <threadedComment ref="D37" dT="2026-04-27T15:38:32.47" personId="{39B7A69C-F1D4-FA47-B74E-D44BED1DD596}" id="{1556FA7A-4644-364B-9EB1-C5A3E759A02B}">
    <text>heavy SBC benefits</text>
  </threadedComment>
  <threadedComment ref="E37" dT="2026-04-27T15:38:46.01" personId="{39B7A69C-F1D4-FA47-B74E-D44BED1DD596}" id="{449353DA-7C3F-5D43-99E9-7E356AC032B3}">
    <text>pension settlement timing</text>
  </threadedComment>
  <threadedComment ref="F37" dT="2026-04-27T15:38:56.61" personId="{39B7A69C-F1D4-FA47-B74E-D44BED1DD596}" id="{172FF6D9-6533-3C44-B092-68141B1C5AC8}">
    <text>SBC benefits + some pension favorability</text>
  </threadedComment>
  <threadedComment ref="G37" dT="2026-04-27T15:39:07.48" personId="{39B7A69C-F1D4-FA47-B74E-D44BED1DD596}" id="{3E302816-7FC0-DE4B-9BF2-3EB9B88AE882}">
    <text>moderate SBC benefits</text>
  </threadedComment>
  <threadedComment ref="H37" dT="2026-04-27T15:39:24.10" personId="{39B7A69C-F1D4-FA47-B74E-D44BED1DD596}" id="{0AD4A14F-9530-D449-B9C6-95657C14CDF5}">
    <text>OBBBA timing + SBC benefits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99D886-A710-CD46-BADD-A45A8021DDFE}">
  <we:reference id="wa200009404" version="1.0.0.8" store="en-US" storeType="OMEX"/>
  <we:alternateReferences>
    <we:reference id="wa200009404" version="1.0.0.8" store="wa200009404" storeType="OMEX"/>
  </we:alternateReferences>
  <we:properties>
    <we:property name="claude.fileId" value="&quot;8fc448d9-ca10-4f89-b21c-fb535e9dc5f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DBF3-98B2-7C4C-8881-C5D2FDBEE1ED}">
  <sheetPr>
    <tabColor theme="1"/>
  </sheetPr>
  <dimension ref="B2:Z101"/>
  <sheetViews>
    <sheetView showGridLines="0" tabSelected="1" workbookViewId="0"/>
  </sheetViews>
  <sheetFormatPr baseColWidth="10" defaultRowHeight="15" x14ac:dyDescent="0.2"/>
  <cols>
    <col min="1" max="1" width="2.5" customWidth="1"/>
    <col min="2" max="2" width="31.1640625" customWidth="1"/>
    <col min="3" max="3" width="126.1640625" customWidth="1"/>
    <col min="4" max="4" width="3.33203125" customWidth="1"/>
  </cols>
  <sheetData>
    <row r="2" spans="2:3" ht="27" customHeight="1" x14ac:dyDescent="0.35">
      <c r="B2" s="54" t="s">
        <v>796</v>
      </c>
    </row>
    <row r="3" spans="2:3" ht="15" customHeight="1" x14ac:dyDescent="0.25">
      <c r="B3" s="55" t="s">
        <v>797</v>
      </c>
    </row>
    <row r="4" spans="2:3" x14ac:dyDescent="0.2">
      <c r="B4" s="255" t="s">
        <v>798</v>
      </c>
    </row>
    <row r="6" spans="2:3" x14ac:dyDescent="0.2">
      <c r="B6" s="231" t="s">
        <v>43</v>
      </c>
      <c r="C6" s="23"/>
    </row>
    <row r="7" spans="2:3" s="16" customFormat="1" ht="16" customHeight="1" x14ac:dyDescent="0.2">
      <c r="B7" s="5" t="s">
        <v>44</v>
      </c>
      <c r="C7" s="5" t="s">
        <v>799</v>
      </c>
    </row>
    <row r="8" spans="2:3" s="16" customFormat="1" ht="14" customHeight="1" x14ac:dyDescent="0.2">
      <c r="B8" s="5" t="s">
        <v>177</v>
      </c>
      <c r="C8" s="5" t="s">
        <v>800</v>
      </c>
    </row>
    <row r="9" spans="2:3" s="16" customFormat="1" ht="14" customHeight="1" x14ac:dyDescent="0.2">
      <c r="B9" s="5" t="s">
        <v>178</v>
      </c>
      <c r="C9" s="5" t="s">
        <v>801</v>
      </c>
    </row>
    <row r="10" spans="2:3" s="16" customFormat="1" ht="14" customHeight="1" x14ac:dyDescent="0.2">
      <c r="B10" s="5" t="s">
        <v>45</v>
      </c>
      <c r="C10" s="5" t="s">
        <v>802</v>
      </c>
    </row>
    <row r="11" spans="2:3" s="16" customFormat="1" ht="14" customHeight="1" x14ac:dyDescent="0.2">
      <c r="B11" s="5" t="s">
        <v>46</v>
      </c>
      <c r="C11" s="5" t="s">
        <v>803</v>
      </c>
    </row>
    <row r="12" spans="2:3" s="16" customFormat="1" ht="14" customHeight="1" x14ac:dyDescent="0.2">
      <c r="B12" s="45"/>
      <c r="C12" s="25"/>
    </row>
    <row r="13" spans="2:3" x14ac:dyDescent="0.2">
      <c r="B13" s="231" t="s">
        <v>92</v>
      </c>
      <c r="C13" s="23"/>
    </row>
    <row r="14" spans="2:3" x14ac:dyDescent="0.2">
      <c r="B14" s="3" t="s">
        <v>38</v>
      </c>
      <c r="C14" s="348">
        <f>'DCF &amp; Sensitivity'!D51</f>
        <v>80.760000000000005</v>
      </c>
    </row>
    <row r="15" spans="2:3" x14ac:dyDescent="0.2">
      <c r="B15" s="47" t="s">
        <v>95</v>
      </c>
      <c r="C15" s="349">
        <f>'DCF &amp; Sensitivity'!D49</f>
        <v>61.712737651229233</v>
      </c>
    </row>
    <row r="16" spans="2:3" x14ac:dyDescent="0.2">
      <c r="B16" s="48" t="s">
        <v>804</v>
      </c>
      <c r="C16" s="350">
        <f>'DCF &amp; Sensitivity'!D50</f>
        <v>70.737056286954001</v>
      </c>
    </row>
    <row r="17" spans="2:3" x14ac:dyDescent="0.2">
      <c r="B17" s="48" t="s">
        <v>179</v>
      </c>
      <c r="C17" s="63">
        <f>AVERAGE(C15:C16)/C14-1</f>
        <v>-0.17997898750505681</v>
      </c>
    </row>
    <row r="18" spans="2:3" ht="17" customHeight="1" x14ac:dyDescent="0.2">
      <c r="B18" s="130"/>
      <c r="C18" s="3"/>
    </row>
    <row r="19" spans="2:3" x14ac:dyDescent="0.2">
      <c r="B19" s="231" t="s">
        <v>91</v>
      </c>
      <c r="C19" s="23"/>
    </row>
    <row r="20" spans="2:3" x14ac:dyDescent="0.2">
      <c r="B20" s="47" t="s">
        <v>11</v>
      </c>
      <c r="C20" s="351">
        <f>Assumptions!D104</f>
        <v>0.08</v>
      </c>
    </row>
    <row r="21" spans="2:3" x14ac:dyDescent="0.2">
      <c r="B21" s="47" t="s">
        <v>19</v>
      </c>
      <c r="C21" s="351">
        <f>Assumptions!D105</f>
        <v>2.5000000000000001E-2</v>
      </c>
    </row>
    <row r="22" spans="2:3" x14ac:dyDescent="0.2">
      <c r="B22" s="47" t="s">
        <v>24</v>
      </c>
      <c r="C22" s="352">
        <f>Assumptions!D106</f>
        <v>15</v>
      </c>
    </row>
    <row r="23" spans="2:3" x14ac:dyDescent="0.2">
      <c r="B23" s="47" t="s">
        <v>805</v>
      </c>
      <c r="C23" s="353">
        <f>Assumptions!M57</f>
        <v>0.27400000000000002</v>
      </c>
    </row>
    <row r="24" spans="2:3" x14ac:dyDescent="0.2">
      <c r="B24" s="47" t="s">
        <v>93</v>
      </c>
      <c r="C24" s="354">
        <f>'DCF &amp; Sensitivity'!D44</f>
        <v>-624.08299999999997</v>
      </c>
    </row>
    <row r="25" spans="2:3" x14ac:dyDescent="0.2">
      <c r="B25" s="48" t="s">
        <v>94</v>
      </c>
      <c r="C25" s="355">
        <f>'DCF &amp; Sensitivity'!D47</f>
        <v>169.21899999999999</v>
      </c>
    </row>
    <row r="26" spans="2:3" ht="26" customHeight="1" x14ac:dyDescent="0.2">
      <c r="B26" s="583"/>
      <c r="C26" s="583"/>
    </row>
    <row r="27" spans="2:3" x14ac:dyDescent="0.2">
      <c r="B27" s="231" t="s">
        <v>49</v>
      </c>
      <c r="C27" s="23"/>
    </row>
    <row r="28" spans="2:3" x14ac:dyDescent="0.2">
      <c r="B28" s="130" t="s">
        <v>329</v>
      </c>
    </row>
    <row r="29" spans="2:3" x14ac:dyDescent="0.2">
      <c r="B29" s="3" t="s">
        <v>330</v>
      </c>
    </row>
    <row r="30" spans="2:3" x14ac:dyDescent="0.2">
      <c r="B30" s="3" t="s">
        <v>331</v>
      </c>
    </row>
    <row r="31" spans="2:3" x14ac:dyDescent="0.2">
      <c r="B31" s="130" t="s">
        <v>332</v>
      </c>
    </row>
    <row r="32" spans="2:3" x14ac:dyDescent="0.2">
      <c r="B32" s="3" t="s">
        <v>333</v>
      </c>
    </row>
    <row r="33" spans="2:3" x14ac:dyDescent="0.2">
      <c r="B33" s="3" t="s">
        <v>334</v>
      </c>
    </row>
    <row r="34" spans="2:3" x14ac:dyDescent="0.2">
      <c r="B34" s="3" t="s">
        <v>335</v>
      </c>
    </row>
    <row r="35" spans="2:3" x14ac:dyDescent="0.2">
      <c r="B35" s="3" t="s">
        <v>336</v>
      </c>
    </row>
    <row r="36" spans="2:3" x14ac:dyDescent="0.2">
      <c r="B36" s="3" t="s">
        <v>337</v>
      </c>
    </row>
    <row r="37" spans="2:3" x14ac:dyDescent="0.2">
      <c r="B37" s="3" t="s">
        <v>338</v>
      </c>
    </row>
    <row r="38" spans="2:3" x14ac:dyDescent="0.2">
      <c r="B38" s="3" t="s">
        <v>339</v>
      </c>
    </row>
    <row r="39" spans="2:3" x14ac:dyDescent="0.2">
      <c r="B39" s="130" t="s">
        <v>340</v>
      </c>
    </row>
    <row r="40" spans="2:3" x14ac:dyDescent="0.2">
      <c r="B40" s="3" t="s">
        <v>341</v>
      </c>
    </row>
    <row r="41" spans="2:3" x14ac:dyDescent="0.2">
      <c r="B41" s="383" t="s">
        <v>408</v>
      </c>
    </row>
    <row r="42" spans="2:3" x14ac:dyDescent="0.2">
      <c r="B42" s="383" t="s">
        <v>409</v>
      </c>
    </row>
    <row r="43" spans="2:3" x14ac:dyDescent="0.2">
      <c r="B43" s="3"/>
    </row>
    <row r="44" spans="2:3" x14ac:dyDescent="0.2">
      <c r="B44" s="231" t="s">
        <v>344</v>
      </c>
      <c r="C44" s="23"/>
    </row>
    <row r="45" spans="2:3" x14ac:dyDescent="0.2">
      <c r="B45" s="130" t="s">
        <v>370</v>
      </c>
      <c r="C45" s="309"/>
    </row>
    <row r="46" spans="2:3" x14ac:dyDescent="0.2">
      <c r="B46" s="386" t="s">
        <v>345</v>
      </c>
      <c r="C46" s="387" t="s">
        <v>346</v>
      </c>
    </row>
    <row r="47" spans="2:3" x14ac:dyDescent="0.2">
      <c r="B47" s="388" t="s">
        <v>347</v>
      </c>
      <c r="C47" s="387" t="s">
        <v>348</v>
      </c>
    </row>
    <row r="48" spans="2:3" x14ac:dyDescent="0.2">
      <c r="B48" s="389" t="s">
        <v>349</v>
      </c>
      <c r="C48" s="387" t="s">
        <v>350</v>
      </c>
    </row>
    <row r="49" spans="2:3" x14ac:dyDescent="0.2">
      <c r="B49" s="130" t="s">
        <v>371</v>
      </c>
      <c r="C49" s="309"/>
    </row>
    <row r="50" spans="2:3" x14ac:dyDescent="0.2">
      <c r="B50" s="390" t="s">
        <v>351</v>
      </c>
      <c r="C50" s="387" t="s">
        <v>352</v>
      </c>
    </row>
    <row r="51" spans="2:3" x14ac:dyDescent="0.2">
      <c r="B51" s="390" t="s">
        <v>353</v>
      </c>
      <c r="C51" s="387" t="s">
        <v>374</v>
      </c>
    </row>
    <row r="52" spans="2:3" x14ac:dyDescent="0.2">
      <c r="B52" s="390" t="s">
        <v>354</v>
      </c>
      <c r="C52" s="387" t="s">
        <v>362</v>
      </c>
    </row>
    <row r="53" spans="2:3" x14ac:dyDescent="0.2">
      <c r="B53" s="390" t="s">
        <v>355</v>
      </c>
      <c r="C53" s="387" t="s">
        <v>356</v>
      </c>
    </row>
    <row r="54" spans="2:3" x14ac:dyDescent="0.2">
      <c r="B54" s="130" t="s">
        <v>372</v>
      </c>
      <c r="C54" s="310"/>
    </row>
    <row r="55" spans="2:3" x14ac:dyDescent="0.2">
      <c r="B55" s="390" t="s">
        <v>357</v>
      </c>
      <c r="C55" s="387" t="s">
        <v>404</v>
      </c>
    </row>
    <row r="56" spans="2:3" x14ac:dyDescent="0.2">
      <c r="B56" s="390" t="s">
        <v>358</v>
      </c>
      <c r="C56" s="387" t="s">
        <v>363</v>
      </c>
    </row>
    <row r="57" spans="2:3" x14ac:dyDescent="0.2">
      <c r="B57" s="130" t="s">
        <v>373</v>
      </c>
      <c r="C57" s="310"/>
    </row>
    <row r="58" spans="2:3" x14ac:dyDescent="0.2">
      <c r="B58" s="390" t="s">
        <v>366</v>
      </c>
      <c r="C58" s="387" t="s">
        <v>364</v>
      </c>
    </row>
    <row r="59" spans="2:3" x14ac:dyDescent="0.2">
      <c r="B59" s="390" t="s">
        <v>365</v>
      </c>
      <c r="C59" s="387" t="s">
        <v>369</v>
      </c>
    </row>
    <row r="60" spans="2:3" x14ac:dyDescent="0.2">
      <c r="B60" s="390" t="s">
        <v>367</v>
      </c>
      <c r="C60" s="387" t="s">
        <v>368</v>
      </c>
    </row>
    <row r="61" spans="2:3" x14ac:dyDescent="0.2">
      <c r="C61" s="310"/>
    </row>
    <row r="62" spans="2:3" x14ac:dyDescent="0.2">
      <c r="B62" s="231" t="s">
        <v>359</v>
      </c>
      <c r="C62" s="231"/>
    </row>
    <row r="63" spans="2:3" x14ac:dyDescent="0.2">
      <c r="B63" s="347" t="s">
        <v>360</v>
      </c>
      <c r="C63" s="356">
        <v>2021</v>
      </c>
    </row>
    <row r="64" spans="2:3" x14ac:dyDescent="0.2">
      <c r="B64" s="347" t="s">
        <v>361</v>
      </c>
      <c r="C64" s="356">
        <v>2026</v>
      </c>
    </row>
    <row r="65" spans="2:2" x14ac:dyDescent="0.2">
      <c r="B65" s="347"/>
    </row>
    <row r="100" spans="26:26" x14ac:dyDescent="0.2">
      <c r="Z100">
        <f>WACC</f>
        <v>0.08</v>
      </c>
    </row>
    <row r="101" spans="26:26" x14ac:dyDescent="0.2">
      <c r="Z101" t="str">
        <f>CompanyName &amp; " (" &amp; Ticker &amp; ")"</f>
        <v>GRACO INC. (NYSE: GGG)</v>
      </c>
    </row>
  </sheetData>
  <mergeCells count="1">
    <mergeCell ref="B26:C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F907-E2E8-2A44-8E3D-D44C59B4E128}">
  <sheetPr>
    <tabColor theme="0" tint="-4.9989318521683403E-2"/>
  </sheetPr>
  <dimension ref="B2:Q67"/>
  <sheetViews>
    <sheetView showGridLines="0" workbookViewId="0"/>
  </sheetViews>
  <sheetFormatPr baseColWidth="10" defaultRowHeight="15" x14ac:dyDescent="0.2"/>
  <cols>
    <col min="1" max="1" width="1.6640625" customWidth="1"/>
    <col min="2" max="2" width="38.33203125" customWidth="1"/>
    <col min="3" max="3" width="15.83203125" customWidth="1"/>
    <col min="4" max="4" width="13.83203125" customWidth="1"/>
    <col min="5" max="5" width="12.83203125" customWidth="1"/>
    <col min="6" max="6" width="13.33203125" customWidth="1"/>
    <col min="7" max="7" width="14.6640625" customWidth="1"/>
    <col min="8" max="8" width="3.33203125" customWidth="1"/>
  </cols>
  <sheetData>
    <row r="2" spans="2:17" ht="26" customHeight="1" x14ac:dyDescent="0.2">
      <c r="B2" s="57" t="s">
        <v>306</v>
      </c>
    </row>
    <row r="3" spans="2:17" x14ac:dyDescent="0.2">
      <c r="B3" s="14" t="s">
        <v>589</v>
      </c>
    </row>
    <row r="4" spans="2:17" x14ac:dyDescent="0.2">
      <c r="B4" s="226" t="s">
        <v>307</v>
      </c>
    </row>
    <row r="5" spans="2:17" x14ac:dyDescent="0.2">
      <c r="B5" s="243" t="s">
        <v>410</v>
      </c>
    </row>
    <row r="7" spans="2:17" ht="16" customHeight="1" thickBot="1" x14ac:dyDescent="0.25">
      <c r="B7" s="147" t="s">
        <v>261</v>
      </c>
      <c r="C7" s="743" t="s">
        <v>12</v>
      </c>
      <c r="D7" s="232" t="s">
        <v>47</v>
      </c>
      <c r="E7" s="233" t="s">
        <v>57</v>
      </c>
      <c r="F7" s="234" t="s">
        <v>48</v>
      </c>
      <c r="G7" s="252" t="s">
        <v>308</v>
      </c>
      <c r="I7" s="3"/>
      <c r="J7" s="3"/>
      <c r="K7" s="3"/>
      <c r="L7" s="3"/>
      <c r="M7" s="3"/>
    </row>
    <row r="8" spans="2:17" ht="15" customHeight="1" x14ac:dyDescent="0.2">
      <c r="B8" s="28" t="s">
        <v>302</v>
      </c>
      <c r="C8" s="744" t="s">
        <v>36</v>
      </c>
      <c r="D8" s="236">
        <f>'Shadow DCF'!D126</f>
        <v>23.995326098159072</v>
      </c>
      <c r="E8" s="236">
        <f>'Shadow DCF'!E126</f>
        <v>45.166974518114102</v>
      </c>
      <c r="F8" s="236">
        <f>'Shadow DCF'!F126</f>
        <v>102.87722541112205</v>
      </c>
      <c r="G8" s="266">
        <f>F8-D8</f>
        <v>78.881899312962986</v>
      </c>
      <c r="I8" s="3"/>
      <c r="J8" s="3"/>
      <c r="K8" s="3"/>
      <c r="L8" s="3"/>
      <c r="M8" s="3"/>
    </row>
    <row r="9" spans="2:17" ht="15" customHeight="1" x14ac:dyDescent="0.2">
      <c r="B9" s="5" t="s">
        <v>303</v>
      </c>
      <c r="C9" s="511" t="s">
        <v>36</v>
      </c>
      <c r="D9" s="237">
        <f>'Shadow DCF'!D127</f>
        <v>35.617126525983792</v>
      </c>
      <c r="E9" s="237">
        <f>'Shadow DCF'!E127</f>
        <v>63.167838081983398</v>
      </c>
      <c r="F9" s="237">
        <f>'Shadow DCF'!F127</f>
        <v>112.74784305248765</v>
      </c>
      <c r="G9" s="267">
        <f>F9-D9</f>
        <v>77.130716526503861</v>
      </c>
      <c r="I9" s="3"/>
      <c r="J9" s="3"/>
      <c r="K9" s="3"/>
      <c r="L9" s="3"/>
      <c r="M9" s="3"/>
    </row>
    <row r="10" spans="2:17" x14ac:dyDescent="0.2">
      <c r="B10" s="5" t="s">
        <v>309</v>
      </c>
      <c r="C10" s="511" t="s">
        <v>36</v>
      </c>
      <c r="D10" s="268">
        <f>'Shadow DCF'!D128</f>
        <v>29.806226312071431</v>
      </c>
      <c r="E10" s="268">
        <f>'Shadow DCF'!E128</f>
        <v>54.167406300048754</v>
      </c>
      <c r="F10" s="268">
        <f>'Shadow DCF'!F128</f>
        <v>107.81253423180485</v>
      </c>
      <c r="G10" s="269">
        <f>F10-D10</f>
        <v>78.006307919733416</v>
      </c>
      <c r="I10" s="3"/>
      <c r="J10" s="3"/>
      <c r="K10" s="3"/>
      <c r="L10" s="3"/>
      <c r="M10" s="3"/>
    </row>
    <row r="11" spans="2:17" x14ac:dyDescent="0.2">
      <c r="B11" s="5" t="s">
        <v>38</v>
      </c>
      <c r="C11" s="511" t="s">
        <v>36</v>
      </c>
      <c r="D11" s="237">
        <f>'DCF &amp; Sensitivity'!$D$51</f>
        <v>80.760000000000005</v>
      </c>
      <c r="E11" s="237">
        <f>'DCF &amp; Sensitivity'!$D$51</f>
        <v>80.760000000000005</v>
      </c>
      <c r="F11" s="237">
        <f>'DCF &amp; Sensitivity'!$D$51</f>
        <v>80.760000000000005</v>
      </c>
      <c r="G11" s="240" t="s">
        <v>310</v>
      </c>
      <c r="I11" s="3"/>
      <c r="J11" s="3"/>
      <c r="K11" s="3"/>
      <c r="L11" s="3"/>
      <c r="M11" s="3"/>
    </row>
    <row r="12" spans="2:17" x14ac:dyDescent="0.2">
      <c r="B12" s="5" t="s">
        <v>305</v>
      </c>
      <c r="C12" s="511" t="s">
        <v>2</v>
      </c>
      <c r="D12" s="270">
        <f>D10/D11-1</f>
        <v>-0.6309283517574118</v>
      </c>
      <c r="E12" s="270">
        <f>E10/E11-1</f>
        <v>-0.32927926820147657</v>
      </c>
      <c r="F12" s="270">
        <f>F10/F11-1</f>
        <v>0.33497442089901974</v>
      </c>
      <c r="G12" s="270">
        <f>F12-D12</f>
        <v>0.96590277265643154</v>
      </c>
      <c r="H12" s="314"/>
      <c r="I12" s="341"/>
      <c r="J12" s="341"/>
      <c r="K12" s="341"/>
      <c r="L12" s="341"/>
      <c r="M12" s="341"/>
      <c r="N12" s="314"/>
      <c r="O12" s="314"/>
      <c r="P12" s="314"/>
      <c r="Q12" s="314"/>
    </row>
    <row r="13" spans="2:17" x14ac:dyDescent="0.2">
      <c r="B13" s="258"/>
      <c r="C13" s="745"/>
      <c r="D13" s="3"/>
      <c r="E13" s="3"/>
      <c r="F13" s="3"/>
      <c r="G13" s="3"/>
      <c r="H13" s="3"/>
      <c r="I13" s="3"/>
      <c r="J13" s="3"/>
      <c r="K13" s="3"/>
      <c r="L13" s="3"/>
      <c r="M13" s="3"/>
    </row>
    <row r="14" spans="2:17" ht="16" thickBot="1" x14ac:dyDescent="0.25">
      <c r="B14" s="127" t="s">
        <v>311</v>
      </c>
      <c r="C14" s="746" t="s">
        <v>12</v>
      </c>
      <c r="D14" s="739" t="s">
        <v>47</v>
      </c>
      <c r="E14" s="740" t="s">
        <v>57</v>
      </c>
      <c r="F14" s="741" t="s">
        <v>48</v>
      </c>
      <c r="G14" s="742" t="str">
        <f>"FY"&amp;TEXT(MOD('Cover Page'!$C$64-1,100),"00")&amp;"A"</f>
        <v>FY25A</v>
      </c>
      <c r="H14" s="3"/>
      <c r="I14" s="3"/>
      <c r="J14" s="3"/>
      <c r="K14" s="3"/>
      <c r="L14" s="3"/>
      <c r="M14" s="3"/>
    </row>
    <row r="15" spans="2:17" x14ac:dyDescent="0.2">
      <c r="B15" s="75" t="s">
        <v>65</v>
      </c>
      <c r="C15" s="476"/>
      <c r="D15" s="738"/>
      <c r="E15" s="738"/>
      <c r="F15" s="738"/>
      <c r="G15" s="738"/>
      <c r="H15" s="319"/>
      <c r="I15" s="341"/>
      <c r="J15" s="341"/>
      <c r="K15" s="341"/>
      <c r="L15" s="341"/>
      <c r="M15" s="341"/>
      <c r="N15" s="314"/>
      <c r="O15" s="314"/>
      <c r="P15" s="314"/>
      <c r="Q15" s="314"/>
    </row>
    <row r="16" spans="2:17" x14ac:dyDescent="0.2">
      <c r="B16" s="538" t="s">
        <v>431</v>
      </c>
      <c r="C16" s="512"/>
      <c r="D16" s="244"/>
      <c r="E16" s="244"/>
      <c r="F16" s="244"/>
      <c r="G16" s="244"/>
      <c r="H16" s="341"/>
      <c r="I16" s="341"/>
      <c r="J16" s="341"/>
      <c r="K16" s="341"/>
      <c r="L16" s="341"/>
      <c r="M16" s="341"/>
      <c r="N16" s="314"/>
      <c r="O16" s="314"/>
      <c r="P16" s="314"/>
      <c r="Q16" s="314"/>
    </row>
    <row r="17" spans="2:17" x14ac:dyDescent="0.2">
      <c r="B17" s="449" t="s">
        <v>446</v>
      </c>
      <c r="C17" s="512" t="s">
        <v>2</v>
      </c>
      <c r="D17" s="244">
        <f>Assumptions!E12</f>
        <v>-0.02</v>
      </c>
      <c r="E17" s="244">
        <f>Assumptions!F12</f>
        <v>0.01</v>
      </c>
      <c r="F17" s="244">
        <f>Assumptions!G12</f>
        <v>0.04</v>
      </c>
      <c r="G17" s="244">
        <v>8.4000000000000005E-2</v>
      </c>
      <c r="H17" s="341"/>
      <c r="I17" s="341"/>
      <c r="J17" s="341"/>
      <c r="K17" s="341"/>
      <c r="L17" s="341"/>
      <c r="M17" s="341"/>
      <c r="N17" s="314"/>
      <c r="O17" s="314"/>
      <c r="P17" s="314"/>
      <c r="Q17" s="314"/>
    </row>
    <row r="18" spans="2:17" x14ac:dyDescent="0.2">
      <c r="B18" s="449" t="s">
        <v>447</v>
      </c>
      <c r="C18" s="512" t="s">
        <v>2</v>
      </c>
      <c r="D18" s="244">
        <f>Assumptions!E13</f>
        <v>0.01</v>
      </c>
      <c r="E18" s="244">
        <f>Assumptions!F13</f>
        <v>0.03</v>
      </c>
      <c r="F18" s="244">
        <f>Assumptions!G13</f>
        <v>0.06</v>
      </c>
      <c r="G18" s="244">
        <v>0</v>
      </c>
      <c r="H18" s="341"/>
      <c r="I18" s="341"/>
      <c r="J18" s="341"/>
      <c r="K18" s="341"/>
      <c r="L18" s="341"/>
      <c r="M18" s="341"/>
      <c r="N18" s="314"/>
      <c r="O18" s="314"/>
      <c r="P18" s="314"/>
      <c r="Q18" s="314"/>
    </row>
    <row r="19" spans="2:17" x14ac:dyDescent="0.2">
      <c r="B19" s="538" t="s">
        <v>432</v>
      </c>
      <c r="C19" s="512"/>
      <c r="D19" s="244"/>
      <c r="E19" s="244"/>
      <c r="F19" s="244"/>
      <c r="G19" s="244"/>
      <c r="H19" s="341"/>
      <c r="I19" s="341"/>
      <c r="J19" s="341"/>
      <c r="K19" s="341"/>
      <c r="L19" s="341"/>
      <c r="M19" s="341"/>
      <c r="N19" s="314"/>
      <c r="O19" s="314"/>
      <c r="P19" s="314"/>
      <c r="Q19" s="314"/>
    </row>
    <row r="20" spans="2:17" x14ac:dyDescent="0.2">
      <c r="B20" s="449" t="s">
        <v>448</v>
      </c>
      <c r="C20" s="512" t="s">
        <v>2</v>
      </c>
      <c r="D20" s="244">
        <f>Assumptions!E15</f>
        <v>-0.02</v>
      </c>
      <c r="E20" s="244">
        <f>Assumptions!F15</f>
        <v>0.03</v>
      </c>
      <c r="F20" s="244">
        <f>Assumptions!G15</f>
        <v>0.05</v>
      </c>
      <c r="G20" s="244">
        <v>3.9E-2</v>
      </c>
      <c r="H20" s="341"/>
      <c r="I20" s="341"/>
      <c r="J20" s="341"/>
      <c r="K20" s="341"/>
      <c r="L20" s="341"/>
      <c r="M20" s="341"/>
      <c r="N20" s="314"/>
      <c r="O20" s="314"/>
      <c r="P20" s="314"/>
      <c r="Q20" s="314"/>
    </row>
    <row r="21" spans="2:17" x14ac:dyDescent="0.2">
      <c r="B21" s="449" t="s">
        <v>449</v>
      </c>
      <c r="C21" s="512" t="s">
        <v>2</v>
      </c>
      <c r="D21" s="244">
        <f>Assumptions!E16</f>
        <v>0.01</v>
      </c>
      <c r="E21" s="244">
        <f>Assumptions!F16</f>
        <v>0.02</v>
      </c>
      <c r="F21" s="244">
        <f>Assumptions!G16</f>
        <v>0.04</v>
      </c>
      <c r="G21" s="244">
        <v>0</v>
      </c>
      <c r="H21" s="341"/>
      <c r="I21" s="341"/>
      <c r="J21" s="341"/>
      <c r="K21" s="341"/>
      <c r="L21" s="341"/>
      <c r="M21" s="341"/>
      <c r="N21" s="314"/>
      <c r="O21" s="314"/>
      <c r="P21" s="314"/>
      <c r="Q21" s="314"/>
    </row>
    <row r="22" spans="2:17" x14ac:dyDescent="0.2">
      <c r="B22" s="538" t="s">
        <v>437</v>
      </c>
      <c r="C22" s="512"/>
      <c r="D22" s="244"/>
      <c r="E22" s="244"/>
      <c r="F22" s="244"/>
      <c r="G22" s="244"/>
      <c r="H22" s="341"/>
      <c r="I22" s="341"/>
      <c r="J22" s="341"/>
      <c r="K22" s="341"/>
      <c r="L22" s="341"/>
      <c r="M22" s="341"/>
      <c r="N22" s="314"/>
      <c r="O22" s="314"/>
      <c r="P22" s="314"/>
      <c r="Q22" s="314"/>
    </row>
    <row r="23" spans="2:17" x14ac:dyDescent="0.2">
      <c r="B23" s="449" t="s">
        <v>450</v>
      </c>
      <c r="C23" s="512" t="s">
        <v>2</v>
      </c>
      <c r="D23" s="244">
        <f>Assumptions!E18</f>
        <v>-0.05</v>
      </c>
      <c r="E23" s="244">
        <f>Assumptions!F18</f>
        <v>0.03</v>
      </c>
      <c r="F23" s="244">
        <f>Assumptions!G18</f>
        <v>0.08</v>
      </c>
      <c r="G23" s="316">
        <v>8.9999999999999993E-3</v>
      </c>
      <c r="H23" s="341"/>
      <c r="I23" s="341"/>
      <c r="J23" s="341"/>
      <c r="K23" s="341"/>
      <c r="L23" s="341"/>
      <c r="M23" s="341"/>
      <c r="N23" s="314"/>
      <c r="O23" s="314"/>
      <c r="P23" s="314"/>
      <c r="Q23" s="314"/>
    </row>
    <row r="24" spans="2:17" x14ac:dyDescent="0.2">
      <c r="B24" s="449" t="s">
        <v>451</v>
      </c>
      <c r="C24" s="512" t="s">
        <v>2</v>
      </c>
      <c r="D24" s="244">
        <f>Assumptions!E19</f>
        <v>0.01</v>
      </c>
      <c r="E24" s="244">
        <f>Assumptions!F19</f>
        <v>0.03</v>
      </c>
      <c r="F24" s="244">
        <f>Assumptions!G19</f>
        <v>0.08</v>
      </c>
      <c r="G24" s="316">
        <v>0</v>
      </c>
      <c r="H24" s="341"/>
      <c r="I24" s="341"/>
      <c r="J24" s="736"/>
      <c r="K24" s="736"/>
      <c r="L24" s="736"/>
      <c r="M24" s="736"/>
      <c r="N24" s="736"/>
      <c r="O24" s="736"/>
      <c r="P24" s="736"/>
      <c r="Q24" s="736"/>
    </row>
    <row r="25" spans="2:17" x14ac:dyDescent="0.2">
      <c r="B25" s="448" t="s">
        <v>452</v>
      </c>
      <c r="C25" s="512" t="s">
        <v>2</v>
      </c>
      <c r="D25" s="244">
        <f>Assumptions!E20</f>
        <v>-0.01</v>
      </c>
      <c r="E25" s="244">
        <f>Assumptions!F20</f>
        <v>0.01</v>
      </c>
      <c r="F25" s="244">
        <f>Assumptions!G20</f>
        <v>0.02</v>
      </c>
      <c r="G25" s="316">
        <v>5.0000000000000001E-3</v>
      </c>
      <c r="H25" s="341"/>
      <c r="I25" s="341"/>
      <c r="J25" s="736"/>
      <c r="K25" s="736"/>
      <c r="L25" s="736"/>
      <c r="M25" s="736"/>
      <c r="N25" s="736"/>
      <c r="O25" s="736"/>
      <c r="P25" s="736"/>
      <c r="Q25" s="736"/>
    </row>
    <row r="26" spans="2:17" x14ac:dyDescent="0.2">
      <c r="B26" s="75" t="s">
        <v>565</v>
      </c>
      <c r="C26" s="745"/>
      <c r="D26" s="244"/>
      <c r="E26" s="244"/>
      <c r="F26" s="244"/>
      <c r="G26" s="316"/>
      <c r="H26" s="341"/>
      <c r="I26" s="341"/>
      <c r="J26" s="736"/>
      <c r="K26" s="736"/>
      <c r="L26" s="736"/>
      <c r="M26" s="736"/>
      <c r="N26" s="736"/>
      <c r="O26" s="736"/>
      <c r="P26" s="736"/>
      <c r="Q26" s="736"/>
    </row>
    <row r="27" spans="2:17" x14ac:dyDescent="0.2">
      <c r="B27" s="78" t="s">
        <v>561</v>
      </c>
      <c r="C27" s="512" t="s">
        <v>2</v>
      </c>
      <c r="D27" s="244">
        <f>Assumptions!E22</f>
        <v>0.5</v>
      </c>
      <c r="E27" s="244">
        <f>Assumptions!F22</f>
        <v>0.47499999999999998</v>
      </c>
      <c r="F27" s="244">
        <f>Assumptions!G22</f>
        <v>0.45</v>
      </c>
      <c r="G27" s="316">
        <f>Assumptions!H52</f>
        <v>0.4754538138245552</v>
      </c>
      <c r="H27" s="341"/>
      <c r="I27" s="341"/>
      <c r="J27" s="736"/>
      <c r="K27" s="736"/>
      <c r="L27" s="736"/>
      <c r="M27" s="736"/>
      <c r="N27" s="736"/>
      <c r="O27" s="736"/>
      <c r="P27" s="736"/>
      <c r="Q27" s="736"/>
    </row>
    <row r="28" spans="2:17" x14ac:dyDescent="0.2">
      <c r="B28" s="78" t="s">
        <v>559</v>
      </c>
      <c r="C28" s="512" t="s">
        <v>2</v>
      </c>
      <c r="D28" s="244">
        <f>Assumptions!E23</f>
        <v>4.2000000000000003E-2</v>
      </c>
      <c r="E28" s="244">
        <f>Assumptions!F23</f>
        <v>3.7999999999999999E-2</v>
      </c>
      <c r="F28" s="244">
        <f>Assumptions!G23</f>
        <v>3.5000000000000003E-2</v>
      </c>
      <c r="G28" s="316">
        <f>Assumptions!H54</f>
        <v>3.6796923902351786E-2</v>
      </c>
      <c r="H28" s="341"/>
      <c r="I28" s="341"/>
      <c r="J28" s="736"/>
      <c r="K28" s="736"/>
      <c r="L28" s="736"/>
      <c r="M28" s="736"/>
      <c r="N28" s="736"/>
      <c r="O28" s="736"/>
      <c r="P28" s="736"/>
      <c r="Q28" s="736"/>
    </row>
    <row r="29" spans="2:17" x14ac:dyDescent="0.2">
      <c r="B29" s="78" t="s">
        <v>566</v>
      </c>
      <c r="C29" s="512" t="s">
        <v>2</v>
      </c>
      <c r="D29" s="244">
        <f>Assumptions!E24</f>
        <v>0.13500000000000001</v>
      </c>
      <c r="E29" s="244">
        <f>Assumptions!F24</f>
        <v>0.125</v>
      </c>
      <c r="F29" s="244">
        <f>Assumptions!G24</f>
        <v>0.115</v>
      </c>
      <c r="G29" s="316">
        <f>Assumptions!H55</f>
        <v>0.12246266654743806</v>
      </c>
      <c r="H29" s="341"/>
      <c r="I29" s="341"/>
      <c r="J29" s="341"/>
      <c r="K29" s="341"/>
      <c r="L29" s="341"/>
      <c r="M29" s="341"/>
      <c r="N29" s="314"/>
      <c r="O29" s="314"/>
      <c r="P29" s="314"/>
      <c r="Q29" s="314"/>
    </row>
    <row r="30" spans="2:17" x14ac:dyDescent="0.2">
      <c r="B30" s="78" t="s">
        <v>567</v>
      </c>
      <c r="C30" s="512" t="s">
        <v>2</v>
      </c>
      <c r="D30" s="244">
        <f>Assumptions!E25</f>
        <v>9.5000000000000001E-2</v>
      </c>
      <c r="E30" s="244">
        <f>Assumptions!F25</f>
        <v>8.7999999999999995E-2</v>
      </c>
      <c r="F30" s="244">
        <f>Assumptions!G25</f>
        <v>0.08</v>
      </c>
      <c r="G30" s="316">
        <f>Assumptions!H56</f>
        <v>9.2193508003219168E-2</v>
      </c>
      <c r="H30" s="341"/>
      <c r="I30" s="341"/>
      <c r="J30" s="341"/>
      <c r="K30" s="341"/>
      <c r="L30" s="341"/>
      <c r="M30" s="341"/>
      <c r="N30" s="314"/>
      <c r="O30" s="314"/>
      <c r="P30" s="314"/>
      <c r="Q30" s="314"/>
    </row>
    <row r="31" spans="2:17" x14ac:dyDescent="0.2">
      <c r="B31" s="75" t="s">
        <v>588</v>
      </c>
      <c r="C31" s="747"/>
      <c r="D31" s="244"/>
      <c r="E31" s="244"/>
      <c r="F31" s="244"/>
      <c r="G31" s="316"/>
      <c r="H31" s="341"/>
      <c r="I31" s="341"/>
      <c r="J31" s="341"/>
      <c r="K31" s="341"/>
      <c r="L31" s="341"/>
      <c r="M31" s="341"/>
      <c r="N31" s="314"/>
      <c r="O31" s="314"/>
      <c r="P31" s="314"/>
      <c r="Q31" s="314"/>
    </row>
    <row r="32" spans="2:17" x14ac:dyDescent="0.2">
      <c r="B32" s="80" t="s">
        <v>586</v>
      </c>
      <c r="C32" s="511" t="s">
        <v>62</v>
      </c>
      <c r="D32" s="751">
        <f>Assumptions!E27</f>
        <v>145</v>
      </c>
      <c r="E32" s="751">
        <f>Assumptions!F27</f>
        <v>138</v>
      </c>
      <c r="F32" s="751">
        <f>Assumptions!G27</f>
        <v>130</v>
      </c>
      <c r="G32" s="752">
        <f>Assumptions!H77</f>
        <v>137.68607297348126</v>
      </c>
      <c r="H32" s="341"/>
      <c r="I32" s="341"/>
      <c r="J32" s="341"/>
      <c r="K32" s="341"/>
      <c r="L32" s="341"/>
      <c r="M32" s="341"/>
      <c r="N32" s="314"/>
      <c r="O32" s="314"/>
      <c r="P32" s="314"/>
      <c r="Q32" s="314"/>
    </row>
    <row r="33" spans="2:17" x14ac:dyDescent="0.2">
      <c r="B33" s="80" t="s">
        <v>587</v>
      </c>
      <c r="C33" s="511" t="s">
        <v>62</v>
      </c>
      <c r="D33" s="751">
        <f>Assumptions!E28</f>
        <v>60</v>
      </c>
      <c r="E33" s="751">
        <f>Assumptions!F28</f>
        <v>62</v>
      </c>
      <c r="F33" s="751">
        <f>Assumptions!G28</f>
        <v>58</v>
      </c>
      <c r="G33" s="752">
        <f>Assumptions!H76</f>
        <v>64.258179826522394</v>
      </c>
      <c r="H33" s="341"/>
      <c r="I33" s="341"/>
      <c r="J33" s="341"/>
      <c r="K33" s="341"/>
      <c r="L33" s="341"/>
      <c r="M33" s="341"/>
      <c r="N33" s="314"/>
      <c r="O33" s="314"/>
      <c r="P33" s="314"/>
      <c r="Q33" s="314"/>
    </row>
    <row r="34" spans="2:17" x14ac:dyDescent="0.2">
      <c r="B34" s="80" t="s">
        <v>585</v>
      </c>
      <c r="C34" s="511" t="s">
        <v>62</v>
      </c>
      <c r="D34" s="751">
        <f>Assumptions!E29</f>
        <v>30</v>
      </c>
      <c r="E34" s="751">
        <f>Assumptions!F29</f>
        <v>27</v>
      </c>
      <c r="F34" s="751">
        <f>Assumptions!G29</f>
        <v>32</v>
      </c>
      <c r="G34" s="752">
        <f>Assumptions!H78</f>
        <v>26.969291893925138</v>
      </c>
      <c r="H34" s="341"/>
      <c r="I34" s="341"/>
      <c r="J34" s="341"/>
      <c r="K34" s="341"/>
      <c r="L34" s="341"/>
      <c r="M34" s="341"/>
      <c r="N34" s="314"/>
      <c r="O34" s="314"/>
      <c r="P34" s="314"/>
      <c r="Q34" s="314"/>
    </row>
    <row r="35" spans="2:17" x14ac:dyDescent="0.2">
      <c r="B35" s="75" t="s">
        <v>596</v>
      </c>
      <c r="C35" s="745"/>
      <c r="D35" s="244"/>
      <c r="E35" s="244"/>
      <c r="F35" s="244"/>
      <c r="G35" s="316"/>
      <c r="H35" s="341"/>
      <c r="I35" s="341"/>
      <c r="J35" s="341"/>
      <c r="K35" s="341"/>
      <c r="L35" s="341"/>
      <c r="M35" s="341"/>
      <c r="N35" s="314"/>
      <c r="O35" s="314"/>
      <c r="P35" s="314"/>
      <c r="Q35" s="314"/>
    </row>
    <row r="36" spans="2:17" x14ac:dyDescent="0.2">
      <c r="B36" s="78" t="s">
        <v>597</v>
      </c>
      <c r="C36" s="512" t="s">
        <v>2</v>
      </c>
      <c r="D36" s="244">
        <f>Assumptions!E31</f>
        <v>3.7999999999999999E-2</v>
      </c>
      <c r="E36" s="244">
        <f>Assumptions!F31</f>
        <v>4.2000000000000003E-2</v>
      </c>
      <c r="F36" s="244">
        <f>Assumptions!G31</f>
        <v>0.05</v>
      </c>
      <c r="G36" s="316">
        <f>Assumptions!H80</f>
        <v>2.0418939461682911E-2</v>
      </c>
      <c r="H36" s="341"/>
      <c r="I36" s="341"/>
      <c r="J36" s="341"/>
      <c r="K36" s="341"/>
      <c r="L36" s="341"/>
      <c r="M36" s="341"/>
      <c r="N36" s="314"/>
      <c r="O36" s="314"/>
      <c r="P36" s="314"/>
      <c r="Q36" s="314"/>
    </row>
    <row r="37" spans="2:17" x14ac:dyDescent="0.2">
      <c r="B37" s="78" t="s">
        <v>598</v>
      </c>
      <c r="C37" s="512" t="s">
        <v>2</v>
      </c>
      <c r="D37" s="244">
        <f>Assumptions!E32</f>
        <v>0.3</v>
      </c>
      <c r="E37" s="244">
        <f>Assumptions!F32</f>
        <v>0.5</v>
      </c>
      <c r="F37" s="244">
        <f>Assumptions!G32</f>
        <v>0.7</v>
      </c>
      <c r="G37" s="244">
        <f>Assumptions!D32</f>
        <v>0.6</v>
      </c>
      <c r="H37" s="341"/>
      <c r="I37" s="341"/>
      <c r="J37" s="341"/>
      <c r="K37" s="341"/>
      <c r="L37" s="341"/>
      <c r="M37" s="341"/>
      <c r="N37" s="314"/>
      <c r="O37" s="314"/>
      <c r="P37" s="314"/>
      <c r="Q37" s="314"/>
    </row>
    <row r="38" spans="2:17" x14ac:dyDescent="0.2">
      <c r="B38" s="80" t="s">
        <v>788</v>
      </c>
      <c r="C38" s="511" t="s">
        <v>14</v>
      </c>
      <c r="D38" s="737">
        <f>Assumptions!E33</f>
        <v>50</v>
      </c>
      <c r="E38" s="737">
        <f>Assumptions!F33</f>
        <v>100</v>
      </c>
      <c r="F38" s="737">
        <f>Assumptions!G33</f>
        <v>200</v>
      </c>
      <c r="G38" s="737">
        <f>Assumptions!D33</f>
        <v>135</v>
      </c>
      <c r="H38" s="341"/>
      <c r="I38" s="341"/>
      <c r="J38" s="341"/>
      <c r="K38" s="341"/>
      <c r="L38" s="341"/>
      <c r="M38" s="341"/>
      <c r="N38" s="314"/>
      <c r="O38" s="314"/>
      <c r="P38" s="314"/>
      <c r="Q38" s="314"/>
    </row>
    <row r="39" spans="2:17" x14ac:dyDescent="0.2">
      <c r="B39" s="75" t="s">
        <v>226</v>
      </c>
      <c r="C39" s="745"/>
      <c r="D39" s="244"/>
      <c r="E39" s="244"/>
      <c r="F39" s="244"/>
      <c r="G39" s="316"/>
      <c r="H39" s="341"/>
      <c r="I39" s="341"/>
      <c r="J39" s="341"/>
      <c r="K39" s="341"/>
      <c r="L39" s="341"/>
      <c r="M39" s="341"/>
      <c r="N39" s="314"/>
      <c r="O39" s="314"/>
      <c r="P39" s="314"/>
      <c r="Q39" s="314"/>
    </row>
    <row r="40" spans="2:17" x14ac:dyDescent="0.2">
      <c r="B40" s="78" t="s">
        <v>19</v>
      </c>
      <c r="C40" s="512" t="s">
        <v>2</v>
      </c>
      <c r="D40" s="244">
        <f>Assumptions!E35</f>
        <v>0.02</v>
      </c>
      <c r="E40" s="244">
        <f>Assumptions!F35</f>
        <v>2.5000000000000001E-2</v>
      </c>
      <c r="F40" s="244">
        <f>Assumptions!G35</f>
        <v>0.03</v>
      </c>
      <c r="G40" s="316" t="s">
        <v>175</v>
      </c>
      <c r="H40" s="3"/>
      <c r="I40" s="3"/>
      <c r="J40" s="3"/>
      <c r="K40" s="3"/>
      <c r="L40" s="3"/>
      <c r="M40" s="3"/>
    </row>
    <row r="41" spans="2:17" x14ac:dyDescent="0.2">
      <c r="B41" s="80" t="s">
        <v>227</v>
      </c>
      <c r="C41" s="511" t="s">
        <v>4</v>
      </c>
      <c r="D41" s="241">
        <f>Assumptions!E36</f>
        <v>13</v>
      </c>
      <c r="E41" s="241">
        <f>Assumptions!F36</f>
        <v>15</v>
      </c>
      <c r="F41" s="241">
        <f>Assumptions!G36</f>
        <v>18</v>
      </c>
      <c r="G41" s="241">
        <f>Assumptions!D36</f>
        <v>17.600000000000001</v>
      </c>
      <c r="H41" s="3"/>
      <c r="I41" s="3"/>
      <c r="J41" s="464"/>
      <c r="K41" s="464"/>
      <c r="L41" s="464"/>
      <c r="M41" s="464"/>
      <c r="N41" s="464"/>
      <c r="O41" s="464"/>
      <c r="P41" s="464"/>
      <c r="Q41" s="464"/>
    </row>
    <row r="42" spans="2:17" x14ac:dyDescent="0.2">
      <c r="B42" s="78" t="s">
        <v>11</v>
      </c>
      <c r="C42" s="512" t="s">
        <v>2</v>
      </c>
      <c r="D42" s="244">
        <f>Assumptions!E37</f>
        <v>0.1</v>
      </c>
      <c r="E42" s="244">
        <f>Assumptions!F37</f>
        <v>0.08</v>
      </c>
      <c r="F42" s="244">
        <f>Assumptions!G37</f>
        <v>0.06</v>
      </c>
      <c r="G42" s="244">
        <f>Assumptions!D37</f>
        <v>0.107</v>
      </c>
      <c r="H42" s="3"/>
      <c r="I42" s="3"/>
      <c r="J42" s="464"/>
      <c r="K42" s="464"/>
      <c r="L42" s="464"/>
      <c r="M42" s="464"/>
      <c r="N42" s="464"/>
      <c r="O42" s="464"/>
      <c r="P42" s="464"/>
      <c r="Q42" s="464"/>
    </row>
    <row r="43" spans="2:17" x14ac:dyDescent="0.2">
      <c r="B43" s="735"/>
      <c r="C43" s="639"/>
      <c r="D43" s="3"/>
      <c r="E43" s="3"/>
      <c r="F43" s="3"/>
      <c r="G43" s="251"/>
      <c r="H43" s="3"/>
      <c r="I43" s="3"/>
      <c r="J43" s="464"/>
      <c r="K43" s="464"/>
      <c r="L43" s="464"/>
      <c r="M43" s="464"/>
      <c r="N43" s="464"/>
      <c r="O43" s="464"/>
      <c r="P43" s="464"/>
      <c r="Q43" s="464"/>
    </row>
    <row r="44" spans="2:17" ht="16" customHeight="1" thickBot="1" x14ac:dyDescent="0.25">
      <c r="B44" s="147" t="s">
        <v>312</v>
      </c>
      <c r="C44" s="147" t="s">
        <v>12</v>
      </c>
      <c r="D44" s="232" t="s">
        <v>47</v>
      </c>
      <c r="E44" s="233" t="s">
        <v>57</v>
      </c>
      <c r="F44" s="234" t="s">
        <v>48</v>
      </c>
      <c r="G44" s="3"/>
      <c r="H44" s="3"/>
      <c r="I44" s="3"/>
      <c r="J44" s="464"/>
      <c r="K44" s="464"/>
      <c r="L44" s="464"/>
      <c r="M44" s="464"/>
      <c r="N44" s="464"/>
      <c r="O44" s="464"/>
      <c r="P44" s="464"/>
      <c r="Q44" s="464"/>
    </row>
    <row r="45" spans="2:17" x14ac:dyDescent="0.2">
      <c r="B45" s="28" t="s">
        <v>298</v>
      </c>
      <c r="C45" s="28" t="s">
        <v>14</v>
      </c>
      <c r="D45" s="242">
        <f>'Shadow DCF'!D120</f>
        <v>2152.0786951684422</v>
      </c>
      <c r="E45" s="242">
        <f>'Shadow DCF'!E120</f>
        <v>2981.9705795200011</v>
      </c>
      <c r="F45" s="242">
        <f>'Shadow DCF'!F120</f>
        <v>3851.1786668199989</v>
      </c>
      <c r="G45" s="3"/>
      <c r="H45" s="3"/>
      <c r="I45" s="3"/>
      <c r="J45" s="464"/>
      <c r="K45" s="464"/>
      <c r="L45" s="464"/>
      <c r="M45" s="464"/>
      <c r="N45" s="464"/>
      <c r="O45" s="464"/>
      <c r="P45" s="464"/>
      <c r="Q45" s="464"/>
    </row>
    <row r="46" spans="2:17" x14ac:dyDescent="0.2">
      <c r="B46" s="5" t="s">
        <v>299</v>
      </c>
      <c r="C46" s="5" t="s">
        <v>14</v>
      </c>
      <c r="D46" s="178">
        <f>'Shadow DCF'!D121</f>
        <v>490.67394249840487</v>
      </c>
      <c r="E46" s="178">
        <f>'Shadow DCF'!E121</f>
        <v>817.05993878848039</v>
      </c>
      <c r="F46" s="178">
        <f>'Shadow DCF'!F121</f>
        <v>1232.3771733823996</v>
      </c>
      <c r="G46" s="3"/>
      <c r="H46" s="3"/>
      <c r="I46" s="3"/>
      <c r="J46" s="464"/>
      <c r="K46" s="464"/>
      <c r="L46" s="464"/>
      <c r="M46" s="464"/>
      <c r="N46" s="464"/>
      <c r="O46" s="464"/>
      <c r="P46" s="464"/>
      <c r="Q46" s="464"/>
    </row>
    <row r="47" spans="2:17" x14ac:dyDescent="0.2">
      <c r="B47" s="146" t="s">
        <v>300</v>
      </c>
      <c r="C47" s="146" t="s">
        <v>2</v>
      </c>
      <c r="D47" s="244">
        <f>'Shadow DCF'!D122</f>
        <v>0.22800000000000001</v>
      </c>
      <c r="E47" s="244">
        <f>'Shadow DCF'!E122</f>
        <v>0.27400000000000002</v>
      </c>
      <c r="F47" s="244">
        <f>'Shadow DCF'!F122</f>
        <v>0.32</v>
      </c>
      <c r="G47" s="341"/>
      <c r="H47" s="341"/>
      <c r="I47" s="341"/>
      <c r="J47" s="341"/>
      <c r="K47" s="341"/>
      <c r="L47" s="341"/>
      <c r="M47" s="341"/>
      <c r="N47" s="314"/>
      <c r="O47" s="314"/>
      <c r="P47" s="314"/>
      <c r="Q47" s="314"/>
    </row>
    <row r="48" spans="2:17" x14ac:dyDescent="0.2">
      <c r="B48" s="5" t="s">
        <v>301</v>
      </c>
      <c r="C48" s="5" t="s">
        <v>14</v>
      </c>
      <c r="D48" s="178">
        <f>'Shadow DCF'!D123</f>
        <v>251.88116568171171</v>
      </c>
      <c r="E48" s="178">
        <f>'Shadow DCF'!E123</f>
        <v>417.47394597688105</v>
      </c>
      <c r="F48" s="178">
        <f>'Shadow DCF'!F123</f>
        <v>580.9967833714461</v>
      </c>
      <c r="G48" s="3"/>
      <c r="H48" s="3"/>
      <c r="I48" s="3"/>
      <c r="J48" s="3"/>
      <c r="K48" s="3"/>
      <c r="L48" s="3"/>
      <c r="M48" s="3"/>
    </row>
    <row r="49" spans="2:13" x14ac:dyDescent="0.2">
      <c r="B49" s="5" t="s">
        <v>285</v>
      </c>
      <c r="C49" s="5" t="s">
        <v>14</v>
      </c>
      <c r="D49" s="178">
        <f>'Shadow DCF'!D124</f>
        <v>3436.3820870043801</v>
      </c>
      <c r="E49" s="178">
        <f>'Shadow DCF'!E124</f>
        <v>7019.0272609807498</v>
      </c>
      <c r="F49" s="178">
        <f>'Shadow DCF'!F124</f>
        <v>16784.698206844663</v>
      </c>
      <c r="G49" s="3"/>
      <c r="H49" s="3"/>
      <c r="I49" s="3"/>
      <c r="J49" s="3"/>
      <c r="K49" s="3"/>
      <c r="L49" s="3"/>
      <c r="M49" s="3"/>
    </row>
    <row r="50" spans="2:13" x14ac:dyDescent="0.2">
      <c r="B50" s="5" t="s">
        <v>286</v>
      </c>
      <c r="C50" s="5" t="s">
        <v>14</v>
      </c>
      <c r="D50" s="178">
        <f>'Shadow DCF'!D125</f>
        <v>5403.011533600451</v>
      </c>
      <c r="E50" s="178">
        <f>'Shadow DCF'!E125</f>
        <v>10065.115392395148</v>
      </c>
      <c r="F50" s="178">
        <f>'Shadow DCF'!F125</f>
        <v>18454.99425349891</v>
      </c>
      <c r="G50" s="3"/>
      <c r="H50" s="3"/>
      <c r="I50" s="3"/>
      <c r="J50" s="3"/>
      <c r="K50" s="3"/>
      <c r="L50" s="3"/>
      <c r="M50" s="3"/>
    </row>
    <row r="51" spans="2:13" x14ac:dyDescent="0.2">
      <c r="B51" s="638"/>
      <c r="C51" s="638"/>
      <c r="D51" s="773"/>
      <c r="E51" s="773"/>
      <c r="F51" s="773"/>
      <c r="G51" s="3"/>
      <c r="H51" s="3"/>
      <c r="I51" s="3"/>
      <c r="J51" s="3"/>
      <c r="K51" s="3"/>
      <c r="L51" s="3"/>
      <c r="M51" s="3"/>
    </row>
    <row r="52" spans="2:13" x14ac:dyDescent="0.2">
      <c r="B52" s="147" t="s">
        <v>795</v>
      </c>
      <c r="C52" s="147"/>
      <c r="D52" s="147"/>
      <c r="E52" s="147"/>
      <c r="F52" s="147"/>
      <c r="G52" s="147"/>
      <c r="H52" s="3"/>
      <c r="I52" s="3"/>
      <c r="J52" s="3"/>
      <c r="K52" s="3"/>
      <c r="L52" s="3"/>
      <c r="M52" s="3"/>
    </row>
    <row r="53" spans="2:13" ht="15" customHeight="1" x14ac:dyDescent="0.2">
      <c r="B53" s="584" t="s">
        <v>794</v>
      </c>
      <c r="C53" s="584"/>
      <c r="D53" s="584"/>
      <c r="E53" s="584"/>
      <c r="F53" s="584"/>
      <c r="G53" s="584"/>
    </row>
    <row r="54" spans="2:13" x14ac:dyDescent="0.2">
      <c r="B54" s="584"/>
      <c r="C54" s="584"/>
      <c r="D54" s="584"/>
      <c r="E54" s="584"/>
      <c r="F54" s="584"/>
      <c r="G54" s="584"/>
    </row>
    <row r="55" spans="2:13" x14ac:dyDescent="0.2">
      <c r="B55" s="584"/>
      <c r="C55" s="584"/>
      <c r="D55" s="584"/>
      <c r="E55" s="584"/>
      <c r="F55" s="584"/>
      <c r="G55" s="584"/>
    </row>
    <row r="56" spans="2:13" x14ac:dyDescent="0.2">
      <c r="B56" s="584"/>
      <c r="C56" s="584"/>
      <c r="D56" s="584"/>
      <c r="E56" s="584"/>
      <c r="F56" s="584"/>
      <c r="G56" s="584"/>
    </row>
    <row r="57" spans="2:13" x14ac:dyDescent="0.2">
      <c r="B57" s="584"/>
      <c r="C57" s="584"/>
      <c r="D57" s="584"/>
      <c r="E57" s="584"/>
      <c r="F57" s="584"/>
      <c r="G57" s="584"/>
    </row>
    <row r="58" spans="2:13" x14ac:dyDescent="0.2">
      <c r="B58" s="584"/>
      <c r="C58" s="584"/>
      <c r="D58" s="584"/>
      <c r="E58" s="584"/>
      <c r="F58" s="584"/>
      <c r="G58" s="584"/>
    </row>
    <row r="59" spans="2:13" x14ac:dyDescent="0.2">
      <c r="B59" s="585"/>
      <c r="C59" s="584"/>
      <c r="D59" s="584"/>
      <c r="E59" s="584"/>
      <c r="F59" s="584"/>
      <c r="G59" s="584"/>
    </row>
    <row r="60" spans="2:13" ht="51" customHeight="1" x14ac:dyDescent="0.2">
      <c r="B60" s="748"/>
      <c r="C60" s="587"/>
      <c r="D60" s="587"/>
      <c r="E60" s="587"/>
      <c r="F60" s="586"/>
      <c r="G60" s="584"/>
    </row>
    <row r="61" spans="2:13" ht="11" customHeight="1" x14ac:dyDescent="0.2">
      <c r="B61" s="772"/>
      <c r="C61" s="463"/>
      <c r="D61" s="463"/>
      <c r="E61" s="463"/>
      <c r="F61" s="462"/>
      <c r="G61" s="461"/>
    </row>
    <row r="62" spans="2:13" x14ac:dyDescent="0.2">
      <c r="B62" s="379" t="s">
        <v>407</v>
      </c>
      <c r="C62" s="384" t="s">
        <v>12</v>
      </c>
      <c r="D62" s="380" t="s">
        <v>47</v>
      </c>
      <c r="E62" s="381" t="s">
        <v>57</v>
      </c>
      <c r="F62" s="382" t="s">
        <v>48</v>
      </c>
      <c r="H62" s="254"/>
      <c r="I62" s="254"/>
    </row>
    <row r="63" spans="2:13" x14ac:dyDescent="0.2">
      <c r="B63" s="146" t="s">
        <v>405</v>
      </c>
      <c r="C63" s="79" t="s">
        <v>36</v>
      </c>
      <c r="D63" s="378">
        <f>'Shadow DCF'!D128</f>
        <v>29.806226312071431</v>
      </c>
      <c r="E63" s="378">
        <f>'Shadow DCF'!E128</f>
        <v>54.167406300048754</v>
      </c>
      <c r="F63" s="378">
        <f>'Shadow DCF'!F128</f>
        <v>107.81253423180485</v>
      </c>
      <c r="H63" s="254"/>
      <c r="I63" s="254"/>
    </row>
    <row r="64" spans="2:13" x14ac:dyDescent="0.2">
      <c r="B64" s="146" t="s">
        <v>406</v>
      </c>
      <c r="C64" s="79" t="s">
        <v>36</v>
      </c>
      <c r="D64" s="378">
        <f>'Shadow DCF Rec'!D24</f>
        <v>38.39</v>
      </c>
      <c r="E64" s="378">
        <f>'Shadow DCF Rec'!E24</f>
        <v>60.07</v>
      </c>
      <c r="F64" s="378">
        <f>'Shadow DCF Rec'!F24</f>
        <v>105.57</v>
      </c>
      <c r="H64" s="254"/>
      <c r="I64" s="254"/>
    </row>
    <row r="65" spans="2:9" x14ac:dyDescent="0.2">
      <c r="B65" s="146" t="s">
        <v>403</v>
      </c>
      <c r="C65" s="79" t="s">
        <v>2</v>
      </c>
      <c r="D65" s="344">
        <f>IFERROR(D63/D64-1,"")</f>
        <v>-0.22359400072749591</v>
      </c>
      <c r="E65" s="344">
        <f>IFERROR(E63/E64-1,"")</f>
        <v>-9.826192275597212E-2</v>
      </c>
      <c r="F65" s="344">
        <f>IFERROR(F63/F64-1,"")</f>
        <v>2.1242154322296702E-2</v>
      </c>
      <c r="H65" s="254"/>
      <c r="I65" s="254"/>
    </row>
    <row r="67" spans="2:9" x14ac:dyDescent="0.2">
      <c r="B67" s="4"/>
      <c r="C67" s="256"/>
      <c r="F67" s="255"/>
    </row>
  </sheetData>
  <mergeCells count="2">
    <mergeCell ref="B53:G60"/>
    <mergeCell ref="J24:Q28"/>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4.9989318521683403E-2"/>
  </sheetPr>
  <dimension ref="A2:N35"/>
  <sheetViews>
    <sheetView showGridLines="0" workbookViewId="0">
      <selection activeCell="H18" sqref="H18:L18"/>
    </sheetView>
  </sheetViews>
  <sheetFormatPr baseColWidth="10" defaultColWidth="8.83203125" defaultRowHeight="14" x14ac:dyDescent="0.2"/>
  <cols>
    <col min="1" max="1" width="2.5" style="16" customWidth="1"/>
    <col min="2" max="2" width="12.5" style="16" customWidth="1"/>
    <col min="3" max="12" width="14.6640625" style="16" customWidth="1"/>
    <col min="13" max="13" width="2.5" style="16" customWidth="1"/>
    <col min="14" max="16384" width="8.83203125" style="16"/>
  </cols>
  <sheetData>
    <row r="2" spans="1:14" ht="19" customHeight="1" x14ac:dyDescent="0.2">
      <c r="B2" s="27" t="s">
        <v>55</v>
      </c>
    </row>
    <row r="3" spans="1:14" x14ac:dyDescent="0.2">
      <c r="B3" s="385" t="s">
        <v>589</v>
      </c>
    </row>
    <row r="5" spans="1:14" ht="20" customHeight="1" x14ac:dyDescent="0.2">
      <c r="A5"/>
      <c r="B5"/>
      <c r="C5" s="592" t="s">
        <v>412</v>
      </c>
      <c r="D5" s="592"/>
      <c r="E5" s="592"/>
      <c r="F5" s="592"/>
      <c r="G5" s="592"/>
      <c r="H5" s="592" t="s">
        <v>413</v>
      </c>
      <c r="I5" s="592"/>
      <c r="J5" s="592"/>
      <c r="K5" s="592"/>
      <c r="L5" s="592"/>
      <c r="M5"/>
      <c r="N5"/>
    </row>
    <row r="6" spans="1:14" ht="32" customHeight="1" x14ac:dyDescent="0.2">
      <c r="A6"/>
      <c r="B6" s="603" t="s">
        <v>411</v>
      </c>
      <c r="C6" s="593" t="s">
        <v>414</v>
      </c>
      <c r="D6" s="594"/>
      <c r="E6" s="594"/>
      <c r="F6" s="594"/>
      <c r="G6" s="594"/>
      <c r="H6" s="595" t="s">
        <v>415</v>
      </c>
      <c r="I6" s="596"/>
      <c r="J6" s="596"/>
      <c r="K6" s="596"/>
      <c r="L6" s="597"/>
      <c r="M6"/>
      <c r="N6"/>
    </row>
    <row r="7" spans="1:14" ht="38" customHeight="1" x14ac:dyDescent="0.2">
      <c r="A7"/>
      <c r="B7" s="604"/>
      <c r="C7" s="611" t="s">
        <v>769</v>
      </c>
      <c r="D7" s="612"/>
      <c r="E7" s="612"/>
      <c r="F7" s="612"/>
      <c r="G7" s="612"/>
      <c r="H7" s="589" t="s">
        <v>761</v>
      </c>
      <c r="I7" s="590"/>
      <c r="J7" s="590"/>
      <c r="K7" s="590"/>
      <c r="L7" s="591"/>
      <c r="M7"/>
      <c r="N7"/>
    </row>
    <row r="8" spans="1:14" ht="38" customHeight="1" x14ac:dyDescent="0.2">
      <c r="A8"/>
      <c r="B8" s="604"/>
      <c r="C8" s="611" t="s">
        <v>770</v>
      </c>
      <c r="D8" s="612"/>
      <c r="E8" s="612"/>
      <c r="F8" s="612"/>
      <c r="G8" s="612"/>
      <c r="H8" s="589" t="s">
        <v>762</v>
      </c>
      <c r="I8" s="590"/>
      <c r="J8" s="590"/>
      <c r="K8" s="590"/>
      <c r="L8" s="591"/>
      <c r="M8"/>
      <c r="N8"/>
    </row>
    <row r="9" spans="1:14" ht="38" customHeight="1" x14ac:dyDescent="0.2">
      <c r="A9"/>
      <c r="B9" s="604"/>
      <c r="C9" s="611" t="s">
        <v>771</v>
      </c>
      <c r="D9" s="612"/>
      <c r="E9" s="612"/>
      <c r="F9" s="612"/>
      <c r="G9" s="612"/>
      <c r="H9" s="589" t="s">
        <v>775</v>
      </c>
      <c r="I9" s="590"/>
      <c r="J9" s="590"/>
      <c r="K9" s="590"/>
      <c r="L9" s="591"/>
      <c r="M9"/>
      <c r="N9"/>
    </row>
    <row r="10" spans="1:14" ht="38" customHeight="1" x14ac:dyDescent="0.2">
      <c r="A10"/>
      <c r="B10" s="604"/>
      <c r="C10" s="611" t="s">
        <v>756</v>
      </c>
      <c r="D10" s="612"/>
      <c r="E10" s="612"/>
      <c r="F10" s="612"/>
      <c r="G10" s="612"/>
      <c r="H10" s="589" t="s">
        <v>773</v>
      </c>
      <c r="I10" s="590"/>
      <c r="J10" s="590"/>
      <c r="K10" s="590"/>
      <c r="L10" s="591"/>
      <c r="M10"/>
      <c r="N10"/>
    </row>
    <row r="11" spans="1:14" ht="38" customHeight="1" x14ac:dyDescent="0.2">
      <c r="A11"/>
      <c r="B11" s="604"/>
      <c r="C11" s="611" t="s">
        <v>772</v>
      </c>
      <c r="D11" s="612"/>
      <c r="E11" s="612"/>
      <c r="F11" s="612"/>
      <c r="G11" s="612"/>
      <c r="H11" s="589" t="s">
        <v>774</v>
      </c>
      <c r="I11" s="590"/>
      <c r="J11" s="590"/>
      <c r="K11" s="590"/>
      <c r="L11" s="591"/>
      <c r="M11"/>
      <c r="N11"/>
    </row>
    <row r="12" spans="1:14" ht="38" customHeight="1" x14ac:dyDescent="0.2">
      <c r="A12"/>
      <c r="B12" s="604"/>
      <c r="C12" s="611" t="s">
        <v>757</v>
      </c>
      <c r="D12" s="612"/>
      <c r="E12" s="612"/>
      <c r="F12" s="612"/>
      <c r="G12" s="612"/>
      <c r="H12" s="589"/>
      <c r="I12" s="590"/>
      <c r="J12" s="590"/>
      <c r="K12" s="590"/>
      <c r="L12" s="591"/>
      <c r="M12"/>
      <c r="N12"/>
    </row>
    <row r="13" spans="1:14" ht="38" customHeight="1" x14ac:dyDescent="0.2">
      <c r="A13"/>
      <c r="B13" s="604"/>
      <c r="C13" s="605"/>
      <c r="D13" s="606"/>
      <c r="E13" s="606"/>
      <c r="F13" s="606"/>
      <c r="G13" s="607"/>
      <c r="H13" s="608"/>
      <c r="I13" s="609"/>
      <c r="J13" s="609"/>
      <c r="K13" s="609"/>
      <c r="L13" s="610"/>
      <c r="M13"/>
      <c r="N13"/>
    </row>
    <row r="14" spans="1:14" ht="18" customHeight="1" x14ac:dyDescent="0.2">
      <c r="A14"/>
      <c r="B14"/>
      <c r="C14"/>
      <c r="D14"/>
      <c r="E14"/>
      <c r="F14"/>
      <c r="G14"/>
      <c r="H14"/>
      <c r="I14"/>
      <c r="J14"/>
      <c r="K14"/>
      <c r="L14"/>
      <c r="M14"/>
      <c r="N14"/>
    </row>
    <row r="15" spans="1:14" ht="32" customHeight="1" x14ac:dyDescent="0.2">
      <c r="A15"/>
      <c r="B15" s="603" t="s">
        <v>418</v>
      </c>
      <c r="C15" s="601" t="s">
        <v>416</v>
      </c>
      <c r="D15" s="602"/>
      <c r="E15" s="602"/>
      <c r="F15" s="602"/>
      <c r="G15" s="602"/>
      <c r="H15" s="598" t="s">
        <v>417</v>
      </c>
      <c r="I15" s="599"/>
      <c r="J15" s="599"/>
      <c r="K15" s="599"/>
      <c r="L15" s="600"/>
      <c r="M15"/>
      <c r="N15"/>
    </row>
    <row r="16" spans="1:14" ht="38" customHeight="1" x14ac:dyDescent="0.2">
      <c r="A16"/>
      <c r="B16" s="604"/>
      <c r="C16" s="613" t="s">
        <v>758</v>
      </c>
      <c r="D16" s="614"/>
      <c r="E16" s="614"/>
      <c r="F16" s="614"/>
      <c r="G16" s="614"/>
      <c r="H16" s="619" t="s">
        <v>763</v>
      </c>
      <c r="I16" s="620"/>
      <c r="J16" s="620"/>
      <c r="K16" s="620"/>
      <c r="L16" s="621"/>
      <c r="M16"/>
      <c r="N16"/>
    </row>
    <row r="17" spans="1:14" ht="38" customHeight="1" x14ac:dyDescent="0.2">
      <c r="A17"/>
      <c r="B17" s="604"/>
      <c r="C17" s="613" t="s">
        <v>759</v>
      </c>
      <c r="D17" s="614"/>
      <c r="E17" s="614"/>
      <c r="F17" s="614"/>
      <c r="G17" s="614"/>
      <c r="H17" s="619" t="s">
        <v>764</v>
      </c>
      <c r="I17" s="620"/>
      <c r="J17" s="620"/>
      <c r="K17" s="620"/>
      <c r="L17" s="621"/>
      <c r="M17"/>
      <c r="N17"/>
    </row>
    <row r="18" spans="1:14" ht="38" customHeight="1" x14ac:dyDescent="0.2">
      <c r="A18"/>
      <c r="B18" s="604"/>
      <c r="C18" s="613" t="s">
        <v>768</v>
      </c>
      <c r="D18" s="614"/>
      <c r="E18" s="614"/>
      <c r="F18" s="614"/>
      <c r="G18" s="614"/>
      <c r="H18" s="619" t="s">
        <v>765</v>
      </c>
      <c r="I18" s="620"/>
      <c r="J18" s="620"/>
      <c r="K18" s="620"/>
      <c r="L18" s="621"/>
      <c r="M18"/>
      <c r="N18"/>
    </row>
    <row r="19" spans="1:14" ht="38" customHeight="1" x14ac:dyDescent="0.2">
      <c r="A19"/>
      <c r="B19" s="604"/>
      <c r="C19" s="613" t="s">
        <v>760</v>
      </c>
      <c r="D19" s="614"/>
      <c r="E19" s="614"/>
      <c r="F19" s="614"/>
      <c r="G19" s="614"/>
      <c r="H19" s="619" t="s">
        <v>766</v>
      </c>
      <c r="I19" s="620"/>
      <c r="J19" s="620"/>
      <c r="K19" s="620"/>
      <c r="L19" s="621"/>
      <c r="M19"/>
      <c r="N19"/>
    </row>
    <row r="20" spans="1:14" ht="38" customHeight="1" x14ac:dyDescent="0.2">
      <c r="A20"/>
      <c r="B20" s="604"/>
      <c r="C20" s="613"/>
      <c r="D20" s="614"/>
      <c r="E20" s="614"/>
      <c r="F20" s="614"/>
      <c r="G20" s="614"/>
      <c r="H20" s="619" t="s">
        <v>767</v>
      </c>
      <c r="I20" s="620"/>
      <c r="J20" s="620"/>
      <c r="K20" s="620"/>
      <c r="L20" s="621"/>
      <c r="M20"/>
      <c r="N20"/>
    </row>
    <row r="21" spans="1:14" ht="38" customHeight="1" x14ac:dyDescent="0.2">
      <c r="A21"/>
      <c r="B21" s="604"/>
      <c r="C21" s="613"/>
      <c r="D21" s="614"/>
      <c r="E21" s="614"/>
      <c r="F21" s="614"/>
      <c r="G21" s="615"/>
      <c r="H21" s="619"/>
      <c r="I21" s="620"/>
      <c r="J21" s="620"/>
      <c r="K21" s="620"/>
      <c r="L21" s="621"/>
      <c r="M21"/>
      <c r="N21"/>
    </row>
    <row r="22" spans="1:14" ht="38" customHeight="1" x14ac:dyDescent="0.2">
      <c r="A22"/>
      <c r="B22" s="604"/>
      <c r="C22" s="616"/>
      <c r="D22" s="617"/>
      <c r="E22" s="617"/>
      <c r="F22" s="617"/>
      <c r="G22" s="618"/>
      <c r="H22" s="622"/>
      <c r="I22" s="623"/>
      <c r="J22" s="623"/>
      <c r="K22" s="623"/>
      <c r="L22" s="624"/>
      <c r="M22"/>
      <c r="N22"/>
    </row>
    <row r="23" spans="1:14" ht="18" customHeight="1" x14ac:dyDescent="0.2">
      <c r="A23"/>
      <c r="B23"/>
      <c r="C23"/>
      <c r="D23"/>
      <c r="E23"/>
      <c r="F23"/>
      <c r="G23"/>
      <c r="H23"/>
      <c r="I23"/>
      <c r="J23"/>
      <c r="K23"/>
      <c r="L23"/>
      <c r="M23"/>
      <c r="N23"/>
    </row>
    <row r="24" spans="1:14" ht="18" customHeight="1" x14ac:dyDescent="0.2">
      <c r="A24"/>
      <c r="B24"/>
      <c r="C24"/>
      <c r="D24"/>
      <c r="E24"/>
      <c r="F24"/>
      <c r="G24"/>
      <c r="H24"/>
      <c r="I24"/>
      <c r="J24"/>
      <c r="K24"/>
      <c r="L24"/>
      <c r="M24"/>
      <c r="N24"/>
    </row>
    <row r="25" spans="1:14" ht="18" customHeight="1" x14ac:dyDescent="0.2">
      <c r="A25"/>
      <c r="B25"/>
      <c r="C25"/>
      <c r="D25"/>
      <c r="E25"/>
      <c r="F25"/>
      <c r="G25"/>
      <c r="H25"/>
      <c r="I25"/>
      <c r="J25"/>
      <c r="K25"/>
      <c r="L25"/>
      <c r="M25"/>
      <c r="N25"/>
    </row>
    <row r="26" spans="1:14" ht="18" customHeight="1" x14ac:dyDescent="0.2">
      <c r="A26"/>
      <c r="B26"/>
      <c r="C26"/>
      <c r="D26"/>
      <c r="E26"/>
      <c r="F26"/>
      <c r="G26"/>
      <c r="H26"/>
      <c r="I26"/>
      <c r="J26"/>
      <c r="K26"/>
      <c r="L26"/>
      <c r="M26"/>
      <c r="N26"/>
    </row>
    <row r="27" spans="1:14" ht="18" customHeight="1" x14ac:dyDescent="0.2">
      <c r="A27"/>
      <c r="B27"/>
      <c r="C27"/>
      <c r="D27"/>
      <c r="E27"/>
      <c r="F27"/>
      <c r="G27"/>
      <c r="H27"/>
      <c r="I27"/>
      <c r="J27"/>
      <c r="K27"/>
      <c r="L27"/>
      <c r="M27"/>
      <c r="N27"/>
    </row>
    <row r="28" spans="1:14" ht="18" customHeight="1" x14ac:dyDescent="0.2">
      <c r="A28"/>
      <c r="B28"/>
      <c r="C28"/>
      <c r="D28"/>
      <c r="E28"/>
      <c r="F28"/>
      <c r="G28"/>
      <c r="H28"/>
      <c r="I28"/>
      <c r="J28"/>
      <c r="K28"/>
      <c r="L28"/>
      <c r="M28"/>
      <c r="N28"/>
    </row>
    <row r="29" spans="1:14" ht="18" customHeight="1" x14ac:dyDescent="0.2">
      <c r="A29"/>
      <c r="B29"/>
      <c r="C29"/>
      <c r="D29"/>
      <c r="E29"/>
      <c r="F29"/>
      <c r="G29"/>
      <c r="H29"/>
      <c r="I29"/>
      <c r="J29"/>
      <c r="K29"/>
      <c r="L29"/>
      <c r="M29"/>
      <c r="N29"/>
    </row>
    <row r="30" spans="1:14" ht="18" customHeight="1" x14ac:dyDescent="0.2">
      <c r="A30"/>
      <c r="B30"/>
      <c r="C30"/>
      <c r="D30"/>
      <c r="E30"/>
      <c r="F30"/>
      <c r="G30"/>
      <c r="H30"/>
      <c r="I30"/>
      <c r="J30"/>
      <c r="K30"/>
      <c r="L30"/>
      <c r="M30"/>
      <c r="N30"/>
    </row>
    <row r="31" spans="1:14" ht="15" x14ac:dyDescent="0.2">
      <c r="A31"/>
      <c r="B31"/>
      <c r="C31"/>
      <c r="D31"/>
      <c r="E31"/>
      <c r="F31"/>
      <c r="G31"/>
      <c r="H31"/>
      <c r="I31"/>
      <c r="J31"/>
      <c r="K31"/>
      <c r="L31"/>
      <c r="M31"/>
      <c r="N31"/>
    </row>
    <row r="32" spans="1:14" ht="15" x14ac:dyDescent="0.2">
      <c r="A32"/>
      <c r="B32"/>
      <c r="C32"/>
      <c r="D32"/>
      <c r="E32"/>
      <c r="F32"/>
      <c r="G32"/>
      <c r="H32"/>
      <c r="I32"/>
      <c r="J32"/>
      <c r="K32"/>
      <c r="L32"/>
      <c r="M32"/>
      <c r="N32"/>
    </row>
    <row r="33" spans="1:14" ht="15" x14ac:dyDescent="0.2">
      <c r="A33"/>
      <c r="B33"/>
      <c r="C33"/>
      <c r="D33"/>
      <c r="E33"/>
      <c r="F33"/>
      <c r="G33"/>
      <c r="H33"/>
      <c r="I33"/>
      <c r="J33"/>
      <c r="K33"/>
      <c r="L33"/>
      <c r="M33"/>
      <c r="N33"/>
    </row>
    <row r="34" spans="1:14" ht="15" x14ac:dyDescent="0.2">
      <c r="A34"/>
      <c r="B34"/>
      <c r="C34"/>
      <c r="D34"/>
      <c r="E34"/>
      <c r="F34"/>
      <c r="G34"/>
      <c r="H34"/>
      <c r="I34"/>
      <c r="J34"/>
      <c r="K34"/>
      <c r="L34"/>
      <c r="M34"/>
      <c r="N34"/>
    </row>
    <row r="35" spans="1:14" ht="15" x14ac:dyDescent="0.2">
      <c r="A35"/>
      <c r="B35"/>
      <c r="C35"/>
      <c r="D35"/>
      <c r="E35"/>
      <c r="F35"/>
      <c r="G35"/>
      <c r="H35"/>
      <c r="I35"/>
      <c r="J35"/>
      <c r="K35"/>
      <c r="L35"/>
      <c r="M35"/>
      <c r="N35"/>
    </row>
  </sheetData>
  <mergeCells count="36">
    <mergeCell ref="H21:L21"/>
    <mergeCell ref="H22:L22"/>
    <mergeCell ref="H16:L16"/>
    <mergeCell ref="H17:L17"/>
    <mergeCell ref="H18:L18"/>
    <mergeCell ref="H19:L19"/>
    <mergeCell ref="H20:L20"/>
    <mergeCell ref="C21:G21"/>
    <mergeCell ref="C22:G22"/>
    <mergeCell ref="C16:G16"/>
    <mergeCell ref="C17:G17"/>
    <mergeCell ref="C18:G18"/>
    <mergeCell ref="C19:G19"/>
    <mergeCell ref="C20:G20"/>
    <mergeCell ref="H15:L15"/>
    <mergeCell ref="C15:G15"/>
    <mergeCell ref="B6:B13"/>
    <mergeCell ref="B15:B22"/>
    <mergeCell ref="H10:L10"/>
    <mergeCell ref="H11:L11"/>
    <mergeCell ref="H12:L12"/>
    <mergeCell ref="C13:G13"/>
    <mergeCell ref="H13:L13"/>
    <mergeCell ref="C7:G7"/>
    <mergeCell ref="C8:G8"/>
    <mergeCell ref="C9:G9"/>
    <mergeCell ref="C10:G10"/>
    <mergeCell ref="C11:G11"/>
    <mergeCell ref="C12:G12"/>
    <mergeCell ref="H8:L8"/>
    <mergeCell ref="H9:L9"/>
    <mergeCell ref="C5:G5"/>
    <mergeCell ref="H5:L5"/>
    <mergeCell ref="C6:G6"/>
    <mergeCell ref="H6:L6"/>
    <mergeCell ref="H7:L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788D-0656-B549-BA4E-954FC7F52D9D}">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44" t="s">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O119"/>
  <sheetViews>
    <sheetView showGridLines="0" workbookViewId="0"/>
  </sheetViews>
  <sheetFormatPr baseColWidth="10" defaultColWidth="8.83203125" defaultRowHeight="14" outlineLevelRow="1" x14ac:dyDescent="0.2"/>
  <cols>
    <col min="1" max="1" width="2.6640625" style="16" customWidth="1"/>
    <col min="2" max="2" width="29.5" style="16" customWidth="1"/>
    <col min="3" max="3" width="8" style="16" customWidth="1"/>
    <col min="4" max="13" width="12" style="16" customWidth="1"/>
    <col min="14" max="14" width="4" style="16" customWidth="1"/>
    <col min="15" max="15" width="79.5" style="16" customWidth="1"/>
    <col min="16" max="20" width="8.83203125" style="16" customWidth="1"/>
    <col min="21" max="16384" width="8.83203125" style="16"/>
  </cols>
  <sheetData>
    <row r="1" spans="1:15" ht="15" x14ac:dyDescent="0.2">
      <c r="O1"/>
    </row>
    <row r="2" spans="1:15" ht="19" customHeight="1" x14ac:dyDescent="0.2">
      <c r="B2" s="20" t="s">
        <v>50</v>
      </c>
      <c r="O2"/>
    </row>
    <row r="3" spans="1:15" ht="15" x14ac:dyDescent="0.2">
      <c r="B3" s="14" t="s">
        <v>589</v>
      </c>
      <c r="O3"/>
    </row>
    <row r="4" spans="1:15" ht="15" x14ac:dyDescent="0.2">
      <c r="B4" s="14" t="s">
        <v>98</v>
      </c>
      <c r="O4"/>
    </row>
    <row r="5" spans="1:15" ht="15" x14ac:dyDescent="0.2">
      <c r="B5" s="14"/>
      <c r="O5"/>
    </row>
    <row r="6" spans="1:15" ht="15" x14ac:dyDescent="0.2">
      <c r="B6" s="14"/>
      <c r="O6"/>
    </row>
    <row r="7" spans="1:15" ht="15" customHeight="1" x14ac:dyDescent="0.2">
      <c r="B7" s="34" t="s">
        <v>80</v>
      </c>
      <c r="C7"/>
      <c r="D7"/>
      <c r="E7"/>
      <c r="F7"/>
      <c r="G7"/>
      <c r="H7"/>
      <c r="O7"/>
    </row>
    <row r="8" spans="1:15" ht="15" customHeight="1" x14ac:dyDescent="0.2">
      <c r="B8" s="62" t="s">
        <v>793</v>
      </c>
      <c r="C8"/>
      <c r="D8"/>
      <c r="E8"/>
      <c r="F8"/>
      <c r="G8"/>
      <c r="H8"/>
      <c r="O8"/>
    </row>
    <row r="9" spans="1:15" ht="15" customHeight="1" x14ac:dyDescent="0.2">
      <c r="B9" s="452" t="s">
        <v>56</v>
      </c>
      <c r="C9" s="453" t="s">
        <v>12</v>
      </c>
      <c r="D9" s="454" t="s">
        <v>99</v>
      </c>
      <c r="E9" s="454" t="s">
        <v>47</v>
      </c>
      <c r="F9" s="454" t="s">
        <v>57</v>
      </c>
      <c r="G9" s="454" t="s">
        <v>48</v>
      </c>
      <c r="H9" s="36" t="s">
        <v>58</v>
      </c>
      <c r="O9"/>
    </row>
    <row r="10" spans="1:15" ht="15" customHeight="1" x14ac:dyDescent="0.2">
      <c r="B10" s="75" t="s">
        <v>65</v>
      </c>
      <c r="C10" s="74"/>
      <c r="D10" s="74"/>
      <c r="E10" s="74"/>
      <c r="F10" s="74"/>
      <c r="G10" s="74"/>
      <c r="H10" s="451"/>
      <c r="O10"/>
    </row>
    <row r="11" spans="1:15" ht="15" customHeight="1" outlineLevel="1" x14ac:dyDescent="0.2">
      <c r="A11" s="69"/>
      <c r="B11" s="538" t="s">
        <v>431</v>
      </c>
      <c r="C11" s="79"/>
      <c r="D11" s="311"/>
      <c r="E11" s="311"/>
      <c r="F11" s="311"/>
      <c r="G11" s="311"/>
      <c r="H11" s="450"/>
      <c r="I11" s="313"/>
      <c r="J11" s="313"/>
      <c r="K11" s="313"/>
      <c r="L11" s="313"/>
      <c r="M11" s="313"/>
      <c r="N11" s="313"/>
      <c r="O11" s="314"/>
    </row>
    <row r="12" spans="1:15" ht="15" customHeight="1" outlineLevel="1" x14ac:dyDescent="0.2">
      <c r="B12" s="449" t="s">
        <v>446</v>
      </c>
      <c r="C12" s="79" t="s">
        <v>2</v>
      </c>
      <c r="D12" s="311">
        <v>0.01</v>
      </c>
      <c r="E12" s="311">
        <v>-0.02</v>
      </c>
      <c r="F12" s="311">
        <v>0.01</v>
      </c>
      <c r="G12" s="311">
        <v>0.04</v>
      </c>
      <c r="H12" s="312" t="s">
        <v>57</v>
      </c>
      <c r="I12" s="313"/>
      <c r="J12" s="313"/>
      <c r="K12" s="313"/>
      <c r="L12" s="313"/>
      <c r="M12" s="313"/>
      <c r="N12" s="313"/>
      <c r="O12" s="314"/>
    </row>
    <row r="13" spans="1:15" ht="15" customHeight="1" outlineLevel="1" x14ac:dyDescent="0.2">
      <c r="B13" s="449" t="s">
        <v>447</v>
      </c>
      <c r="C13" s="79" t="s">
        <v>2</v>
      </c>
      <c r="D13" s="311">
        <v>0.03</v>
      </c>
      <c r="E13" s="311">
        <v>0.01</v>
      </c>
      <c r="F13" s="311">
        <v>0.03</v>
      </c>
      <c r="G13" s="311">
        <v>0.06</v>
      </c>
      <c r="H13" s="312" t="s">
        <v>57</v>
      </c>
      <c r="I13" s="313"/>
      <c r="J13" s="313"/>
      <c r="K13" s="313"/>
      <c r="L13" s="313"/>
      <c r="M13" s="313"/>
      <c r="N13" s="313"/>
      <c r="O13" s="314"/>
    </row>
    <row r="14" spans="1:15" ht="15" customHeight="1" outlineLevel="1" x14ac:dyDescent="0.2">
      <c r="B14" s="538" t="s">
        <v>432</v>
      </c>
      <c r="C14" s="79"/>
      <c r="D14" s="311"/>
      <c r="E14" s="311"/>
      <c r="F14" s="311"/>
      <c r="G14" s="311"/>
      <c r="H14" s="450"/>
      <c r="I14" s="313"/>
      <c r="J14" s="313"/>
      <c r="K14" s="313"/>
      <c r="L14" s="313"/>
      <c r="M14" s="313"/>
      <c r="N14" s="313"/>
      <c r="O14" s="314"/>
    </row>
    <row r="15" spans="1:15" ht="15" customHeight="1" outlineLevel="1" x14ac:dyDescent="0.2">
      <c r="B15" s="449" t="s">
        <v>448</v>
      </c>
      <c r="C15" s="79" t="s">
        <v>2</v>
      </c>
      <c r="D15" s="311">
        <v>0.03</v>
      </c>
      <c r="E15" s="311">
        <v>-0.02</v>
      </c>
      <c r="F15" s="311">
        <v>0.03</v>
      </c>
      <c r="G15" s="311">
        <v>0.05</v>
      </c>
      <c r="H15" s="312" t="s">
        <v>57</v>
      </c>
      <c r="I15" s="313"/>
      <c r="J15" s="313"/>
      <c r="K15" s="313"/>
      <c r="L15" s="313"/>
      <c r="M15" s="313"/>
      <c r="N15" s="313"/>
      <c r="O15" s="314"/>
    </row>
    <row r="16" spans="1:15" ht="15" customHeight="1" outlineLevel="1" x14ac:dyDescent="0.2">
      <c r="B16" s="449" t="s">
        <v>449</v>
      </c>
      <c r="C16" s="79" t="s">
        <v>2</v>
      </c>
      <c r="D16" s="311">
        <v>0.02</v>
      </c>
      <c r="E16" s="311">
        <v>0.01</v>
      </c>
      <c r="F16" s="311">
        <v>0.02</v>
      </c>
      <c r="G16" s="311">
        <v>0.04</v>
      </c>
      <c r="H16" s="312" t="s">
        <v>57</v>
      </c>
      <c r="I16" s="313"/>
      <c r="J16" s="313"/>
      <c r="K16" s="313"/>
      <c r="L16" s="313"/>
      <c r="M16" s="313"/>
      <c r="N16" s="313"/>
      <c r="O16" s="314"/>
    </row>
    <row r="17" spans="1:15" ht="15" customHeight="1" outlineLevel="1" x14ac:dyDescent="0.2">
      <c r="B17" s="538" t="s">
        <v>437</v>
      </c>
      <c r="C17" s="79"/>
      <c r="D17" s="311"/>
      <c r="E17" s="311"/>
      <c r="F17" s="311"/>
      <c r="G17" s="311"/>
      <c r="H17" s="450"/>
      <c r="I17" s="313"/>
      <c r="J17" s="313"/>
      <c r="K17" s="313"/>
      <c r="L17" s="313"/>
      <c r="M17" s="313"/>
      <c r="N17" s="313"/>
      <c r="O17" s="314"/>
    </row>
    <row r="18" spans="1:15" ht="15" customHeight="1" outlineLevel="1" x14ac:dyDescent="0.2">
      <c r="B18" s="449" t="s">
        <v>450</v>
      </c>
      <c r="C18" s="79" t="s">
        <v>2</v>
      </c>
      <c r="D18" s="311">
        <v>0.03</v>
      </c>
      <c r="E18" s="311">
        <v>-0.05</v>
      </c>
      <c r="F18" s="311">
        <v>0.03</v>
      </c>
      <c r="G18" s="311">
        <v>0.08</v>
      </c>
      <c r="H18" s="312" t="s">
        <v>57</v>
      </c>
      <c r="I18" s="313"/>
      <c r="J18" s="313"/>
      <c r="K18" s="313"/>
      <c r="L18" s="313"/>
      <c r="M18" s="313"/>
      <c r="N18" s="313"/>
      <c r="O18" s="314"/>
    </row>
    <row r="19" spans="1:15" ht="15" customHeight="1" outlineLevel="1" x14ac:dyDescent="0.2">
      <c r="B19" s="449" t="s">
        <v>451</v>
      </c>
      <c r="C19" s="79" t="s">
        <v>2</v>
      </c>
      <c r="D19" s="311">
        <v>0.03</v>
      </c>
      <c r="E19" s="311">
        <v>0.01</v>
      </c>
      <c r="F19" s="311">
        <v>0.03</v>
      </c>
      <c r="G19" s="311">
        <v>0.08</v>
      </c>
      <c r="H19" s="312" t="s">
        <v>57</v>
      </c>
      <c r="I19" s="313"/>
      <c r="J19" s="313"/>
      <c r="K19" s="313"/>
      <c r="L19" s="313"/>
      <c r="M19" s="313"/>
      <c r="N19" s="313"/>
      <c r="O19" s="314"/>
    </row>
    <row r="20" spans="1:15" ht="15" customHeight="1" outlineLevel="1" x14ac:dyDescent="0.2">
      <c r="B20" s="448" t="s">
        <v>452</v>
      </c>
      <c r="C20" s="79" t="s">
        <v>2</v>
      </c>
      <c r="D20" s="311">
        <v>0.01</v>
      </c>
      <c r="E20" s="311">
        <v>-0.01</v>
      </c>
      <c r="F20" s="311">
        <v>0.01</v>
      </c>
      <c r="G20" s="311">
        <v>0.02</v>
      </c>
      <c r="H20" s="312" t="s">
        <v>57</v>
      </c>
      <c r="I20" s="313"/>
      <c r="J20" s="313"/>
      <c r="K20" s="313"/>
      <c r="L20" s="313"/>
      <c r="M20" s="313"/>
      <c r="N20" s="313"/>
      <c r="O20" s="314"/>
    </row>
    <row r="21" spans="1:15" ht="15" customHeight="1" x14ac:dyDescent="0.2">
      <c r="B21" s="75" t="s">
        <v>565</v>
      </c>
      <c r="C21" s="51"/>
      <c r="D21" s="70"/>
      <c r="E21" s="70"/>
      <c r="F21" s="70"/>
      <c r="G21" s="70"/>
      <c r="H21" s="77"/>
      <c r="O21"/>
    </row>
    <row r="22" spans="1:15" ht="15" outlineLevel="1" x14ac:dyDescent="0.2">
      <c r="A22" s="69"/>
      <c r="B22" s="78" t="s">
        <v>561</v>
      </c>
      <c r="C22" s="79" t="s">
        <v>2</v>
      </c>
      <c r="D22" s="311">
        <v>0.47499999999999998</v>
      </c>
      <c r="E22" s="311">
        <v>0.5</v>
      </c>
      <c r="F22" s="311">
        <v>0.47499999999999998</v>
      </c>
      <c r="G22" s="311">
        <v>0.45</v>
      </c>
      <c r="H22" s="312" t="s">
        <v>57</v>
      </c>
      <c r="I22" s="313"/>
      <c r="J22" s="313"/>
      <c r="K22" s="313"/>
      <c r="L22" s="313"/>
      <c r="M22" s="313"/>
      <c r="N22" s="313"/>
      <c r="O22" s="314"/>
    </row>
    <row r="23" spans="1:15" ht="15" outlineLevel="1" x14ac:dyDescent="0.2">
      <c r="B23" s="78" t="s">
        <v>559</v>
      </c>
      <c r="C23" s="79" t="s">
        <v>2</v>
      </c>
      <c r="D23" s="311">
        <v>3.7999999999999999E-2</v>
      </c>
      <c r="E23" s="311">
        <v>4.2000000000000003E-2</v>
      </c>
      <c r="F23" s="311">
        <v>3.7999999999999999E-2</v>
      </c>
      <c r="G23" s="311">
        <v>3.5000000000000003E-2</v>
      </c>
      <c r="H23" s="312" t="s">
        <v>57</v>
      </c>
      <c r="I23" s="313"/>
      <c r="J23" s="313"/>
      <c r="K23" s="313"/>
      <c r="L23" s="313"/>
      <c r="M23" s="313"/>
      <c r="N23" s="313"/>
      <c r="O23" s="314"/>
    </row>
    <row r="24" spans="1:15" ht="15" outlineLevel="1" x14ac:dyDescent="0.2">
      <c r="B24" s="78" t="s">
        <v>566</v>
      </c>
      <c r="C24" s="79" t="s">
        <v>2</v>
      </c>
      <c r="D24" s="311">
        <v>0.125</v>
      </c>
      <c r="E24" s="311">
        <v>0.13500000000000001</v>
      </c>
      <c r="F24" s="311">
        <v>0.125</v>
      </c>
      <c r="G24" s="311">
        <v>0.115</v>
      </c>
      <c r="H24" s="312" t="s">
        <v>57</v>
      </c>
      <c r="I24" s="313"/>
      <c r="J24" s="313"/>
      <c r="K24" s="313"/>
      <c r="L24" s="313"/>
      <c r="M24" s="313"/>
      <c r="N24" s="313"/>
      <c r="O24" s="314"/>
    </row>
    <row r="25" spans="1:15" ht="15" outlineLevel="1" x14ac:dyDescent="0.2">
      <c r="B25" s="78" t="s">
        <v>567</v>
      </c>
      <c r="C25" s="79" t="s">
        <v>2</v>
      </c>
      <c r="D25" s="311">
        <v>8.7999999999999995E-2</v>
      </c>
      <c r="E25" s="311">
        <v>9.5000000000000001E-2</v>
      </c>
      <c r="F25" s="311">
        <v>8.7999999999999995E-2</v>
      </c>
      <c r="G25" s="311">
        <v>0.08</v>
      </c>
      <c r="H25" s="312" t="s">
        <v>57</v>
      </c>
      <c r="I25" s="313"/>
      <c r="J25" s="313"/>
      <c r="K25" s="313"/>
      <c r="L25" s="313"/>
      <c r="M25" s="313"/>
      <c r="N25" s="313"/>
      <c r="O25" s="314"/>
    </row>
    <row r="26" spans="1:15" ht="15" outlineLevel="1" x14ac:dyDescent="0.2">
      <c r="B26" s="75" t="s">
        <v>588</v>
      </c>
      <c r="C26" s="640"/>
      <c r="D26" s="641"/>
      <c r="E26" s="641"/>
      <c r="F26" s="641"/>
      <c r="G26" s="641"/>
      <c r="H26" s="643"/>
      <c r="I26" s="313"/>
      <c r="J26" s="313"/>
      <c r="K26" s="313"/>
      <c r="L26" s="313"/>
      <c r="M26" s="313"/>
      <c r="N26" s="313"/>
      <c r="O26" s="314"/>
    </row>
    <row r="27" spans="1:15" ht="15" outlineLevel="1" x14ac:dyDescent="0.2">
      <c r="B27" s="78" t="s">
        <v>586</v>
      </c>
      <c r="C27" s="79" t="s">
        <v>62</v>
      </c>
      <c r="D27" s="647">
        <v>137.5</v>
      </c>
      <c r="E27" s="647">
        <v>145</v>
      </c>
      <c r="F27" s="647">
        <v>138</v>
      </c>
      <c r="G27" s="647">
        <v>130</v>
      </c>
      <c r="H27" s="312" t="s">
        <v>57</v>
      </c>
      <c r="I27" s="313"/>
      <c r="J27" s="313"/>
      <c r="K27" s="313"/>
      <c r="L27" s="313"/>
      <c r="M27" s="313"/>
      <c r="N27" s="313"/>
      <c r="O27" s="314"/>
    </row>
    <row r="28" spans="1:15" ht="15" outlineLevel="1" x14ac:dyDescent="0.2">
      <c r="B28" s="78" t="s">
        <v>587</v>
      </c>
      <c r="C28" s="79" t="s">
        <v>62</v>
      </c>
      <c r="D28" s="647">
        <v>65</v>
      </c>
      <c r="E28" s="647">
        <v>60</v>
      </c>
      <c r="F28" s="647">
        <v>62</v>
      </c>
      <c r="G28" s="647">
        <v>58</v>
      </c>
      <c r="H28" s="312" t="s">
        <v>57</v>
      </c>
      <c r="I28" s="313"/>
      <c r="J28" s="313"/>
      <c r="K28" s="313"/>
      <c r="L28" s="313"/>
      <c r="M28" s="313"/>
      <c r="N28" s="313"/>
      <c r="O28" s="314"/>
    </row>
    <row r="29" spans="1:15" ht="15" outlineLevel="1" x14ac:dyDescent="0.2">
      <c r="B29" s="78" t="s">
        <v>585</v>
      </c>
      <c r="C29" s="79" t="s">
        <v>62</v>
      </c>
      <c r="D29" s="647">
        <v>25</v>
      </c>
      <c r="E29" s="647">
        <v>30</v>
      </c>
      <c r="F29" s="647">
        <v>27</v>
      </c>
      <c r="G29" s="647">
        <v>32</v>
      </c>
      <c r="H29" s="312" t="s">
        <v>57</v>
      </c>
      <c r="I29" s="313"/>
      <c r="J29" s="313"/>
      <c r="K29" s="313"/>
      <c r="L29" s="313"/>
      <c r="M29" s="313"/>
      <c r="N29" s="313"/>
      <c r="O29" s="314"/>
    </row>
    <row r="30" spans="1:15" ht="15" x14ac:dyDescent="0.2">
      <c r="B30" s="75" t="s">
        <v>596</v>
      </c>
      <c r="C30" s="51"/>
      <c r="D30" s="70"/>
      <c r="E30" s="70"/>
      <c r="F30" s="70"/>
      <c r="G30" s="70"/>
      <c r="H30" s="77"/>
      <c r="O30"/>
    </row>
    <row r="31" spans="1:15" ht="15" x14ac:dyDescent="0.2">
      <c r="B31" s="78" t="s">
        <v>597</v>
      </c>
      <c r="C31" s="79" t="s">
        <v>2</v>
      </c>
      <c r="D31" s="311">
        <v>6.2E-2</v>
      </c>
      <c r="E31" s="311">
        <v>3.7999999999999999E-2</v>
      </c>
      <c r="F31" s="311">
        <v>4.2000000000000003E-2</v>
      </c>
      <c r="G31" s="311">
        <v>0.05</v>
      </c>
      <c r="H31" s="642" t="s">
        <v>57</v>
      </c>
      <c r="O31"/>
    </row>
    <row r="32" spans="1:15" ht="15" outlineLevel="1" x14ac:dyDescent="0.2">
      <c r="B32" s="78" t="s">
        <v>598</v>
      </c>
      <c r="C32" s="79" t="s">
        <v>2</v>
      </c>
      <c r="D32" s="311">
        <v>0.6</v>
      </c>
      <c r="E32" s="311">
        <v>0.3</v>
      </c>
      <c r="F32" s="311">
        <v>0.5</v>
      </c>
      <c r="G32" s="311">
        <v>0.7</v>
      </c>
      <c r="H32" s="312" t="s">
        <v>57</v>
      </c>
      <c r="I32" s="313"/>
      <c r="J32" s="313"/>
      <c r="K32" s="313"/>
      <c r="L32" s="313"/>
      <c r="M32" s="313"/>
      <c r="N32" s="313"/>
      <c r="O32" s="314"/>
    </row>
    <row r="33" spans="1:15" ht="15" outlineLevel="1" x14ac:dyDescent="0.2">
      <c r="B33" s="80" t="s">
        <v>788</v>
      </c>
      <c r="C33" s="81" t="s">
        <v>14</v>
      </c>
      <c r="D33" s="647">
        <v>135</v>
      </c>
      <c r="E33" s="647">
        <v>50</v>
      </c>
      <c r="F33" s="647">
        <v>100</v>
      </c>
      <c r="G33" s="647">
        <v>200</v>
      </c>
      <c r="H33" s="312" t="s">
        <v>57</v>
      </c>
      <c r="I33" s="313"/>
      <c r="J33" s="313"/>
      <c r="K33" s="313"/>
      <c r="L33" s="313"/>
      <c r="M33" s="313"/>
      <c r="N33" s="313"/>
      <c r="O33" s="314"/>
    </row>
    <row r="34" spans="1:15" ht="15" x14ac:dyDescent="0.2">
      <c r="B34" s="75" t="s">
        <v>226</v>
      </c>
      <c r="C34" s="51"/>
      <c r="D34" s="70"/>
      <c r="E34" s="70"/>
      <c r="F34" s="70"/>
      <c r="G34" s="70"/>
      <c r="H34" s="76"/>
      <c r="O34"/>
    </row>
    <row r="35" spans="1:15" ht="15" outlineLevel="1" x14ac:dyDescent="0.2">
      <c r="A35" s="69"/>
      <c r="B35" s="78" t="s">
        <v>19</v>
      </c>
      <c r="C35" s="79" t="s">
        <v>2</v>
      </c>
      <c r="D35" s="311">
        <v>2.5000000000000001E-2</v>
      </c>
      <c r="E35" s="311">
        <v>0.02</v>
      </c>
      <c r="F35" s="311">
        <v>2.5000000000000001E-2</v>
      </c>
      <c r="G35" s="311">
        <v>0.03</v>
      </c>
      <c r="H35" s="312" t="s">
        <v>57</v>
      </c>
      <c r="I35" s="313"/>
      <c r="J35" s="313"/>
      <c r="K35" s="313"/>
      <c r="L35" s="313"/>
      <c r="M35" s="313"/>
      <c r="N35" s="313"/>
      <c r="O35" s="314"/>
    </row>
    <row r="36" spans="1:15" outlineLevel="1" x14ac:dyDescent="0.2">
      <c r="B36" s="80" t="s">
        <v>227</v>
      </c>
      <c r="C36" s="81" t="s">
        <v>4</v>
      </c>
      <c r="D36" s="82">
        <v>17.600000000000001</v>
      </c>
      <c r="E36" s="82">
        <v>13</v>
      </c>
      <c r="F36" s="82">
        <v>15</v>
      </c>
      <c r="G36" s="82">
        <v>18</v>
      </c>
      <c r="H36" s="35" t="s">
        <v>57</v>
      </c>
      <c r="I36" s="72"/>
      <c r="J36" s="72"/>
      <c r="K36" s="72"/>
      <c r="L36" s="72"/>
      <c r="M36" s="72"/>
      <c r="O36" s="73"/>
    </row>
    <row r="37" spans="1:15" ht="15" x14ac:dyDescent="0.2">
      <c r="B37" s="78" t="s">
        <v>11</v>
      </c>
      <c r="C37" s="79" t="s">
        <v>2</v>
      </c>
      <c r="D37" s="311">
        <v>0.107</v>
      </c>
      <c r="E37" s="311">
        <v>0.1</v>
      </c>
      <c r="F37" s="311">
        <v>0.08</v>
      </c>
      <c r="G37" s="311">
        <v>0.06</v>
      </c>
      <c r="H37" s="312" t="s">
        <v>57</v>
      </c>
      <c r="O37"/>
    </row>
    <row r="38" spans="1:15" ht="15" x14ac:dyDescent="0.2">
      <c r="B38" s="61"/>
      <c r="C38" s="71"/>
      <c r="O38"/>
    </row>
    <row r="39" spans="1:15" ht="15" customHeight="1" thickBot="1" x14ac:dyDescent="0.25">
      <c r="B39" s="99" t="s">
        <v>78</v>
      </c>
      <c r="C39" s="165" t="s">
        <v>12</v>
      </c>
      <c r="D39" s="166" t="str">
        <f>IF('Cover Page'!$C$63+0&lt;'Cover Page'!$C$64,"FY"&amp;TEXT(MOD('Cover Page'!$C$63+0,100),"00")&amp;"A","FY"&amp;TEXT(MOD('Cover Page'!$C$63+0,100),"00")&amp;"E")</f>
        <v>FY21A</v>
      </c>
      <c r="E39" s="166" t="str">
        <f>IF('Cover Page'!$C$63+1&lt;'Cover Page'!$C$64,"FY"&amp;TEXT(MOD('Cover Page'!$C$63+1,100),"00")&amp;"A","FY"&amp;TEXT(MOD('Cover Page'!$C$63+1,100),"00")&amp;"E")</f>
        <v>FY22A</v>
      </c>
      <c r="F39" s="166" t="str">
        <f>IF('Cover Page'!$C$63+2&lt;'Cover Page'!$C$64,"FY"&amp;TEXT(MOD('Cover Page'!$C$63+2,100),"00")&amp;"A","FY"&amp;TEXT(MOD('Cover Page'!$C$63+2,100),"00")&amp;"E")</f>
        <v>FY23A</v>
      </c>
      <c r="G39" s="166" t="str">
        <f>IF('Cover Page'!$C$63+3&lt;'Cover Page'!$C$64,"FY"&amp;TEXT(MOD('Cover Page'!$C$63+3,100),"00")&amp;"A","FY"&amp;TEXT(MOD('Cover Page'!$C$63+3,100),"00")&amp;"E")</f>
        <v>FY24A</v>
      </c>
      <c r="H39" s="166" t="str">
        <f>IF('Cover Page'!$C$63+4&lt;'Cover Page'!$C$64,"FY"&amp;TEXT(MOD('Cover Page'!$C$63+4,100),"00")&amp;"A","FY"&amp;TEXT(MOD('Cover Page'!$C$63+4,100),"00")&amp;"E")</f>
        <v>FY25A</v>
      </c>
      <c r="I39" s="167" t="str">
        <f>IF('Cover Page'!$C$63+5&lt;'Cover Page'!$C$64,"FY"&amp;TEXT(MOD('Cover Page'!$C$63+5,100),"00")&amp;"A","FY"&amp;TEXT(MOD('Cover Page'!$C$63+5,100),"00")&amp;"E")</f>
        <v>FY26E</v>
      </c>
      <c r="J39" s="167" t="str">
        <f>IF('Cover Page'!$C$63+6&lt;'Cover Page'!$C$64,"FY"&amp;TEXT(MOD('Cover Page'!$C$63+6,100),"00")&amp;"A","FY"&amp;TEXT(MOD('Cover Page'!$C$63+6,100),"00")&amp;"E")</f>
        <v>FY27E</v>
      </c>
      <c r="K39" s="167" t="str">
        <f>IF('Cover Page'!$C$63+7&lt;'Cover Page'!$C$64,"FY"&amp;TEXT(MOD('Cover Page'!$C$63+7,100),"00")&amp;"A","FY"&amp;TEXT(MOD('Cover Page'!$C$63+7,100),"00")&amp;"E")</f>
        <v>FY28E</v>
      </c>
      <c r="L39" s="167" t="str">
        <f>IF('Cover Page'!$C$63+8&lt;'Cover Page'!$C$64,"FY"&amp;TEXT(MOD('Cover Page'!$C$63+8,100),"00")&amp;"A","FY"&amp;TEXT(MOD('Cover Page'!$C$63+8,100),"00")&amp;"E")</f>
        <v>FY29E</v>
      </c>
      <c r="M39" s="167" t="str">
        <f>IF('Cover Page'!$C$63+9&lt;'Cover Page'!$C$64,"FY"&amp;TEXT(MOD('Cover Page'!$C$63+9,100),"00")&amp;"A","FY"&amp;TEXT(MOD('Cover Page'!$C$63+9,100),"00")&amp;"E")</f>
        <v>FY30E</v>
      </c>
      <c r="O39" s="13" t="s">
        <v>60</v>
      </c>
    </row>
    <row r="40" spans="1:15" ht="15" customHeight="1" x14ac:dyDescent="0.2">
      <c r="B40" s="83" t="s">
        <v>431</v>
      </c>
      <c r="C40" s="163" t="s">
        <v>14</v>
      </c>
      <c r="D40" s="575">
        <f>'Revenue Build'!D43</f>
        <v>987.6</v>
      </c>
      <c r="E40" s="575">
        <f>'Revenue Build'!E43</f>
        <v>999.1</v>
      </c>
      <c r="F40" s="575">
        <f>'Revenue Build'!F43</f>
        <v>985.7</v>
      </c>
      <c r="G40" s="575">
        <f>'Revenue Build'!G43</f>
        <v>988.9</v>
      </c>
      <c r="H40" s="575">
        <f>'Revenue Build'!H43</f>
        <v>1071.9000000000001</v>
      </c>
      <c r="I40" s="575">
        <f>'Revenue Build'!I43</f>
        <v>1125.4950000000001</v>
      </c>
      <c r="J40" s="575">
        <f>'Revenue Build'!J43</f>
        <v>1181.7697500000002</v>
      </c>
      <c r="K40" s="575">
        <f>'Revenue Build'!K43</f>
        <v>1240.8582375000003</v>
      </c>
      <c r="L40" s="575">
        <f>'Revenue Build'!L43</f>
        <v>1302.9011493750004</v>
      </c>
      <c r="M40" s="575">
        <f>'Revenue Build'!M43</f>
        <v>1368.0462068437505</v>
      </c>
      <c r="N40" s="313"/>
      <c r="O40" s="662" t="s">
        <v>749</v>
      </c>
    </row>
    <row r="41" spans="1:15" ht="15" customHeight="1" x14ac:dyDescent="0.2">
      <c r="A41" s="24"/>
      <c r="B41" s="19" t="s">
        <v>432</v>
      </c>
      <c r="C41" s="163" t="s">
        <v>14</v>
      </c>
      <c r="D41" s="576">
        <f>'Revenue Build'!D51</f>
        <v>864.6</v>
      </c>
      <c r="E41" s="576">
        <f>'Revenue Build'!E51</f>
        <v>972.7</v>
      </c>
      <c r="F41" s="576">
        <f>'Revenue Build'!F51</f>
        <v>1018.2</v>
      </c>
      <c r="G41" s="576">
        <f>'Revenue Build'!G51</f>
        <v>958</v>
      </c>
      <c r="H41" s="576">
        <f>'Revenue Build'!H51</f>
        <v>996.8</v>
      </c>
      <c r="I41" s="576">
        <f>'Revenue Build'!I51</f>
        <v>1056.6079999999999</v>
      </c>
      <c r="J41" s="576">
        <f>'Revenue Build'!J51</f>
        <v>1120.0044800000001</v>
      </c>
      <c r="K41" s="576">
        <f>'Revenue Build'!K51</f>
        <v>1187.2047488000001</v>
      </c>
      <c r="L41" s="576">
        <f>'Revenue Build'!L51</f>
        <v>1258.4370337280002</v>
      </c>
      <c r="M41" s="576">
        <f>'Revenue Build'!M51</f>
        <v>1333.9432557516802</v>
      </c>
      <c r="N41" s="24"/>
      <c r="O41" s="662"/>
    </row>
    <row r="42" spans="1:15" ht="15" customHeight="1" x14ac:dyDescent="0.2">
      <c r="B42" s="19" t="s">
        <v>437</v>
      </c>
      <c r="C42" s="163" t="s">
        <v>14</v>
      </c>
      <c r="D42" s="577">
        <f>'Revenue Build'!D59</f>
        <v>135.4</v>
      </c>
      <c r="E42" s="577">
        <f>'Revenue Build'!E59</f>
        <v>171.7</v>
      </c>
      <c r="F42" s="577">
        <f>'Revenue Build'!F59</f>
        <v>191.7</v>
      </c>
      <c r="G42" s="577">
        <f>'Revenue Build'!G59</f>
        <v>166.4</v>
      </c>
      <c r="H42" s="577">
        <f>'Revenue Build'!H59</f>
        <v>167.9</v>
      </c>
      <c r="I42" s="577">
        <f>'Revenue Build'!I59</f>
        <v>179.65300000000002</v>
      </c>
      <c r="J42" s="577">
        <f>'Revenue Build'!J59</f>
        <v>192.22871000000004</v>
      </c>
      <c r="K42" s="577">
        <f>'Revenue Build'!K59</f>
        <v>205.68471970000004</v>
      </c>
      <c r="L42" s="577">
        <f>'Revenue Build'!L59</f>
        <v>220.08265007900005</v>
      </c>
      <c r="M42" s="577">
        <f>'Revenue Build'!M59</f>
        <v>235.48843558453007</v>
      </c>
      <c r="N42" s="313"/>
      <c r="O42" s="662"/>
    </row>
    <row r="43" spans="1:15" ht="15" customHeight="1" x14ac:dyDescent="0.2">
      <c r="B43" s="168" t="s">
        <v>61</v>
      </c>
      <c r="C43" s="169" t="s">
        <v>14</v>
      </c>
      <c r="D43" s="578">
        <f>'Revenue Build'!D61</f>
        <v>1987.6000000000001</v>
      </c>
      <c r="E43" s="578">
        <f>'Revenue Build'!E61</f>
        <v>2143.5</v>
      </c>
      <c r="F43" s="578">
        <f>'Revenue Build'!F61</f>
        <v>2195.6</v>
      </c>
      <c r="G43" s="578">
        <f>'Revenue Build'!G61</f>
        <v>2113.3000000000002</v>
      </c>
      <c r="H43" s="578">
        <f>'Revenue Build'!H61</f>
        <v>2236.6</v>
      </c>
      <c r="I43" s="578">
        <f>'Revenue Build'!I61</f>
        <v>2361.7560000000003</v>
      </c>
      <c r="J43" s="578">
        <f>'Revenue Build'!J61</f>
        <v>2494.0029399999999</v>
      </c>
      <c r="K43" s="578">
        <f>'Revenue Build'!K61</f>
        <v>2633.7477060000006</v>
      </c>
      <c r="L43" s="578">
        <f>'Revenue Build'!L61</f>
        <v>2781.4208331820005</v>
      </c>
      <c r="M43" s="578">
        <f>'Revenue Build'!M61</f>
        <v>2937.4778981799609</v>
      </c>
      <c r="O43" s="662"/>
    </row>
    <row r="44" spans="1:15" s="761" customFormat="1" ht="15" customHeight="1" x14ac:dyDescent="0.2">
      <c r="A44" s="16"/>
      <c r="B44" s="763" t="s">
        <v>791</v>
      </c>
      <c r="C44" s="764"/>
      <c r="D44" s="765"/>
      <c r="E44" s="766">
        <f>(E43-D43)/D43</f>
        <v>7.843630509156764E-2</v>
      </c>
      <c r="F44" s="766">
        <f t="shared" ref="F44:M44" si="0">(F43-E43)/E43</f>
        <v>2.4306041520877029E-2</v>
      </c>
      <c r="G44" s="766">
        <f t="shared" si="0"/>
        <v>-3.7484059027145078E-2</v>
      </c>
      <c r="H44" s="766">
        <f t="shared" si="0"/>
        <v>5.8344768844934329E-2</v>
      </c>
      <c r="I44" s="766">
        <f t="shared" si="0"/>
        <v>5.5958150764553523E-2</v>
      </c>
      <c r="J44" s="766">
        <f t="shared" si="0"/>
        <v>5.5995174776733721E-2</v>
      </c>
      <c r="K44" s="766">
        <f t="shared" si="0"/>
        <v>5.6032318069360702E-2</v>
      </c>
      <c r="L44" s="766">
        <f t="shared" si="0"/>
        <v>5.6069579802796754E-2</v>
      </c>
      <c r="M44" s="766">
        <f t="shared" si="0"/>
        <v>5.6106959125429449E-2</v>
      </c>
      <c r="O44" s="762"/>
    </row>
    <row r="45" spans="1:15" ht="15" hidden="1" customHeight="1" outlineLevel="1" x14ac:dyDescent="0.2">
      <c r="B45" s="753"/>
      <c r="C45" s="754"/>
      <c r="D45" s="755"/>
      <c r="E45" s="755"/>
      <c r="F45" s="755"/>
      <c r="G45" s="755"/>
      <c r="H45" s="755"/>
      <c r="I45" s="755"/>
      <c r="J45" s="755"/>
      <c r="K45" s="755"/>
      <c r="L45" s="755"/>
      <c r="M45" s="755"/>
      <c r="O45" s="663"/>
    </row>
    <row r="46" spans="1:15" ht="15" hidden="1" customHeight="1" outlineLevel="1" x14ac:dyDescent="0.2">
      <c r="B46" s="756" t="s">
        <v>790</v>
      </c>
      <c r="C46" s="757"/>
      <c r="D46" s="758"/>
      <c r="E46" s="758"/>
      <c r="F46" s="758"/>
      <c r="G46" s="758"/>
      <c r="H46" s="758"/>
      <c r="I46" s="758"/>
      <c r="J46" s="758"/>
      <c r="K46" s="758"/>
      <c r="L46" s="758"/>
      <c r="M46" s="758"/>
      <c r="O46" s="663"/>
    </row>
    <row r="47" spans="1:15" ht="15" hidden="1" customHeight="1" outlineLevel="1" x14ac:dyDescent="0.2">
      <c r="B47" s="146" t="s">
        <v>431</v>
      </c>
      <c r="C47" s="759"/>
      <c r="D47" s="760">
        <f>D40/D$43</f>
        <v>0.49688066009257392</v>
      </c>
      <c r="E47" s="760">
        <f>E40/E$43</f>
        <v>0.46610683461628177</v>
      </c>
      <c r="F47" s="760">
        <f>F40/F$43</f>
        <v>0.44894334122791041</v>
      </c>
      <c r="G47" s="760">
        <f>G40/G$43</f>
        <v>0.46794113471821319</v>
      </c>
      <c r="H47" s="760">
        <f>H40/H$43</f>
        <v>0.47925422516319421</v>
      </c>
      <c r="I47" s="760">
        <f>I40/I$43</f>
        <v>0.47655007545233291</v>
      </c>
      <c r="J47" s="760">
        <f>J40/J$43</f>
        <v>0.47384456972612882</v>
      </c>
      <c r="K47" s="760">
        <f>K40/K$43</f>
        <v>0.47113785222220522</v>
      </c>
      <c r="L47" s="760">
        <f>L40/L$43</f>
        <v>0.4684300677666442</v>
      </c>
      <c r="M47" s="760">
        <f>M40/M$43</f>
        <v>0.46572136174756634</v>
      </c>
      <c r="O47" s="663"/>
    </row>
    <row r="48" spans="1:15" ht="15" hidden="1" customHeight="1" outlineLevel="1" x14ac:dyDescent="0.2">
      <c r="B48" s="146" t="s">
        <v>432</v>
      </c>
      <c r="C48" s="759"/>
      <c r="D48" s="760">
        <f>D41/D$43</f>
        <v>0.43499698128396053</v>
      </c>
      <c r="E48" s="760">
        <f t="shared" ref="E48:M48" si="1">E41/E$43</f>
        <v>0.45379052950781434</v>
      </c>
      <c r="F48" s="760">
        <f t="shared" si="1"/>
        <v>0.46374567316451087</v>
      </c>
      <c r="G48" s="760">
        <f t="shared" si="1"/>
        <v>0.45331945298821746</v>
      </c>
      <c r="H48" s="760">
        <f t="shared" si="1"/>
        <v>0.44567647321827775</v>
      </c>
      <c r="I48" s="760">
        <f t="shared" si="1"/>
        <v>0.44738237142194187</v>
      </c>
      <c r="J48" s="760">
        <f t="shared" si="1"/>
        <v>0.44907905361170108</v>
      </c>
      <c r="K48" s="760">
        <f t="shared" si="1"/>
        <v>0.45076631527590966</v>
      </c>
      <c r="L48" s="760">
        <f t="shared" si="1"/>
        <v>0.45244395192378112</v>
      </c>
      <c r="M48" s="760">
        <f t="shared" si="1"/>
        <v>0.45411175913125384</v>
      </c>
      <c r="O48" s="663"/>
    </row>
    <row r="49" spans="2:15" ht="15" hidden="1" outlineLevel="1" x14ac:dyDescent="0.2">
      <c r="B49" s="146" t="s">
        <v>437</v>
      </c>
      <c r="C49" s="79"/>
      <c r="D49" s="760">
        <f>D42/D$43</f>
        <v>6.8122358623465482E-2</v>
      </c>
      <c r="E49" s="760">
        <f t="shared" ref="E49:M49" si="2">E42/E$43</f>
        <v>8.0102635875903896E-2</v>
      </c>
      <c r="F49" s="760">
        <f t="shared" si="2"/>
        <v>8.7310985607578787E-2</v>
      </c>
      <c r="G49" s="760">
        <f t="shared" si="2"/>
        <v>7.8739412293569289E-2</v>
      </c>
      <c r="H49" s="760">
        <f t="shared" si="2"/>
        <v>7.5069301618528123E-2</v>
      </c>
      <c r="I49" s="760">
        <f t="shared" si="2"/>
        <v>7.6067553125725093E-2</v>
      </c>
      <c r="J49" s="760">
        <f t="shared" si="2"/>
        <v>7.7076376662170279E-2</v>
      </c>
      <c r="K49" s="760">
        <f t="shared" si="2"/>
        <v>7.8095832501885051E-2</v>
      </c>
      <c r="L49" s="760">
        <f t="shared" si="2"/>
        <v>7.9125980309574781E-2</v>
      </c>
      <c r="M49" s="760">
        <f t="shared" si="2"/>
        <v>8.0166879121179743E-2</v>
      </c>
      <c r="O49"/>
    </row>
    <row r="50" spans="2:15" ht="15" collapsed="1" x14ac:dyDescent="0.2">
      <c r="B50" s="161"/>
      <c r="C50" s="73"/>
      <c r="D50" s="173"/>
      <c r="E50" s="173"/>
      <c r="F50" s="173"/>
      <c r="G50" s="173"/>
      <c r="H50" s="173"/>
      <c r="I50" s="173"/>
      <c r="J50" s="173"/>
      <c r="K50" s="173"/>
      <c r="L50" s="173"/>
      <c r="M50" s="173"/>
      <c r="O50"/>
    </row>
    <row r="51" spans="2:15" ht="16" thickBot="1" x14ac:dyDescent="0.25">
      <c r="B51" s="84" t="s">
        <v>231</v>
      </c>
      <c r="C51" s="174"/>
      <c r="D51" s="175"/>
      <c r="E51" s="175"/>
      <c r="F51" s="175"/>
      <c r="G51" s="175"/>
      <c r="H51" s="175"/>
      <c r="I51" s="175"/>
      <c r="J51" s="175"/>
      <c r="K51" s="175"/>
      <c r="L51" s="175"/>
      <c r="M51" s="175"/>
      <c r="O51"/>
    </row>
    <row r="52" spans="2:15" x14ac:dyDescent="0.2">
      <c r="B52" s="67" t="s">
        <v>561</v>
      </c>
      <c r="C52" s="176" t="s">
        <v>2</v>
      </c>
      <c r="D52" s="317">
        <f>'Income Statement'!D16/'Income Statement'!D12</f>
        <v>0.4798249144697122</v>
      </c>
      <c r="E52" s="317">
        <f>'Income Statement'!E16/'Income Statement'!E12</f>
        <v>0.50669465826918592</v>
      </c>
      <c r="F52" s="317">
        <f>'Income Statement'!F16/'Income Statement'!F12</f>
        <v>0.47121515758790306</v>
      </c>
      <c r="G52" s="317">
        <f>'Income Statement'!G16/'Income Statement'!G12</f>
        <v>0.46888752188520316</v>
      </c>
      <c r="H52" s="317">
        <f>'Income Statement'!H16/'Income Statement'!H12</f>
        <v>0.4754538138245552</v>
      </c>
      <c r="I52" s="318">
        <f>H52</f>
        <v>0.4754538138245552</v>
      </c>
      <c r="J52" s="318">
        <f>H52+(INDEX($E$22:$G$22,MATCH($H$22,$E$9:$G$9,0))-H52)*1/4</f>
        <v>0.47534036036841643</v>
      </c>
      <c r="K52" s="318">
        <f>H52+(INDEX($E$22:$G$22,MATCH($H$22,$E$9:$G$9,0))-H52)*2/4</f>
        <v>0.47522690691227759</v>
      </c>
      <c r="L52" s="318">
        <f>H52+(INDEX($E$22:$G$22,MATCH($H$22,$E$9:$G$9,0))-H52)*3/4</f>
        <v>0.47511345345613876</v>
      </c>
      <c r="M52" s="318">
        <f>INDEX($E$22:$G$22,MATCH($H$22,$E$9:$G$9,0))</f>
        <v>0.47499999999999998</v>
      </c>
      <c r="N52" s="313"/>
      <c r="O52" s="627" t="s">
        <v>750</v>
      </c>
    </row>
    <row r="53" spans="2:15" x14ac:dyDescent="0.2">
      <c r="B53" s="170" t="s">
        <v>558</v>
      </c>
      <c r="C53" s="171"/>
      <c r="D53" s="321">
        <f>1-D52</f>
        <v>0.5201750855302878</v>
      </c>
      <c r="E53" s="321">
        <f t="shared" ref="E53:H53" si="3">1-E52</f>
        <v>0.49330534173081408</v>
      </c>
      <c r="F53" s="321">
        <f t="shared" si="3"/>
        <v>0.52878484241209689</v>
      </c>
      <c r="G53" s="321">
        <f t="shared" si="3"/>
        <v>0.53111247811479689</v>
      </c>
      <c r="H53" s="321">
        <f t="shared" si="3"/>
        <v>0.5245461861754448</v>
      </c>
      <c r="I53" s="321">
        <f>1-I52</f>
        <v>0.5245461861754448</v>
      </c>
      <c r="J53" s="321">
        <f>1-J52</f>
        <v>0.52465963963158357</v>
      </c>
      <c r="K53" s="321">
        <f t="shared" ref="K53:M53" si="4">1-K52</f>
        <v>0.52477309308772235</v>
      </c>
      <c r="L53" s="321">
        <f t="shared" si="4"/>
        <v>0.52488654654386124</v>
      </c>
      <c r="M53" s="321">
        <f t="shared" si="4"/>
        <v>0.52500000000000002</v>
      </c>
      <c r="N53" s="313"/>
      <c r="O53" s="627"/>
    </row>
    <row r="54" spans="2:15" x14ac:dyDescent="0.2">
      <c r="B54" s="78" t="s">
        <v>559</v>
      </c>
      <c r="C54" s="176" t="s">
        <v>2</v>
      </c>
      <c r="D54" s="317">
        <f>'Income Statement'!D21/'Income Statement'!D12</f>
        <v>4.0098611390621854E-2</v>
      </c>
      <c r="E54" s="317">
        <f>'Income Statement'!E21/'Income Statement'!E12</f>
        <v>3.7322136692325633E-2</v>
      </c>
      <c r="F54" s="317">
        <f>'Income Statement'!F21/'Income Statement'!F12</f>
        <v>3.7711787210785205E-2</v>
      </c>
      <c r="G54" s="317">
        <f>'Income Statement'!G21/'Income Statement'!G12</f>
        <v>4.1262480480764675E-2</v>
      </c>
      <c r="H54" s="317">
        <f>'Income Statement'!H21/'Income Statement'!H12</f>
        <v>3.6796923902351786E-2</v>
      </c>
      <c r="I54" s="318">
        <f>D23</f>
        <v>3.7999999999999999E-2</v>
      </c>
      <c r="J54" s="318">
        <f>H54+(INDEX($E$23:$G$23,MATCH($H$23,$E$9:$G$9,0))-H54)*1/4</f>
        <v>3.7097692926763841E-2</v>
      </c>
      <c r="K54" s="318">
        <f>H54+(INDEX($E$23:$G$23,MATCH($H$23,$E$9:$G$9,0))-H54)*2/4</f>
        <v>3.7398461951175896E-2</v>
      </c>
      <c r="L54" s="318">
        <f>H54+(INDEX($E$23:$G$23,MATCH($H$23,$E$9:$G$9,0))-H54)*3/4</f>
        <v>3.7699230975587944E-2</v>
      </c>
      <c r="M54" s="318">
        <f>INDEX($E$23:$G$23,MATCH($H$23,$E$9:$G$9,0))</f>
        <v>3.7999999999999999E-2</v>
      </c>
      <c r="N54" s="313"/>
      <c r="O54" s="627"/>
    </row>
    <row r="55" spans="2:15" x14ac:dyDescent="0.2">
      <c r="B55" s="78" t="s">
        <v>566</v>
      </c>
      <c r="C55" s="105" t="s">
        <v>2</v>
      </c>
      <c r="D55" s="317">
        <f>'Income Statement'!D23/'Income Statement'!D12</f>
        <v>0.13659690078486617</v>
      </c>
      <c r="E55" s="317">
        <f>'Income Statement'!E23/'Income Statement'!E12</f>
        <v>0.11705155120130628</v>
      </c>
      <c r="F55" s="317">
        <f>'Income Statement'!F23/'Income Statement'!F12</f>
        <v>0.11873747494989979</v>
      </c>
      <c r="G55" s="317">
        <f>'Income Statement'!G23/'Income Statement'!G12</f>
        <v>0.12951308380258361</v>
      </c>
      <c r="H55" s="317">
        <f>'Income Statement'!H23/'Income Statement'!H12</f>
        <v>0.12246266654743806</v>
      </c>
      <c r="I55" s="320">
        <f>D24</f>
        <v>0.125</v>
      </c>
      <c r="J55" s="320">
        <f>H55+(INDEX($E$24:$G$24,MATCH($H$24,$E$9:$G$9,0))-H55)*1/4</f>
        <v>0.12309699991057854</v>
      </c>
      <c r="K55" s="320">
        <f>H55+(INDEX($E$24:$G$24,MATCH($H$24,$E$9:$G$9,0))-H55)*2/4</f>
        <v>0.12373133327371903</v>
      </c>
      <c r="L55" s="320">
        <f>H55+(INDEX($E$24:$G$24,MATCH($H$24,$E$9:$G$9,0))-H55)*3/4</f>
        <v>0.12436566663685952</v>
      </c>
      <c r="M55" s="320">
        <f>INDEX($E$24:$G$24,MATCH($H$24,$E$9:$G$9,0))</f>
        <v>0.125</v>
      </c>
      <c r="N55" s="313"/>
      <c r="O55" s="627"/>
    </row>
    <row r="56" spans="2:15" x14ac:dyDescent="0.2">
      <c r="B56" s="78" t="s">
        <v>567</v>
      </c>
      <c r="C56" s="105" t="s">
        <v>2</v>
      </c>
      <c r="D56" s="317">
        <f>'Income Statement'!D25/'Income Statement'!D12</f>
        <v>7.6172268061984294E-2</v>
      </c>
      <c r="E56" s="317">
        <f>'Income Statement'!E25/'Income Statement'!E12</f>
        <v>7.1751807790996033E-2</v>
      </c>
      <c r="F56" s="317">
        <f>'Income Statement'!F25/'Income Statement'!F12</f>
        <v>7.80652213517945E-2</v>
      </c>
      <c r="G56" s="317">
        <f>'Income Statement'!G25/'Income Statement'!G12</f>
        <v>9.0569251880944487E-2</v>
      </c>
      <c r="H56" s="317">
        <f>'Income Statement'!H25/'Income Statement'!H12</f>
        <v>9.2193508003219168E-2</v>
      </c>
      <c r="I56" s="320">
        <f>D25</f>
        <v>8.7999999999999995E-2</v>
      </c>
      <c r="J56" s="320">
        <f>H56+(INDEX($E$25:$G$25,MATCH($H$25,$E$9:$G$9,0))-H56)*1/4</f>
        <v>9.1145131002414378E-2</v>
      </c>
      <c r="K56" s="320">
        <f>H56+(INDEX($E$25:$G$25,MATCH($H$25,$E$9:$G$9,0))-H56)*2/4</f>
        <v>9.0096754001609575E-2</v>
      </c>
      <c r="L56" s="320">
        <f>H56+(INDEX($E$25:$G$25,MATCH($H$25,$E$9:$G$9,0))-H56)*3/4</f>
        <v>8.9048377000804785E-2</v>
      </c>
      <c r="M56" s="320">
        <f>INDEX($E$25:$G$25,MATCH($H$25,$E$9:$G$9,0))</f>
        <v>8.7999999999999995E-2</v>
      </c>
      <c r="N56" s="313"/>
      <c r="O56" s="627"/>
    </row>
    <row r="57" spans="2:15" ht="15" customHeight="1" x14ac:dyDescent="0.2">
      <c r="B57" s="170" t="s">
        <v>568</v>
      </c>
      <c r="C57" s="171" t="s">
        <v>2</v>
      </c>
      <c r="D57" s="579">
        <f>'Income Statement'!D29/'Income Statement'!D12</f>
        <v>0.26730730529281549</v>
      </c>
      <c r="E57" s="579">
        <f>'Income Statement'!E29/'Income Statement'!E12</f>
        <v>0.26717984604618616</v>
      </c>
      <c r="F57" s="579">
        <f>'Income Statement'!F29/'Income Statement'!F12</f>
        <v>0.29463472399344143</v>
      </c>
      <c r="G57" s="579">
        <f>'Income Statement'!G29/'Income Statement'!G12</f>
        <v>0.269767661950504</v>
      </c>
      <c r="H57" s="579">
        <f>'Income Statement'!H29/'Income Statement'!H12</f>
        <v>0.27939729947241343</v>
      </c>
      <c r="I57" s="321">
        <f>1-I52-I54-I55-I56</f>
        <v>0.27354618617544479</v>
      </c>
      <c r="J57" s="321">
        <f>1-J52-J54-J55-J56</f>
        <v>0.27331981579182679</v>
      </c>
      <c r="K57" s="321">
        <f t="shared" ref="K57:M57" si="5">1-K52-K54-K55-K56</f>
        <v>0.27354654386121779</v>
      </c>
      <c r="L57" s="321">
        <f t="shared" si="5"/>
        <v>0.27377327193060896</v>
      </c>
      <c r="M57" s="321">
        <f t="shared" si="5"/>
        <v>0.27400000000000002</v>
      </c>
      <c r="N57" s="313"/>
      <c r="O57" s="627"/>
    </row>
    <row r="58" spans="2:15" ht="15" x14ac:dyDescent="0.2">
      <c r="B58" s="24"/>
      <c r="C58" s="24"/>
      <c r="D58" s="68"/>
      <c r="E58" s="68"/>
      <c r="F58" s="68"/>
      <c r="G58" s="68"/>
      <c r="H58" s="68"/>
      <c r="I58" s="68"/>
      <c r="J58" s="68"/>
      <c r="K58" s="68"/>
      <c r="L58" s="68"/>
      <c r="M58" s="68"/>
      <c r="O58"/>
    </row>
    <row r="59" spans="2:15" ht="15" x14ac:dyDescent="0.2">
      <c r="B59" s="535" t="s">
        <v>232</v>
      </c>
      <c r="C59"/>
      <c r="D59"/>
      <c r="E59"/>
      <c r="F59"/>
      <c r="G59"/>
      <c r="H59"/>
      <c r="I59"/>
      <c r="J59"/>
      <c r="K59"/>
      <c r="L59"/>
      <c r="M59"/>
      <c r="N59"/>
      <c r="O59"/>
    </row>
    <row r="60" spans="2:15" ht="16" thickBot="1" x14ac:dyDescent="0.25">
      <c r="B60" s="99" t="s">
        <v>228</v>
      </c>
      <c r="C60" s="165" t="s">
        <v>229</v>
      </c>
      <c r="D60" s="166" t="str">
        <f t="shared" ref="D60:M60" si="6">D39</f>
        <v>FY21A</v>
      </c>
      <c r="E60" s="166" t="str">
        <f t="shared" si="6"/>
        <v>FY22A</v>
      </c>
      <c r="F60" s="166" t="str">
        <f t="shared" si="6"/>
        <v>FY23A</v>
      </c>
      <c r="G60" s="166" t="str">
        <f t="shared" si="6"/>
        <v>FY24A</v>
      </c>
      <c r="H60" s="166" t="str">
        <f t="shared" si="6"/>
        <v>FY25A</v>
      </c>
      <c r="I60" s="167" t="str">
        <f t="shared" si="6"/>
        <v>FY26E</v>
      </c>
      <c r="J60" s="167" t="str">
        <f t="shared" si="6"/>
        <v>FY27E</v>
      </c>
      <c r="K60" s="167" t="str">
        <f t="shared" si="6"/>
        <v>FY28E</v>
      </c>
      <c r="L60" s="167" t="str">
        <f t="shared" si="6"/>
        <v>FY29E</v>
      </c>
      <c r="M60" s="167" t="str">
        <f t="shared" si="6"/>
        <v>FY30E</v>
      </c>
      <c r="N60"/>
      <c r="O60" s="648"/>
    </row>
    <row r="61" spans="2:15" ht="15" x14ac:dyDescent="0.2">
      <c r="B61" s="564" t="s">
        <v>569</v>
      </c>
      <c r="C61" s="565">
        <v>2.1999999999999999E-2</v>
      </c>
      <c r="D61" s="566">
        <v>150</v>
      </c>
      <c r="E61" s="566">
        <v>75</v>
      </c>
      <c r="F61" s="566">
        <v>0</v>
      </c>
      <c r="G61" s="566">
        <v>0</v>
      </c>
      <c r="H61" s="566">
        <v>1.6</v>
      </c>
      <c r="I61" s="567">
        <f t="shared" ref="I61:M63" si="7">H61</f>
        <v>1.6</v>
      </c>
      <c r="J61" s="567">
        <f t="shared" si="7"/>
        <v>1.6</v>
      </c>
      <c r="K61" s="567">
        <f t="shared" si="7"/>
        <v>1.6</v>
      </c>
      <c r="L61" s="567">
        <f t="shared" si="7"/>
        <v>1.6</v>
      </c>
      <c r="M61" s="567">
        <f t="shared" si="7"/>
        <v>1.6</v>
      </c>
      <c r="N61"/>
      <c r="O61" s="588" t="s">
        <v>751</v>
      </c>
    </row>
    <row r="62" spans="2:15" ht="15" x14ac:dyDescent="0.2">
      <c r="B62" s="511" t="s">
        <v>570</v>
      </c>
      <c r="C62" s="568">
        <v>2.7400000000000001E-2</v>
      </c>
      <c r="D62" s="541">
        <v>28</v>
      </c>
      <c r="E62" s="541">
        <v>28</v>
      </c>
      <c r="F62" s="541">
        <v>28</v>
      </c>
      <c r="G62" s="541">
        <v>28.5</v>
      </c>
      <c r="H62" s="541">
        <v>23.1</v>
      </c>
      <c r="I62" s="569">
        <f t="shared" si="7"/>
        <v>23.1</v>
      </c>
      <c r="J62" s="569">
        <f t="shared" si="7"/>
        <v>23.1</v>
      </c>
      <c r="K62" s="569">
        <f t="shared" si="7"/>
        <v>23.1</v>
      </c>
      <c r="L62" s="569">
        <f t="shared" si="7"/>
        <v>23.1</v>
      </c>
      <c r="M62" s="569">
        <f t="shared" si="7"/>
        <v>23.1</v>
      </c>
      <c r="N62"/>
      <c r="O62" s="588"/>
    </row>
    <row r="63" spans="2:15" ht="15" x14ac:dyDescent="0.2">
      <c r="B63" s="570" t="s">
        <v>571</v>
      </c>
      <c r="C63" s="568">
        <v>0.06</v>
      </c>
      <c r="D63" s="541">
        <v>0</v>
      </c>
      <c r="E63" s="541">
        <v>0</v>
      </c>
      <c r="F63" s="541">
        <v>0</v>
      </c>
      <c r="G63" s="541">
        <v>0</v>
      </c>
      <c r="H63" s="541">
        <v>0</v>
      </c>
      <c r="I63" s="569">
        <f t="shared" si="7"/>
        <v>0</v>
      </c>
      <c r="J63" s="569">
        <f t="shared" si="7"/>
        <v>0</v>
      </c>
      <c r="K63" s="569">
        <f t="shared" si="7"/>
        <v>0</v>
      </c>
      <c r="L63" s="569">
        <f t="shared" si="7"/>
        <v>0</v>
      </c>
      <c r="M63" s="569">
        <f t="shared" si="7"/>
        <v>0</v>
      </c>
      <c r="N63"/>
      <c r="O63" s="588"/>
    </row>
    <row r="64" spans="2:15" ht="15" customHeight="1" x14ac:dyDescent="0.2">
      <c r="B64" s="571" t="s">
        <v>572</v>
      </c>
      <c r="C64" s="5"/>
      <c r="D64" s="572">
        <f t="shared" ref="D64:M64" si="8">SUM(D61:D63)</f>
        <v>178</v>
      </c>
      <c r="E64" s="572">
        <f t="shared" si="8"/>
        <v>103</v>
      </c>
      <c r="F64" s="572">
        <f t="shared" si="8"/>
        <v>28</v>
      </c>
      <c r="G64" s="572">
        <f t="shared" si="8"/>
        <v>28.5</v>
      </c>
      <c r="H64" s="572">
        <f t="shared" si="8"/>
        <v>24.700000000000003</v>
      </c>
      <c r="I64" s="572">
        <f t="shared" si="8"/>
        <v>24.700000000000003</v>
      </c>
      <c r="J64" s="572">
        <f t="shared" si="8"/>
        <v>24.700000000000003</v>
      </c>
      <c r="K64" s="572">
        <f t="shared" si="8"/>
        <v>24.700000000000003</v>
      </c>
      <c r="L64" s="572">
        <f t="shared" si="8"/>
        <v>24.700000000000003</v>
      </c>
      <c r="M64" s="572">
        <f t="shared" si="8"/>
        <v>24.700000000000003</v>
      </c>
      <c r="N64"/>
      <c r="O64" s="588"/>
    </row>
    <row r="65" spans="2:15" ht="15" customHeight="1" x14ac:dyDescent="0.2">
      <c r="B65" s="3"/>
      <c r="C65" s="3"/>
      <c r="D65" s="3"/>
      <c r="E65" s="3"/>
      <c r="F65" s="3"/>
      <c r="G65" s="3"/>
      <c r="H65" s="3"/>
      <c r="I65" s="3"/>
      <c r="J65" s="3"/>
      <c r="K65" s="3"/>
      <c r="L65" s="3"/>
      <c r="M65" s="3"/>
      <c r="N65"/>
      <c r="O65"/>
    </row>
    <row r="66" spans="2:15" ht="15" customHeight="1" x14ac:dyDescent="0.2">
      <c r="B66" s="574" t="s">
        <v>573</v>
      </c>
      <c r="C66" s="49"/>
      <c r="D66" s="49"/>
      <c r="E66" s="49"/>
      <c r="F66" s="49"/>
      <c r="G66" s="49"/>
      <c r="H66" s="49"/>
      <c r="I66" s="49"/>
      <c r="J66" s="49"/>
      <c r="K66" s="49"/>
      <c r="L66" s="49"/>
      <c r="M66" s="49"/>
      <c r="N66"/>
      <c r="O66"/>
    </row>
    <row r="67" spans="2:15" ht="15" customHeight="1" x14ac:dyDescent="0.2">
      <c r="B67" s="573" t="s">
        <v>574</v>
      </c>
      <c r="C67" s="49"/>
      <c r="D67" s="543">
        <f>'Income Statement'!D33</f>
        <v>10.199999999999999</v>
      </c>
      <c r="E67" s="543">
        <f>'Income Statement'!E33</f>
        <v>9.9</v>
      </c>
      <c r="F67" s="543">
        <f>'Income Statement'!F33</f>
        <v>5.2</v>
      </c>
      <c r="G67" s="543">
        <f>'Income Statement'!G33</f>
        <v>2.8</v>
      </c>
      <c r="H67" s="543">
        <f>'Income Statement'!H33</f>
        <v>2.9</v>
      </c>
      <c r="I67" s="49"/>
      <c r="J67" s="49"/>
      <c r="K67" s="49"/>
      <c r="L67" s="49"/>
      <c r="M67" s="49"/>
      <c r="N67"/>
      <c r="O67" s="646"/>
    </row>
    <row r="68" spans="2:15" ht="15" customHeight="1" x14ac:dyDescent="0.2">
      <c r="B68" s="512" t="s">
        <v>575</v>
      </c>
      <c r="C68" s="5"/>
      <c r="D68" s="5"/>
      <c r="E68" s="5"/>
      <c r="F68" s="5"/>
      <c r="G68" s="5"/>
      <c r="H68" s="5"/>
      <c r="I68" s="569">
        <f>AVERAGE(H64,I64)*((I61*$C$61+I62*$C$62+I63*$C$63)/SUM(I61:I63))</f>
        <v>0.66814000000000007</v>
      </c>
      <c r="J68" s="569">
        <f>AVERAGE(I64,J64)*((J61*$C$61+J62*$C$62+J63*$C$63)/SUM(J61:J63))</f>
        <v>0.66814000000000007</v>
      </c>
      <c r="K68" s="569">
        <f>AVERAGE(J64,K64)*((K61*$C$61+K62*$C$62+K63*$C$63)/SUM(K61:K63))</f>
        <v>0.66814000000000007</v>
      </c>
      <c r="L68" s="569">
        <f>AVERAGE(K64,L64)*((L61*$C$61+L62*$C$62+L63*$C$63)/SUM(L61:L63))</f>
        <v>0.66814000000000007</v>
      </c>
      <c r="M68" s="569">
        <f>AVERAGE(L64,M64)*((M61*$C$61+M62*$C$62+M63*$C$63)/SUM(M61:M63))</f>
        <v>0.66814000000000007</v>
      </c>
      <c r="N68"/>
      <c r="O68" s="646"/>
    </row>
    <row r="69" spans="2:15" ht="15" customHeight="1" x14ac:dyDescent="0.2">
      <c r="B69" s="571" t="s">
        <v>230</v>
      </c>
      <c r="C69" s="5"/>
      <c r="D69" s="572">
        <f>D67</f>
        <v>10.199999999999999</v>
      </c>
      <c r="E69" s="572">
        <f>E67</f>
        <v>9.9</v>
      </c>
      <c r="F69" s="572">
        <f>F67</f>
        <v>5.2</v>
      </c>
      <c r="G69" s="572">
        <f>G67</f>
        <v>2.8</v>
      </c>
      <c r="H69" s="572">
        <f>H67</f>
        <v>2.9</v>
      </c>
      <c r="I69" s="572">
        <f>I68</f>
        <v>0.66814000000000007</v>
      </c>
      <c r="J69" s="572">
        <f>J68</f>
        <v>0.66814000000000007</v>
      </c>
      <c r="K69" s="572">
        <f>K68</f>
        <v>0.66814000000000007</v>
      </c>
      <c r="L69" s="572">
        <f>L68</f>
        <v>0.66814000000000007</v>
      </c>
      <c r="M69" s="572">
        <f>M68</f>
        <v>0.66814000000000007</v>
      </c>
      <c r="N69"/>
      <c r="O69" s="646"/>
    </row>
    <row r="70" spans="2:15" ht="15" customHeight="1" x14ac:dyDescent="0.2">
      <c r="B70"/>
      <c r="C70"/>
      <c r="D70"/>
      <c r="E70"/>
      <c r="F70"/>
      <c r="G70"/>
      <c r="H70"/>
      <c r="I70"/>
      <c r="J70"/>
      <c r="K70"/>
      <c r="L70"/>
      <c r="M70"/>
      <c r="N70"/>
      <c r="O70" s="646"/>
    </row>
    <row r="71" spans="2:15" ht="16" customHeight="1" thickBot="1" x14ac:dyDescent="0.25">
      <c r="B71" s="84" t="s">
        <v>233</v>
      </c>
      <c r="C71" s="85"/>
      <c r="D71" s="85"/>
      <c r="E71" s="85"/>
      <c r="F71" s="85"/>
      <c r="G71" s="85"/>
      <c r="H71" s="85"/>
      <c r="I71" s="85"/>
      <c r="J71" s="85"/>
      <c r="K71" s="85"/>
      <c r="L71" s="85"/>
      <c r="M71" s="85"/>
      <c r="O71" s="646"/>
    </row>
    <row r="72" spans="2:15" ht="14" customHeight="1" x14ac:dyDescent="0.2">
      <c r="B72" s="65" t="s">
        <v>110</v>
      </c>
      <c r="C72" s="65" t="s">
        <v>2</v>
      </c>
      <c r="D72" s="767">
        <f>'Income Statement'!D37</f>
        <v>0.13490658800393313</v>
      </c>
      <c r="E72" s="767">
        <f>'Income Statement'!E37</f>
        <v>0.18578751988686582</v>
      </c>
      <c r="F72" s="767">
        <f>'Income Statement'!F37</f>
        <v>0.16803547963206308</v>
      </c>
      <c r="G72" s="767">
        <f>'Income Statement'!G37</f>
        <v>0.17512302732054977</v>
      </c>
      <c r="H72" s="767">
        <f>'Income Statement'!H37</f>
        <v>0.18618431311398728</v>
      </c>
      <c r="I72" s="767">
        <f>'Income Statement'!I37</f>
        <v>0.19</v>
      </c>
      <c r="J72" s="767">
        <f>'Income Statement'!J37</f>
        <v>0.19</v>
      </c>
      <c r="K72" s="767">
        <f>'Income Statement'!K37</f>
        <v>0.19</v>
      </c>
      <c r="L72" s="767">
        <f>'Income Statement'!L37</f>
        <v>0.19</v>
      </c>
      <c r="M72" s="767">
        <f>'Income Statement'!M37</f>
        <v>0.19</v>
      </c>
      <c r="N72" s="313"/>
      <c r="O72" s="588" t="s">
        <v>752</v>
      </c>
    </row>
    <row r="73" spans="2:15" ht="15" customHeight="1" x14ac:dyDescent="0.2">
      <c r="B73" s="19" t="s">
        <v>111</v>
      </c>
      <c r="C73" s="22" t="s">
        <v>14</v>
      </c>
      <c r="D73" s="664">
        <f>D69</f>
        <v>10.199999999999999</v>
      </c>
      <c r="E73" s="664">
        <f>E69</f>
        <v>9.9</v>
      </c>
      <c r="F73" s="664">
        <f>F69</f>
        <v>5.2</v>
      </c>
      <c r="G73" s="664">
        <f>G69</f>
        <v>2.8</v>
      </c>
      <c r="H73" s="664">
        <f>H69</f>
        <v>2.9</v>
      </c>
      <c r="I73" s="664">
        <f t="shared" ref="I73:M73" si="9">I69</f>
        <v>0.66814000000000007</v>
      </c>
      <c r="J73" s="664">
        <f t="shared" si="9"/>
        <v>0.66814000000000007</v>
      </c>
      <c r="K73" s="664">
        <f t="shared" si="9"/>
        <v>0.66814000000000007</v>
      </c>
      <c r="L73" s="664">
        <f t="shared" si="9"/>
        <v>0.66814000000000007</v>
      </c>
      <c r="M73" s="664">
        <f t="shared" si="9"/>
        <v>0.66814000000000007</v>
      </c>
      <c r="O73" s="588"/>
    </row>
    <row r="74" spans="2:15" ht="15" customHeight="1" x14ac:dyDescent="0.2">
      <c r="B74" s="14"/>
      <c r="C74" s="14"/>
      <c r="D74" s="86"/>
      <c r="E74" s="86"/>
      <c r="F74" s="86"/>
      <c r="G74" s="86"/>
      <c r="H74" s="86"/>
      <c r="I74" s="87"/>
      <c r="J74" s="87"/>
      <c r="K74" s="87"/>
      <c r="L74" s="87"/>
      <c r="M74" s="87"/>
      <c r="O74" s="646"/>
    </row>
    <row r="75" spans="2:15" ht="16" customHeight="1" thickBot="1" x14ac:dyDescent="0.25">
      <c r="B75" s="92" t="s">
        <v>342</v>
      </c>
      <c r="C75" s="88"/>
      <c r="D75" s="89"/>
      <c r="E75" s="89"/>
      <c r="F75" s="89"/>
      <c r="G75" s="89"/>
      <c r="H75" s="89"/>
      <c r="I75" s="90"/>
      <c r="J75" s="90"/>
      <c r="K75" s="90"/>
      <c r="L75" s="90"/>
      <c r="M75" s="90"/>
      <c r="O75" s="646"/>
    </row>
    <row r="76" spans="2:15" ht="15" customHeight="1" x14ac:dyDescent="0.2">
      <c r="B76" s="644" t="s">
        <v>591</v>
      </c>
      <c r="C76" s="19" t="s">
        <v>62</v>
      </c>
      <c r="D76" s="673">
        <f>('Balance Sheet'!D11/'Income Statement'!D12)*365</f>
        <v>59.706771986315154</v>
      </c>
      <c r="E76" s="673">
        <f>('Balance Sheet'!E11/'Income Statement'!E12)*365</f>
        <v>58.919360858409135</v>
      </c>
      <c r="F76" s="673">
        <f>('Balance Sheet'!F11/'Income Statement'!F12)*365</f>
        <v>58.922497267261797</v>
      </c>
      <c r="G76" s="673">
        <f>('Balance Sheet'!G11/'Income Statement'!G12)*365</f>
        <v>62.615125632896408</v>
      </c>
      <c r="H76" s="673">
        <f>('Balance Sheet'!H11/'Income Statement'!H12)*365</f>
        <v>64.258179826522394</v>
      </c>
      <c r="I76" s="674">
        <f>H76+(INDEX($E$28:$G$28,MATCH($H$28,$E$9:$G$9,0))-H76)*1/5</f>
        <v>63.806543861217918</v>
      </c>
      <c r="J76" s="674">
        <f>H76+(INDEX($E$28:$G$28,MATCH($H$28,$E$9:$G$9,0))-H76)*2/5</f>
        <v>63.354907895913435</v>
      </c>
      <c r="K76" s="674">
        <f>H76+(INDEX($E$28:$G$28,MATCH($H$28,$E$9:$G$9,0))-H76)*3/5</f>
        <v>62.903271930608959</v>
      </c>
      <c r="L76" s="674">
        <f>H76+(INDEX($E$28:$G$28,MATCH($H$28,$E$9:$G$9,0))-H76)*4/5</f>
        <v>62.451635965304476</v>
      </c>
      <c r="M76" s="674">
        <f>INDEX($E$28:$G$28,MATCH($H$28,$E$9:$G$9,0))</f>
        <v>62</v>
      </c>
      <c r="O76" s="588" t="s">
        <v>753</v>
      </c>
    </row>
    <row r="77" spans="2:15" ht="15" customHeight="1" x14ac:dyDescent="0.2">
      <c r="B77" s="645" t="s">
        <v>592</v>
      </c>
      <c r="C77" s="19" t="s">
        <v>62</v>
      </c>
      <c r="D77" s="675">
        <f>('Balance Sheet'!D12/'Income Statement'!D16)*365</f>
        <v>146.31421306490509</v>
      </c>
      <c r="E77" s="675">
        <f>('Balance Sheet'!E12/'Income Statement'!E16)*365</f>
        <v>160.2323450879293</v>
      </c>
      <c r="F77" s="675">
        <f>('Balance Sheet'!F12/'Income Statement'!F16)*365</f>
        <v>154.64661221728204</v>
      </c>
      <c r="G77" s="675">
        <f>('Balance Sheet'!G12/'Income Statement'!G16)*365</f>
        <v>149.06321525885559</v>
      </c>
      <c r="H77" s="675">
        <f>('Balance Sheet'!H12/'Income Statement'!H16)*365</f>
        <v>137.68607297348126</v>
      </c>
      <c r="I77" s="676">
        <f>H77+(INDEX($E$27:$G$27,MATCH($H$27,$E$9:$G$9,0))-H77)*1/5</f>
        <v>137.748858378785</v>
      </c>
      <c r="J77" s="676">
        <f>H77+(INDEX($E$27:$G$27,MATCH($H$27,$E$9:$G$9,0))-H77)*2/5</f>
        <v>137.81164378408874</v>
      </c>
      <c r="K77" s="676">
        <f>H77+(INDEX($E$27:$G$27,MATCH($H$27,$E$9:$G$9,0))-H77)*3/5</f>
        <v>137.87442918939252</v>
      </c>
      <c r="L77" s="676">
        <f>H77+(INDEX($E$27:$G$27,MATCH($H$27,$E$9:$G$9,0))-H77)*4/5</f>
        <v>137.93721459469626</v>
      </c>
      <c r="M77" s="676">
        <f>INDEX($E$27:$G$27,MATCH($H$27,$E$9:$G$9,0))</f>
        <v>138</v>
      </c>
      <c r="O77" s="588"/>
    </row>
    <row r="78" spans="2:15" ht="15" customHeight="1" x14ac:dyDescent="0.2">
      <c r="B78" s="645" t="s">
        <v>593</v>
      </c>
      <c r="C78" s="19" t="s">
        <v>62</v>
      </c>
      <c r="D78" s="675">
        <f>('Balance Sheet'!D29/'Income Statement'!D16)*365</f>
        <v>30.017489776659325</v>
      </c>
      <c r="E78" s="675">
        <f>('Balance Sheet'!E29/'Income Statement'!E16)*365</f>
        <v>28.302706933063256</v>
      </c>
      <c r="F78" s="675">
        <f>('Balance Sheet'!F29/'Income Statement'!F16)*365</f>
        <v>25.476618983181908</v>
      </c>
      <c r="G78" s="675">
        <f>('Balance Sheet'!G29/'Income Statement'!G16)*365</f>
        <v>22.401695428398426</v>
      </c>
      <c r="H78" s="675">
        <f>('Balance Sheet'!H29/'Income Statement'!H16)*365</f>
        <v>26.969291893925138</v>
      </c>
      <c r="I78" s="676">
        <f>H78+(INDEX($E$29:$G$29,MATCH($H$29,$E$9:$G$9,0))-H78)*1/5</f>
        <v>26.975433515140111</v>
      </c>
      <c r="J78" s="676">
        <f>H78+(INDEX($E$29:$G$29,MATCH($H$29,$E$9:$G$9,0))-H78)*2/5</f>
        <v>26.981575136355083</v>
      </c>
      <c r="K78" s="676">
        <f>H78+(INDEX($E$29:$G$29,MATCH($H$29,$E$9:$G$9,0))-H78)*3/5</f>
        <v>26.987716757570055</v>
      </c>
      <c r="L78" s="676">
        <f>H78+(INDEX($E$29:$G$29,MATCH($H$29,$E$9:$G$9,0))-H78)*4/5</f>
        <v>26.993858378785028</v>
      </c>
      <c r="M78" s="676">
        <f>INDEX($E$29:$G$29,MATCH($H$29,$E$9:$G$9,0))</f>
        <v>27</v>
      </c>
      <c r="O78" s="588"/>
    </row>
    <row r="79" spans="2:15" ht="15" customHeight="1" x14ac:dyDescent="0.2">
      <c r="B79" s="645" t="s">
        <v>594</v>
      </c>
      <c r="C79" s="19" t="s">
        <v>62</v>
      </c>
      <c r="D79" s="675">
        <f>D76+D77-D78</f>
        <v>176.00349527456092</v>
      </c>
      <c r="E79" s="675">
        <f t="shared" ref="E79:H79" si="10">E76+E77-E78</f>
        <v>190.84899901327518</v>
      </c>
      <c r="F79" s="675">
        <f t="shared" si="10"/>
        <v>188.09249050136194</v>
      </c>
      <c r="G79" s="675">
        <f t="shared" si="10"/>
        <v>189.27664546335356</v>
      </c>
      <c r="H79" s="675">
        <f t="shared" si="10"/>
        <v>174.97496090607851</v>
      </c>
      <c r="I79" s="676">
        <f>I76+I77-I78</f>
        <v>174.57996872486282</v>
      </c>
      <c r="J79" s="676">
        <f>J76+J77-J78</f>
        <v>174.18497654364711</v>
      </c>
      <c r="K79" s="676">
        <f>K76+K77-K78</f>
        <v>173.78998436243143</v>
      </c>
      <c r="L79" s="676">
        <f>L76+L77-L78</f>
        <v>173.39499218121568</v>
      </c>
      <c r="M79" s="676">
        <f>M76+M77-M78</f>
        <v>173</v>
      </c>
      <c r="O79" s="588"/>
    </row>
    <row r="80" spans="2:15" ht="14" customHeight="1" x14ac:dyDescent="0.2">
      <c r="B80" s="67" t="s">
        <v>112</v>
      </c>
      <c r="C80" s="67" t="s">
        <v>2</v>
      </c>
      <c r="D80" s="324">
        <f>D81/'Income Statement'!D12</f>
        <v>6.7199637754075267E-2</v>
      </c>
      <c r="E80" s="324">
        <f>E81/'Income Statement'!E12</f>
        <v>9.3846979239561465E-2</v>
      </c>
      <c r="F80" s="324">
        <f>F81/'Income Statement'!F12</f>
        <v>8.4156950264164698E-2</v>
      </c>
      <c r="G80" s="324">
        <f>G81/'Income Statement'!G12</f>
        <v>5.050726352150664E-2</v>
      </c>
      <c r="H80" s="324">
        <f>H81/'Income Statement'!H12</f>
        <v>2.0418939461682911E-2</v>
      </c>
      <c r="I80" s="325">
        <v>6.2E-2</v>
      </c>
      <c r="J80" s="326">
        <f>I80+(INDEX($E$31:$G$31,MATCH($H$31,$E$9:$G$9,0))-I80)*1/4</f>
        <v>5.7000000000000002E-2</v>
      </c>
      <c r="K80" s="326">
        <f>I80+(INDEX($E$31:$G$31,MATCH($H$31,$E$9:$G$9,0))-I80)*2/4</f>
        <v>5.2000000000000005E-2</v>
      </c>
      <c r="L80" s="326">
        <f>I80+(INDEX($E$31:$G$31,MATCH($H$31,$E$9:$G$9,0))-I80)*3/4</f>
        <v>4.7E-2</v>
      </c>
      <c r="M80" s="326">
        <f>INDEX($E$31:$G$31,MATCH($H$31,$E$9:$G$9,0))</f>
        <v>4.2000000000000003E-2</v>
      </c>
      <c r="N80" s="313"/>
      <c r="O80" s="588"/>
    </row>
    <row r="81" spans="1:15" ht="15" customHeight="1" x14ac:dyDescent="0.2">
      <c r="B81" s="64" t="s">
        <v>590</v>
      </c>
      <c r="C81" s="64" t="s">
        <v>14</v>
      </c>
      <c r="D81" s="104">
        <f>-'Cash Flow'!D27</f>
        <v>133.566</v>
      </c>
      <c r="E81" s="104">
        <f>-'Cash Flow'!E27</f>
        <v>201.161</v>
      </c>
      <c r="F81" s="104">
        <f>-'Cash Flow'!F27</f>
        <v>184.77500000000001</v>
      </c>
      <c r="G81" s="104">
        <f>-'Cash Flow'!G27</f>
        <v>106.73699999999999</v>
      </c>
      <c r="H81" s="104">
        <f>-'Cash Flow'!H27</f>
        <v>45.668999999999997</v>
      </c>
      <c r="I81" s="272">
        <f>I80*'Income Statement'!I12</f>
        <v>146.42887200000001</v>
      </c>
      <c r="J81" s="272">
        <f>J80*'Income Statement'!J12</f>
        <v>142.15816758</v>
      </c>
      <c r="K81" s="272">
        <f>K80*'Income Statement'!K12</f>
        <v>136.95488071200003</v>
      </c>
      <c r="L81" s="272">
        <f>L80*'Income Statement'!L12</f>
        <v>130.72677915955401</v>
      </c>
      <c r="M81" s="272">
        <f>M80*'Income Statement'!M12</f>
        <v>123.37407172355836</v>
      </c>
      <c r="O81" s="588"/>
    </row>
    <row r="82" spans="1:15" ht="14" customHeight="1" x14ac:dyDescent="0.2">
      <c r="B82" s="18" t="s">
        <v>113</v>
      </c>
      <c r="C82" s="18" t="s">
        <v>2</v>
      </c>
      <c r="D82" s="315">
        <f>'Income Statement'!D54/'Income Statement'!D12</f>
        <v>1.2527671563694907E-2</v>
      </c>
      <c r="E82" s="315">
        <f>'Income Statement'!E54/'Income Statement'!E12</f>
        <v>1.1523209703755539E-2</v>
      </c>
      <c r="F82" s="315">
        <f>'Income Statement'!F54/'Income Statement'!F12</f>
        <v>1.375478229185644E-2</v>
      </c>
      <c r="G82" s="315">
        <f>'Income Statement'!G54/'Income Statement'!G12</f>
        <v>1.5094875313490748E-2</v>
      </c>
      <c r="H82" s="315">
        <f>'Income Statement'!H54/'Income Statement'!H12</f>
        <v>1.5335777519449163E-2</v>
      </c>
      <c r="I82" s="327">
        <f>H82</f>
        <v>1.5335777519449163E-2</v>
      </c>
      <c r="J82" s="327">
        <f>H82</f>
        <v>1.5335777519449163E-2</v>
      </c>
      <c r="K82" s="327">
        <f>H82</f>
        <v>1.5335777519449163E-2</v>
      </c>
      <c r="L82" s="327">
        <f>H82</f>
        <v>1.5335777519449163E-2</v>
      </c>
      <c r="M82" s="327">
        <f>H82</f>
        <v>1.5335777519449163E-2</v>
      </c>
      <c r="N82" s="313"/>
      <c r="O82" s="588"/>
    </row>
    <row r="83" spans="1:15" ht="15" x14ac:dyDescent="0.2">
      <c r="B83"/>
      <c r="C83"/>
      <c r="D83"/>
      <c r="E83"/>
      <c r="F83"/>
      <c r="G83"/>
      <c r="H83"/>
      <c r="I83"/>
      <c r="J83"/>
      <c r="K83"/>
      <c r="L83"/>
      <c r="M83"/>
      <c r="N83"/>
      <c r="O83"/>
    </row>
    <row r="84" spans="1:15" ht="16" customHeight="1" thickBot="1" x14ac:dyDescent="0.25">
      <c r="B84" s="93" t="s">
        <v>234</v>
      </c>
      <c r="C84" s="88"/>
      <c r="D84" s="91"/>
      <c r="E84" s="91"/>
      <c r="F84" s="91"/>
      <c r="G84" s="91"/>
      <c r="H84" s="91"/>
      <c r="I84" s="91"/>
      <c r="J84" s="91"/>
      <c r="K84" s="91"/>
      <c r="L84" s="91"/>
      <c r="M84" s="91"/>
      <c r="O84" s="4"/>
    </row>
    <row r="85" spans="1:15" ht="15" customHeight="1" x14ac:dyDescent="0.2">
      <c r="B85" s="19" t="s">
        <v>238</v>
      </c>
      <c r="C85" s="110" t="s">
        <v>130</v>
      </c>
      <c r="D85" s="108">
        <v>30</v>
      </c>
      <c r="E85" s="108">
        <v>30</v>
      </c>
      <c r="F85" s="108">
        <v>35</v>
      </c>
      <c r="G85" s="108">
        <v>50</v>
      </c>
      <c r="H85" s="108">
        <v>130</v>
      </c>
      <c r="I85" s="116">
        <f>'DCF &amp; Sensitivity'!D51</f>
        <v>80.760000000000005</v>
      </c>
      <c r="J85" s="273">
        <f>I85</f>
        <v>80.760000000000005</v>
      </c>
      <c r="K85" s="273">
        <f>J85</f>
        <v>80.760000000000005</v>
      </c>
      <c r="L85" s="273">
        <f>K85</f>
        <v>80.760000000000005</v>
      </c>
      <c r="M85" s="273">
        <f>L85</f>
        <v>80.760000000000005</v>
      </c>
      <c r="O85" s="588" t="s">
        <v>754</v>
      </c>
    </row>
    <row r="86" spans="1:15" ht="15" customHeight="1" x14ac:dyDescent="0.2">
      <c r="B86" s="19" t="s">
        <v>595</v>
      </c>
      <c r="C86" s="111" t="s">
        <v>2</v>
      </c>
      <c r="D86" s="315">
        <f>IFERROR(D87/'Cash Flow'!D52,0)</f>
        <v>0</v>
      </c>
      <c r="E86" s="315">
        <f>IFERROR(E87/'Cash Flow'!E52,0)</f>
        <v>1.5408063579236404</v>
      </c>
      <c r="F86" s="315">
        <f>IFERROR(F87/'Cash Flow'!F52,0)</f>
        <v>0.23474417463146324</v>
      </c>
      <c r="G86" s="315">
        <f>IFERROR(G87/'Cash Flow'!G52,0)</f>
        <v>6.4738752803280911E-2</v>
      </c>
      <c r="H86" s="315">
        <f>IFERROR(H87/'Cash Flow'!H52,0)</f>
        <v>0.70143085209554945</v>
      </c>
      <c r="I86" s="322">
        <f>D32</f>
        <v>0.6</v>
      </c>
      <c r="J86" s="322">
        <f>I86+(INDEX($E$32:$G$32,MATCH($H$32,$E$9:$G$9,0))-I86)*1/4</f>
        <v>0.57499999999999996</v>
      </c>
      <c r="K86" s="322">
        <f>I86+(INDEX($E$32:$G$32,MATCH($H$32,$E$9:$G$9,0))-I86)*2/4</f>
        <v>0.55000000000000004</v>
      </c>
      <c r="L86" s="322">
        <f>I86+(INDEX($E$32:$G$32,MATCH($H$32,$E$9:$G$9,0))-I86)*3/4</f>
        <v>0.52500000000000002</v>
      </c>
      <c r="M86" s="322">
        <f>INDEX($E$32:$G$32,MATCH($H$32,$E$9:$G$9,0))</f>
        <v>0.5</v>
      </c>
      <c r="N86" s="313"/>
      <c r="O86" s="588"/>
    </row>
    <row r="87" spans="1:15" ht="15" customHeight="1" x14ac:dyDescent="0.2">
      <c r="B87" s="19" t="s">
        <v>235</v>
      </c>
      <c r="C87" s="112" t="s">
        <v>14</v>
      </c>
      <c r="D87" s="101">
        <f>-'Cash Flow'!D37</f>
        <v>0</v>
      </c>
      <c r="E87" s="103">
        <f>-'Cash Flow'!E37</f>
        <v>233.42599999999999</v>
      </c>
      <c r="F87" s="103">
        <f>-'Cash Flow'!F37</f>
        <v>102.34399999999999</v>
      </c>
      <c r="G87" s="103">
        <f>-'Cash Flow'!G37</f>
        <v>31.35</v>
      </c>
      <c r="H87" s="103">
        <f>-'Cash Flow'!H37</f>
        <v>423.108</v>
      </c>
      <c r="I87" s="768">
        <f>I86*'Cash Flow'!I52</f>
        <v>285.76831826247223</v>
      </c>
      <c r="J87" s="768">
        <f>J86*'Cash Flow'!J52</f>
        <v>288.55535735532993</v>
      </c>
      <c r="K87" s="768">
        <f>K86*'Cash Flow'!K52</f>
        <v>293.54023602482795</v>
      </c>
      <c r="L87" s="768">
        <f>L86*'Cash Flow'!L52</f>
        <v>298.48570974587005</v>
      </c>
      <c r="M87" s="768">
        <f>M86*'Cash Flow'!M52</f>
        <v>303.27595924572199</v>
      </c>
      <c r="O87" s="588"/>
    </row>
    <row r="88" spans="1:15" x14ac:dyDescent="0.2">
      <c r="B88" s="19" t="s">
        <v>63</v>
      </c>
      <c r="C88" s="113" t="s">
        <v>14</v>
      </c>
      <c r="D88" s="101">
        <f>-'Cash Flow'!D39</f>
        <v>127.11</v>
      </c>
      <c r="E88" s="769">
        <f>-'Cash Flow'!E39</f>
        <v>142.125</v>
      </c>
      <c r="F88" s="769">
        <f>-'Cash Flow'!F39</f>
        <v>158.32300000000001</v>
      </c>
      <c r="G88" s="769">
        <f>-'Cash Flow'!G39</f>
        <v>172.08799999999999</v>
      </c>
      <c r="H88" s="769">
        <f>-'Cash Flow'!H39</f>
        <v>183.352</v>
      </c>
      <c r="I88" s="770">
        <f>H88*1.05</f>
        <v>192.51960000000003</v>
      </c>
      <c r="J88" s="770">
        <f>I88*1.05</f>
        <v>202.14558000000002</v>
      </c>
      <c r="K88" s="770">
        <f>J88*1.05</f>
        <v>212.25285900000003</v>
      </c>
      <c r="L88" s="770">
        <f>K88*1.05</f>
        <v>222.86550195000004</v>
      </c>
      <c r="M88" s="770">
        <f>L88*1.05</f>
        <v>234.00877704750005</v>
      </c>
      <c r="O88" s="588"/>
    </row>
    <row r="89" spans="1:15" x14ac:dyDescent="0.2">
      <c r="B89" s="19" t="s">
        <v>236</v>
      </c>
      <c r="C89" s="113" t="s">
        <v>34</v>
      </c>
      <c r="D89" s="102">
        <f>'Income Statement'!D42</f>
        <v>174.52600000000001</v>
      </c>
      <c r="E89" s="102">
        <f>'Income Statement'!E42</f>
        <v>172.893</v>
      </c>
      <c r="F89" s="102">
        <f>'Income Statement'!F42</f>
        <v>172.19900000000001</v>
      </c>
      <c r="G89" s="102">
        <f>'Income Statement'!G42</f>
        <v>172.405</v>
      </c>
      <c r="H89" s="102">
        <f>'Income Statement'!H42</f>
        <v>169.21899999999999</v>
      </c>
      <c r="I89" s="274">
        <f>H89-I87/I85+'Income Statement'!I54/I85</f>
        <v>166.12899314399149</v>
      </c>
      <c r="J89" s="274">
        <f>I89-J87/J85+'Income Statement'!J54/J85</f>
        <v>163.02958894470177</v>
      </c>
      <c r="K89" s="274">
        <f>J89-K87/K85+'Income Statement'!K54/K85</f>
        <v>159.89499673118948</v>
      </c>
      <c r="L89" s="274">
        <f>K89-L87/L85+'Income Statement'!L54/L85</f>
        <v>156.72720997214751</v>
      </c>
      <c r="M89" s="274">
        <f>L89-M87/M85+'Income Statement'!M54/M85</f>
        <v>153.52974276398834</v>
      </c>
      <c r="O89" s="588"/>
    </row>
    <row r="90" spans="1:15" x14ac:dyDescent="0.2">
      <c r="B90" s="109" t="s">
        <v>237</v>
      </c>
      <c r="C90" s="114" t="s">
        <v>2</v>
      </c>
      <c r="D90" s="316">
        <f>IFERROR((D87+D88)/'Cash Flow'!D52,0)</f>
        <v>0.42596043001528106</v>
      </c>
      <c r="E90" s="316">
        <f>IFERROR((E87+E88)/'Cash Flow'!E52,0)</f>
        <v>2.4789499392723222</v>
      </c>
      <c r="F90" s="316">
        <f>IFERROR((F87+F88)/'Cash Flow'!F52,0)</f>
        <v>0.59788614641463733</v>
      </c>
      <c r="G90" s="316">
        <f>IFERROR((G87+G88)/'Cash Flow'!G52,0)</f>
        <v>0.42010597744159045</v>
      </c>
      <c r="H90" s="316">
        <f>IFERROR((H87+H88)/'Cash Flow'!H52,0)</f>
        <v>1.0053928419265694</v>
      </c>
      <c r="I90" s="316">
        <f>IFERROR((I87+I88)/'Cash Flow'!I52,0)</f>
        <v>1.0042147173708209</v>
      </c>
      <c r="J90" s="316">
        <f>IFERROR((J87+J88)/'Cash Flow'!J52,0)</f>
        <v>0.97781251252898649</v>
      </c>
      <c r="K90" s="316">
        <f>IFERROR((K87+K88)/'Cash Flow'!K52,0)</f>
        <v>0.94769359741240422</v>
      </c>
      <c r="L90" s="316">
        <f>IFERROR((L87+L88)/'Cash Flow'!L52,0)</f>
        <v>0.91699326702563844</v>
      </c>
      <c r="M90" s="316">
        <f>IFERROR((M87+M88)/'Cash Flow'!M52,0)</f>
        <v>0.88580172597508811</v>
      </c>
      <c r="N90" s="313"/>
      <c r="O90" s="588"/>
    </row>
    <row r="91" spans="1:15" ht="15" x14ac:dyDescent="0.2">
      <c r="B91" s="96"/>
      <c r="C91" s="106"/>
      <c r="D91" s="107"/>
      <c r="E91" s="107"/>
      <c r="F91" s="107"/>
      <c r="G91" s="107"/>
      <c r="H91" s="107"/>
      <c r="I91" s="107"/>
      <c r="J91" s="107"/>
      <c r="K91" s="107"/>
      <c r="L91" s="107"/>
      <c r="M91" s="107"/>
      <c r="O91"/>
    </row>
    <row r="92" spans="1:15" ht="15" customHeight="1" x14ac:dyDescent="0.2">
      <c r="B92" s="66"/>
      <c r="C92" s="24"/>
      <c r="D92" s="68"/>
      <c r="E92" s="68"/>
      <c r="F92" s="68"/>
      <c r="G92" s="68"/>
      <c r="H92" s="68"/>
      <c r="I92" s="68"/>
      <c r="J92" s="68"/>
      <c r="K92" s="68"/>
      <c r="L92" s="68"/>
      <c r="M92" s="68"/>
      <c r="O92" s="588" t="s">
        <v>755</v>
      </c>
    </row>
    <row r="93" spans="1:15" ht="15" customHeight="1" thickBot="1" x14ac:dyDescent="0.25">
      <c r="A93" s="15"/>
      <c r="B93" s="93" t="s">
        <v>64</v>
      </c>
      <c r="C93" s="88"/>
      <c r="D93" s="95"/>
      <c r="O93" s="588"/>
    </row>
    <row r="94" spans="1:15" ht="15" x14ac:dyDescent="0.2">
      <c r="A94" s="24"/>
      <c r="B94" s="19" t="s">
        <v>114</v>
      </c>
      <c r="C94" s="66" t="s">
        <v>2</v>
      </c>
      <c r="D94" s="323">
        <v>4.3099999999999999E-2</v>
      </c>
      <c r="E94" s="313"/>
      <c r="F94" s="314"/>
      <c r="G94" s="313"/>
      <c r="H94" s="313"/>
      <c r="I94" s="313"/>
      <c r="J94" s="313"/>
      <c r="K94" s="313"/>
      <c r="L94" s="313"/>
      <c r="M94" s="313"/>
      <c r="N94" s="313"/>
      <c r="O94" s="588"/>
    </row>
    <row r="95" spans="1:15" ht="15" customHeight="1" x14ac:dyDescent="0.2">
      <c r="A95" s="24"/>
      <c r="B95" s="19" t="s">
        <v>3</v>
      </c>
      <c r="C95" s="19" t="s">
        <v>2</v>
      </c>
      <c r="D95" s="327">
        <v>5.5E-2</v>
      </c>
      <c r="E95" s="328"/>
      <c r="F95" s="314"/>
      <c r="G95" s="313"/>
      <c r="H95" s="313"/>
      <c r="I95" s="313"/>
      <c r="J95" s="313"/>
      <c r="K95" s="313"/>
      <c r="L95" s="313"/>
      <c r="M95" s="313"/>
      <c r="N95" s="313"/>
      <c r="O95" s="588"/>
    </row>
    <row r="96" spans="1:15" ht="15" customHeight="1" x14ac:dyDescent="0.2">
      <c r="A96" s="24"/>
      <c r="B96" s="66" t="s">
        <v>96</v>
      </c>
      <c r="C96" s="66" t="s">
        <v>4</v>
      </c>
      <c r="D96" s="94">
        <v>1.25</v>
      </c>
      <c r="E96" s="24"/>
      <c r="F96" s="24"/>
      <c r="N96" s="24"/>
      <c r="O96" s="588"/>
    </row>
    <row r="97" spans="1:15" ht="15" customHeight="1" x14ac:dyDescent="0.2">
      <c r="A97" s="24"/>
      <c r="B97" s="19" t="s">
        <v>115</v>
      </c>
      <c r="C97" s="19" t="s">
        <v>4</v>
      </c>
      <c r="D97" s="117">
        <f>D96*0.67+0.33</f>
        <v>1.1675</v>
      </c>
      <c r="E97" s="24"/>
      <c r="F97" s="24"/>
      <c r="N97" s="24"/>
      <c r="O97" s="588"/>
    </row>
    <row r="98" spans="1:15" ht="15" customHeight="1" x14ac:dyDescent="0.2">
      <c r="A98" s="24"/>
      <c r="B98" s="19" t="s">
        <v>116</v>
      </c>
      <c r="C98" s="19" t="s">
        <v>2</v>
      </c>
      <c r="D98" s="329">
        <f>D94+D97*D95</f>
        <v>0.10731250000000001</v>
      </c>
      <c r="E98" s="328"/>
      <c r="F98" s="328"/>
      <c r="G98" s="313"/>
      <c r="H98" s="313"/>
      <c r="I98" s="313"/>
      <c r="J98" s="313"/>
      <c r="K98" s="313"/>
      <c r="L98" s="313"/>
      <c r="M98" s="313"/>
      <c r="N98" s="328"/>
      <c r="O98" s="588"/>
    </row>
    <row r="99" spans="1:15" ht="15" customHeight="1" x14ac:dyDescent="0.2">
      <c r="A99" s="24"/>
      <c r="B99" s="19" t="s">
        <v>117</v>
      </c>
      <c r="C99" s="19" t="s">
        <v>2</v>
      </c>
      <c r="D99" s="330">
        <f>IFERROR(SUMPRODUCT($C$61:$C$63,H61:H63)/H64,0)</f>
        <v>2.7050202429149798E-2</v>
      </c>
      <c r="E99" s="328"/>
      <c r="F99" s="328"/>
      <c r="G99" s="313"/>
      <c r="H99" s="313"/>
      <c r="I99" s="313"/>
      <c r="J99" s="313"/>
      <c r="K99" s="313"/>
      <c r="L99" s="313"/>
      <c r="M99" s="313"/>
      <c r="N99" s="328"/>
      <c r="O99" s="588"/>
    </row>
    <row r="100" spans="1:15" ht="15" customHeight="1" x14ac:dyDescent="0.2">
      <c r="A100" s="24"/>
      <c r="B100" s="19" t="s">
        <v>118</v>
      </c>
      <c r="C100" s="19" t="s">
        <v>14</v>
      </c>
      <c r="D100" s="164">
        <f>H64</f>
        <v>24.700000000000003</v>
      </c>
      <c r="E100" s="24"/>
      <c r="F100" s="24"/>
      <c r="N100" s="24"/>
      <c r="O100" s="588"/>
    </row>
    <row r="101" spans="1:15" ht="15" customHeight="1" x14ac:dyDescent="0.2">
      <c r="A101" s="24"/>
      <c r="B101" s="19" t="s">
        <v>119</v>
      </c>
      <c r="C101" s="19" t="s">
        <v>14</v>
      </c>
      <c r="D101" s="101">
        <f>'Income Statement'!H42*'DCF &amp; Sensitivity'!D51</f>
        <v>13666.12644</v>
      </c>
      <c r="E101" s="24"/>
      <c r="F101" s="24"/>
      <c r="N101" s="24"/>
      <c r="O101" s="588"/>
    </row>
    <row r="102" spans="1:15" ht="15" customHeight="1" x14ac:dyDescent="0.2">
      <c r="A102" s="24"/>
      <c r="B102" s="19" t="s">
        <v>120</v>
      </c>
      <c r="C102" s="19" t="s">
        <v>2</v>
      </c>
      <c r="D102" s="329">
        <f>D100/(D100+D101)</f>
        <v>1.8041277572429734E-3</v>
      </c>
      <c r="E102" s="328"/>
      <c r="F102" s="328"/>
      <c r="G102" s="313"/>
      <c r="H102" s="313"/>
      <c r="I102" s="313"/>
      <c r="J102" s="313"/>
      <c r="K102" s="313"/>
      <c r="L102" s="313"/>
      <c r="M102" s="313"/>
      <c r="N102" s="328"/>
      <c r="O102" s="588"/>
    </row>
    <row r="103" spans="1:15" ht="15" customHeight="1" x14ac:dyDescent="0.2">
      <c r="A103" s="24"/>
      <c r="B103" s="19" t="s">
        <v>661</v>
      </c>
      <c r="C103" s="19" t="s">
        <v>2</v>
      </c>
      <c r="D103" s="329">
        <f>D101/(D101+D100)</f>
        <v>0.99819587224275697</v>
      </c>
      <c r="E103" s="328"/>
      <c r="F103" s="328"/>
      <c r="G103" s="313"/>
      <c r="H103" s="313"/>
      <c r="I103" s="313"/>
      <c r="J103" s="313"/>
      <c r="K103" s="313"/>
      <c r="L103" s="313"/>
      <c r="M103" s="313"/>
      <c r="N103" s="328"/>
      <c r="O103" s="588"/>
    </row>
    <row r="104" spans="1:15" ht="15" customHeight="1" x14ac:dyDescent="0.2">
      <c r="B104" s="19" t="s">
        <v>11</v>
      </c>
      <c r="C104" s="19" t="s">
        <v>2</v>
      </c>
      <c r="D104" s="329">
        <f>INDEX($E$37:$G$37,MATCH($H$37,$E$9:$G$9,0))</f>
        <v>0.08</v>
      </c>
      <c r="E104" s="313"/>
      <c r="F104" s="313"/>
      <c r="G104" s="313"/>
      <c r="H104" s="313"/>
      <c r="I104" s="313"/>
      <c r="J104" s="313"/>
      <c r="K104" s="313"/>
      <c r="L104" s="313"/>
      <c r="M104" s="313"/>
      <c r="N104" s="313"/>
      <c r="O104" s="588"/>
    </row>
    <row r="105" spans="1:15" ht="15" customHeight="1" x14ac:dyDescent="0.2">
      <c r="B105" s="19" t="s">
        <v>19</v>
      </c>
      <c r="C105" s="19" t="s">
        <v>2</v>
      </c>
      <c r="D105" s="270">
        <f>INDEX($E$35:$G$35,MATCH($H$35,$E$9:$G$9,0))</f>
        <v>2.5000000000000001E-2</v>
      </c>
      <c r="O105" s="588"/>
    </row>
    <row r="106" spans="1:15" ht="15" x14ac:dyDescent="0.2">
      <c r="B106" s="19" t="s">
        <v>59</v>
      </c>
      <c r="C106" s="19" t="s">
        <v>4</v>
      </c>
      <c r="D106" s="275">
        <f>INDEX($E$36:$G$36,MATCH($H$36,$E$9:$G$9,0))</f>
        <v>15</v>
      </c>
      <c r="E106" s="25"/>
      <c r="F106" s="25"/>
      <c r="O106"/>
    </row>
    <row r="107" spans="1:15" x14ac:dyDescent="0.2">
      <c r="B107" s="25"/>
      <c r="C107" s="25"/>
      <c r="D107" s="25"/>
      <c r="E107" s="25"/>
      <c r="F107" s="25"/>
      <c r="O107" s="25"/>
    </row>
    <row r="108" spans="1:15" ht="15" x14ac:dyDescent="0.2">
      <c r="B108" s="25"/>
      <c r="C108" s="25"/>
      <c r="D108" s="25"/>
      <c r="E108"/>
      <c r="F108"/>
      <c r="G108"/>
      <c r="H108"/>
      <c r="I108"/>
      <c r="J108"/>
      <c r="K108"/>
      <c r="L108"/>
      <c r="M108"/>
      <c r="N108"/>
      <c r="O108"/>
    </row>
    <row r="109" spans="1:15" ht="15" x14ac:dyDescent="0.2">
      <c r="B109"/>
      <c r="C109"/>
      <c r="D109"/>
      <c r="E109"/>
      <c r="F109"/>
      <c r="G109"/>
      <c r="H109"/>
      <c r="I109"/>
      <c r="J109"/>
      <c r="K109"/>
      <c r="L109"/>
      <c r="M109"/>
      <c r="N109"/>
      <c r="O109"/>
    </row>
    <row r="110" spans="1:15" ht="15" x14ac:dyDescent="0.2">
      <c r="B110"/>
      <c r="C110"/>
      <c r="D110"/>
      <c r="E110"/>
      <c r="F110"/>
      <c r="G110"/>
      <c r="H110"/>
      <c r="I110"/>
      <c r="J110"/>
      <c r="K110"/>
      <c r="L110"/>
      <c r="M110"/>
      <c r="N110"/>
      <c r="O110"/>
    </row>
    <row r="111" spans="1:15" ht="15" x14ac:dyDescent="0.2">
      <c r="B111"/>
      <c r="C111"/>
      <c r="D111"/>
      <c r="E111"/>
      <c r="F111"/>
      <c r="G111"/>
      <c r="H111"/>
      <c r="I111"/>
      <c r="J111"/>
      <c r="K111"/>
      <c r="L111"/>
      <c r="M111"/>
      <c r="N111"/>
      <c r="O111"/>
    </row>
    <row r="112" spans="1:15" ht="15" x14ac:dyDescent="0.2">
      <c r="B112"/>
      <c r="C112"/>
      <c r="D112"/>
      <c r="E112"/>
      <c r="F112"/>
      <c r="G112"/>
      <c r="H112"/>
      <c r="I112"/>
      <c r="J112"/>
      <c r="K112"/>
      <c r="L112"/>
      <c r="M112"/>
      <c r="N112"/>
      <c r="O112"/>
    </row>
    <row r="113" spans="2:15" ht="15" x14ac:dyDescent="0.2">
      <c r="B113"/>
      <c r="C113"/>
      <c r="D113"/>
      <c r="E113"/>
      <c r="F113"/>
      <c r="G113"/>
      <c r="H113"/>
      <c r="I113"/>
      <c r="J113"/>
      <c r="K113"/>
      <c r="L113"/>
      <c r="M113"/>
      <c r="N113"/>
      <c r="O113"/>
    </row>
    <row r="114" spans="2:15" ht="15" x14ac:dyDescent="0.2">
      <c r="B114"/>
      <c r="C114"/>
      <c r="D114"/>
      <c r="E114"/>
      <c r="F114"/>
      <c r="G114"/>
      <c r="H114"/>
      <c r="I114"/>
      <c r="J114"/>
      <c r="K114"/>
      <c r="L114"/>
      <c r="M114"/>
      <c r="N114"/>
      <c r="O114"/>
    </row>
    <row r="115" spans="2:15" ht="15" x14ac:dyDescent="0.2">
      <c r="B115"/>
      <c r="C115"/>
      <c r="D115"/>
      <c r="E115"/>
      <c r="F115"/>
      <c r="G115"/>
      <c r="H115"/>
      <c r="I115"/>
      <c r="J115"/>
      <c r="K115"/>
      <c r="L115"/>
      <c r="M115"/>
      <c r="N115"/>
      <c r="O115"/>
    </row>
    <row r="116" spans="2:15" ht="15" x14ac:dyDescent="0.2">
      <c r="B116"/>
      <c r="C116"/>
      <c r="D116"/>
      <c r="E116"/>
      <c r="F116"/>
      <c r="G116"/>
      <c r="H116"/>
      <c r="I116"/>
      <c r="J116"/>
      <c r="K116"/>
      <c r="L116"/>
      <c r="M116"/>
      <c r="N116"/>
      <c r="O116"/>
    </row>
    <row r="117" spans="2:15" ht="15" x14ac:dyDescent="0.2">
      <c r="B117"/>
      <c r="C117"/>
      <c r="D117"/>
      <c r="E117"/>
      <c r="F117"/>
      <c r="G117"/>
      <c r="H117"/>
      <c r="I117"/>
      <c r="J117"/>
      <c r="K117"/>
      <c r="L117"/>
      <c r="M117"/>
      <c r="N117"/>
      <c r="O117"/>
    </row>
    <row r="118" spans="2:15" ht="15" x14ac:dyDescent="0.2">
      <c r="B118"/>
      <c r="C118"/>
      <c r="D118"/>
      <c r="E118"/>
      <c r="F118"/>
      <c r="G118"/>
      <c r="H118"/>
      <c r="I118"/>
      <c r="J118"/>
      <c r="K118"/>
      <c r="L118"/>
      <c r="M118"/>
      <c r="N118"/>
      <c r="O118"/>
    </row>
    <row r="119" spans="2:15" ht="15" x14ac:dyDescent="0.2">
      <c r="B119"/>
      <c r="C119"/>
      <c r="D119"/>
    </row>
  </sheetData>
  <mergeCells count="7">
    <mergeCell ref="O92:O105"/>
    <mergeCell ref="O40:O43"/>
    <mergeCell ref="O76:O82"/>
    <mergeCell ref="O85:O90"/>
    <mergeCell ref="O72:O73"/>
    <mergeCell ref="O61:O64"/>
    <mergeCell ref="O52:O57"/>
  </mergeCells>
  <dataValidations count="3">
    <dataValidation type="list" allowBlank="1" showInputMessage="1" showErrorMessage="1" errorTitle="Invalid Scenario" error="Please select Bear, Base, or Bull." sqref="H30:H31" xr:uid="{B344C85E-C2BD-5B42-BEFC-1D6A154568F0}">
      <formula1>"Bear,Base,Bull"</formula1>
    </dataValidation>
    <dataValidation type="list" allowBlank="1" showErrorMessage="1" errorTitle="Invalid Scenario" error="Please select Bear, Base, or Bull." sqref="H10 H21" xr:uid="{30C1CF54-D4CF-714D-838A-0656873B0E66}">
      <formula1>"Bear,Base,Bull"</formula1>
    </dataValidation>
    <dataValidation type="list" showInputMessage="1" showErrorMessage="1" errorTitle="Invalid Scenario" error="Scenario must be 'Bear', 'Base', or 'Bull' — these values drive MATCH lookups across the model. Typos will silently break scenario formulas." sqref="H35:H37 H11:H20 H22:H29 H32:H33" xr:uid="{DE9A6811-450B-E542-8F80-940622DCFE67}">
      <formula1>"Bear,Base,Bull"</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B2:N71"/>
  <sheetViews>
    <sheetView showGridLines="0" zoomScaleNormal="100" workbookViewId="0"/>
  </sheetViews>
  <sheetFormatPr baseColWidth="10" defaultColWidth="8.83203125" defaultRowHeight="14" outlineLevelRow="1" x14ac:dyDescent="0.2"/>
  <cols>
    <col min="1" max="1" width="1.6640625" style="16" customWidth="1"/>
    <col min="2" max="2" width="41.6640625" style="16" customWidth="1"/>
    <col min="3" max="3" width="8.33203125" style="16" customWidth="1"/>
    <col min="4" max="13" width="12.5" style="16" customWidth="1"/>
    <col min="14" max="14" width="1.6640625" style="16" customWidth="1"/>
    <col min="15" max="16" width="8.83203125" style="16" customWidth="1"/>
    <col min="17" max="16384" width="8.83203125" style="16"/>
  </cols>
  <sheetData>
    <row r="2" spans="2:14" ht="19" customHeight="1" x14ac:dyDescent="0.2">
      <c r="B2" s="20" t="s">
        <v>51</v>
      </c>
      <c r="C2"/>
      <c r="D2"/>
      <c r="E2"/>
      <c r="F2"/>
      <c r="G2"/>
      <c r="H2"/>
      <c r="I2"/>
      <c r="J2"/>
      <c r="K2"/>
      <c r="L2"/>
      <c r="M2"/>
      <c r="N2"/>
    </row>
    <row r="3" spans="2:14" ht="15" x14ac:dyDescent="0.2">
      <c r="B3" s="14" t="s">
        <v>589</v>
      </c>
      <c r="C3"/>
      <c r="D3"/>
      <c r="E3"/>
      <c r="F3"/>
      <c r="G3"/>
      <c r="H3"/>
      <c r="I3"/>
      <c r="J3"/>
      <c r="K3"/>
      <c r="L3"/>
      <c r="M3"/>
      <c r="N3"/>
    </row>
    <row r="4" spans="2:14" ht="15" x14ac:dyDescent="0.2">
      <c r="B4" s="14" t="s">
        <v>0</v>
      </c>
      <c r="C4"/>
      <c r="D4"/>
      <c r="E4"/>
      <c r="F4"/>
      <c r="G4"/>
      <c r="H4"/>
      <c r="I4"/>
      <c r="J4"/>
      <c r="K4"/>
      <c r="L4"/>
      <c r="M4"/>
      <c r="N4"/>
    </row>
    <row r="5" spans="2:14" ht="15" x14ac:dyDescent="0.2">
      <c r="B5" s="14"/>
      <c r="C5"/>
      <c r="D5"/>
      <c r="E5"/>
      <c r="F5"/>
      <c r="G5"/>
      <c r="H5"/>
      <c r="I5"/>
      <c r="J5"/>
      <c r="K5"/>
      <c r="L5"/>
      <c r="M5"/>
      <c r="N5"/>
    </row>
    <row r="6" spans="2:14" ht="22" customHeight="1" x14ac:dyDescent="0.2">
      <c r="B6" s="749" t="s">
        <v>556</v>
      </c>
      <c r="C6" s="750"/>
      <c r="D6" s="750"/>
      <c r="E6" s="750"/>
      <c r="F6" s="750"/>
      <c r="G6" s="750"/>
      <c r="H6" s="750"/>
      <c r="I6" s="750"/>
      <c r="J6" s="750"/>
      <c r="K6" s="750"/>
      <c r="L6" s="750"/>
      <c r="M6" s="750"/>
      <c r="N6"/>
    </row>
    <row r="7" spans="2:14" ht="30" customHeight="1" x14ac:dyDescent="0.2">
      <c r="B7" s="625" t="s">
        <v>626</v>
      </c>
      <c r="C7" s="626"/>
      <c r="D7" s="626"/>
      <c r="E7" s="626"/>
      <c r="F7" s="626"/>
      <c r="G7" s="626"/>
      <c r="H7" s="626"/>
      <c r="I7" s="626"/>
      <c r="J7" s="626"/>
      <c r="K7" s="626"/>
      <c r="L7" s="626"/>
      <c r="M7" s="626"/>
      <c r="N7"/>
    </row>
    <row r="8" spans="2:14" ht="30" customHeight="1" x14ac:dyDescent="0.2">
      <c r="B8" s="626"/>
      <c r="C8" s="626"/>
      <c r="D8" s="626"/>
      <c r="E8" s="626"/>
      <c r="F8" s="626"/>
      <c r="G8" s="626"/>
      <c r="H8" s="626"/>
      <c r="I8" s="626"/>
      <c r="J8" s="626"/>
      <c r="K8" s="626"/>
      <c r="L8" s="626"/>
      <c r="M8" s="626"/>
      <c r="N8"/>
    </row>
    <row r="9" spans="2:14" ht="30" customHeight="1" x14ac:dyDescent="0.2">
      <c r="B9" s="626"/>
      <c r="C9" s="626"/>
      <c r="D9" s="626"/>
      <c r="E9" s="626"/>
      <c r="F9" s="626"/>
      <c r="G9" s="626"/>
      <c r="H9" s="626"/>
      <c r="I9" s="626"/>
      <c r="J9" s="626"/>
      <c r="K9" s="626"/>
      <c r="L9" s="626"/>
      <c r="M9" s="626"/>
      <c r="N9"/>
    </row>
    <row r="10" spans="2:14" ht="30" customHeight="1" x14ac:dyDescent="0.2">
      <c r="B10" s="626"/>
      <c r="C10" s="626"/>
      <c r="D10" s="626"/>
      <c r="E10" s="626"/>
      <c r="F10" s="626"/>
      <c r="G10" s="626"/>
      <c r="H10" s="626"/>
      <c r="I10" s="626"/>
      <c r="J10" s="626"/>
      <c r="K10" s="626"/>
      <c r="L10" s="626"/>
      <c r="M10" s="626"/>
      <c r="N10"/>
    </row>
    <row r="11" spans="2:14" ht="37" customHeight="1" x14ac:dyDescent="0.2">
      <c r="B11" s="626"/>
      <c r="C11" s="626"/>
      <c r="D11" s="626"/>
      <c r="E11" s="626"/>
      <c r="F11" s="626"/>
      <c r="G11" s="626"/>
      <c r="H11" s="626"/>
      <c r="I11" s="626"/>
      <c r="J11" s="626"/>
      <c r="K11" s="626"/>
      <c r="L11" s="626"/>
      <c r="M11" s="626"/>
      <c r="N11"/>
    </row>
    <row r="12" spans="2:14" ht="15" x14ac:dyDescent="0.2">
      <c r="B12" s="14"/>
      <c r="C12"/>
      <c r="D12"/>
      <c r="E12"/>
      <c r="F12"/>
      <c r="G12"/>
      <c r="H12"/>
      <c r="I12"/>
      <c r="J12"/>
      <c r="K12"/>
      <c r="L12"/>
      <c r="M12"/>
      <c r="N12"/>
    </row>
    <row r="13" spans="2:14" ht="15" x14ac:dyDescent="0.2">
      <c r="B13"/>
      <c r="C13" s="53" t="s">
        <v>12</v>
      </c>
      <c r="D13" s="97" t="s">
        <v>100</v>
      </c>
      <c r="E13" s="97" t="s">
        <v>101</v>
      </c>
      <c r="F13" s="97" t="s">
        <v>102</v>
      </c>
      <c r="G13" s="97" t="s">
        <v>103</v>
      </c>
      <c r="H13" s="97" t="s">
        <v>104</v>
      </c>
      <c r="I13" s="98" t="s">
        <v>105</v>
      </c>
      <c r="J13" s="98" t="s">
        <v>106</v>
      </c>
      <c r="K13" s="98" t="s">
        <v>107</v>
      </c>
      <c r="L13" s="98" t="s">
        <v>108</v>
      </c>
      <c r="M13" s="98" t="s">
        <v>109</v>
      </c>
      <c r="N13"/>
    </row>
    <row r="14" spans="2:14" ht="16" hidden="1" customHeight="1" outlineLevel="1" x14ac:dyDescent="0.2">
      <c r="B14"/>
      <c r="C14"/>
      <c r="D14"/>
      <c r="E14"/>
      <c r="F14"/>
      <c r="G14"/>
      <c r="H14"/>
      <c r="I14"/>
      <c r="J14"/>
      <c r="K14"/>
      <c r="L14"/>
      <c r="M14"/>
      <c r="N14"/>
    </row>
    <row r="15" spans="2:14" ht="16" hidden="1" outlineLevel="1" thickBot="1" x14ac:dyDescent="0.25">
      <c r="B15" s="128" t="s">
        <v>419</v>
      </c>
      <c r="C15" s="128"/>
      <c r="D15" s="128"/>
      <c r="E15" s="128"/>
      <c r="F15" s="128"/>
      <c r="G15" s="128"/>
      <c r="H15" s="128"/>
      <c r="I15" s="128"/>
      <c r="J15" s="128"/>
      <c r="K15" s="128"/>
      <c r="L15" s="128"/>
      <c r="M15" s="128"/>
      <c r="N15"/>
    </row>
    <row r="16" spans="2:14" ht="16" hidden="1" customHeight="1" outlineLevel="1" x14ac:dyDescent="0.2">
      <c r="B16" s="30" t="s">
        <v>420</v>
      </c>
      <c r="C16" s="51" t="s">
        <v>14</v>
      </c>
      <c r="D16" s="119">
        <v>1842</v>
      </c>
      <c r="E16" s="120">
        <f>D21</f>
        <v>1989.3600000000001</v>
      </c>
      <c r="F16" s="120">
        <f t="shared" ref="F16:H16" si="0">E21</f>
        <v>2148.5088000000001</v>
      </c>
      <c r="G16" s="120">
        <f t="shared" si="0"/>
        <v>2191.4789760000003</v>
      </c>
      <c r="H16" s="120">
        <f t="shared" si="0"/>
        <v>2103.81981696</v>
      </c>
      <c r="I16" s="120"/>
      <c r="J16" s="120"/>
      <c r="K16" s="120"/>
      <c r="L16" s="120"/>
      <c r="M16" s="120"/>
      <c r="N16"/>
    </row>
    <row r="17" spans="2:14" ht="15" hidden="1" outlineLevel="1" x14ac:dyDescent="0.2">
      <c r="B17" s="137" t="s">
        <v>421</v>
      </c>
      <c r="C17" s="133" t="s">
        <v>2</v>
      </c>
      <c r="D17" s="331">
        <v>0.11</v>
      </c>
      <c r="E17" s="331">
        <v>0.11</v>
      </c>
      <c r="F17" s="393">
        <v>0.02</v>
      </c>
      <c r="G17" s="331">
        <v>-0.04</v>
      </c>
      <c r="H17" s="331">
        <v>0</v>
      </c>
      <c r="I17" s="123"/>
      <c r="J17" s="124"/>
      <c r="K17" s="124"/>
      <c r="L17" s="124"/>
      <c r="M17" s="124"/>
      <c r="N17"/>
    </row>
    <row r="18" spans="2:14" ht="15" hidden="1" outlineLevel="1" x14ac:dyDescent="0.2">
      <c r="B18" s="121" t="s">
        <v>423</v>
      </c>
      <c r="C18" s="133" t="s">
        <v>2</v>
      </c>
      <c r="D18" s="331">
        <v>0.01</v>
      </c>
      <c r="E18" s="331">
        <v>0.01</v>
      </c>
      <c r="F18" s="331">
        <v>0</v>
      </c>
      <c r="G18" s="331">
        <v>0.01</v>
      </c>
      <c r="H18" s="331">
        <v>0.05</v>
      </c>
      <c r="I18" s="125"/>
      <c r="J18" s="125"/>
      <c r="K18" s="125"/>
      <c r="L18" s="125"/>
      <c r="M18" s="125"/>
      <c r="N18"/>
    </row>
    <row r="19" spans="2:14" ht="15" hidden="1" customHeight="1" outlineLevel="1" x14ac:dyDescent="0.2">
      <c r="B19" s="121" t="s">
        <v>424</v>
      </c>
      <c r="C19" s="133" t="s">
        <v>2</v>
      </c>
      <c r="D19" s="331">
        <v>-0.04</v>
      </c>
      <c r="E19" s="331">
        <v>-0.04</v>
      </c>
      <c r="F19" s="331">
        <v>0</v>
      </c>
      <c r="G19" s="331">
        <v>-0.01</v>
      </c>
      <c r="H19" s="331">
        <v>0.01</v>
      </c>
      <c r="I19" s="332"/>
      <c r="J19" s="332"/>
      <c r="K19" s="332"/>
      <c r="L19" s="332"/>
      <c r="M19" s="332"/>
      <c r="N19" s="314"/>
    </row>
    <row r="20" spans="2:14" ht="15" hidden="1" outlineLevel="1" x14ac:dyDescent="0.2">
      <c r="B20" s="394" t="s">
        <v>422</v>
      </c>
      <c r="C20" s="395" t="s">
        <v>2</v>
      </c>
      <c r="D20" s="396">
        <f>SUM(D17:D19)</f>
        <v>7.9999999999999988E-2</v>
      </c>
      <c r="E20" s="396">
        <f>SUM(E17:E19)</f>
        <v>7.9999999999999988E-2</v>
      </c>
      <c r="F20" s="396">
        <f t="shared" ref="F20:H20" si="1">SUM(F17:F19)</f>
        <v>0.02</v>
      </c>
      <c r="G20" s="396">
        <f t="shared" si="1"/>
        <v>-0.04</v>
      </c>
      <c r="H20" s="396">
        <f t="shared" si="1"/>
        <v>6.0000000000000005E-2</v>
      </c>
      <c r="I20" s="397"/>
      <c r="J20" s="397"/>
      <c r="K20" s="397"/>
      <c r="L20" s="397"/>
      <c r="M20" s="397"/>
      <c r="N20"/>
    </row>
    <row r="21" spans="2:14" ht="15" hidden="1" outlineLevel="1" x14ac:dyDescent="0.2">
      <c r="B21" s="141" t="s">
        <v>434</v>
      </c>
      <c r="C21" s="142" t="s">
        <v>14</v>
      </c>
      <c r="D21" s="398">
        <f>D16*(D20+1)</f>
        <v>1989.3600000000001</v>
      </c>
      <c r="E21" s="398">
        <f>E16*(E20+1)</f>
        <v>2148.5088000000001</v>
      </c>
      <c r="F21" s="398">
        <f t="shared" ref="F21:H21" si="2">F16*(F20+1)</f>
        <v>2191.4789760000003</v>
      </c>
      <c r="G21" s="398">
        <f t="shared" si="2"/>
        <v>2103.81981696</v>
      </c>
      <c r="H21" s="398">
        <f t="shared" si="2"/>
        <v>2230.0490059776002</v>
      </c>
      <c r="I21" s="162"/>
      <c r="J21" s="162"/>
      <c r="K21" s="162"/>
      <c r="L21" s="162"/>
      <c r="M21" s="162"/>
      <c r="N21" s="314"/>
    </row>
    <row r="22" spans="2:14" ht="16" hidden="1" customHeight="1" outlineLevel="1" x14ac:dyDescent="0.2">
      <c r="B22" s="131"/>
      <c r="C22" s="130"/>
      <c r="D22" s="132"/>
      <c r="E22" s="132"/>
      <c r="F22" s="132"/>
      <c r="G22" s="132"/>
      <c r="H22" s="132"/>
      <c r="I22" s="132"/>
      <c r="J22" s="132"/>
      <c r="K22" s="132"/>
      <c r="L22" s="132"/>
      <c r="M22" s="132"/>
      <c r="N22"/>
    </row>
    <row r="23" spans="2:14" ht="16" hidden="1" outlineLevel="1" thickBot="1" x14ac:dyDescent="0.25">
      <c r="B23" s="128" t="s">
        <v>425</v>
      </c>
      <c r="C23" s="128"/>
      <c r="D23" s="128"/>
      <c r="E23" s="128"/>
      <c r="F23" s="128"/>
      <c r="G23" s="128"/>
      <c r="H23" s="128"/>
      <c r="I23" s="128"/>
      <c r="J23" s="128"/>
      <c r="K23" s="128"/>
      <c r="L23" s="128"/>
      <c r="M23" s="128"/>
      <c r="N23"/>
    </row>
    <row r="24" spans="2:14" ht="15" hidden="1" outlineLevel="1" x14ac:dyDescent="0.2">
      <c r="B24" s="136" t="s">
        <v>426</v>
      </c>
      <c r="C24" s="51" t="s">
        <v>14</v>
      </c>
      <c r="D24" s="405"/>
      <c r="E24" s="405">
        <v>1116</v>
      </c>
      <c r="F24" s="405">
        <v>1162</v>
      </c>
      <c r="G24" s="424">
        <v>1329.3</v>
      </c>
      <c r="H24" s="424">
        <v>1353</v>
      </c>
      <c r="I24" s="406"/>
      <c r="J24" s="406"/>
      <c r="K24" s="406"/>
      <c r="L24" s="406"/>
      <c r="M24" s="406"/>
      <c r="N24"/>
    </row>
    <row r="25" spans="2:14" ht="15" hidden="1" outlineLevel="1" x14ac:dyDescent="0.2">
      <c r="B25" s="138" t="s">
        <v>428</v>
      </c>
      <c r="C25" s="133" t="s">
        <v>14</v>
      </c>
      <c r="D25" s="407"/>
      <c r="E25" s="408">
        <v>451.8</v>
      </c>
      <c r="F25" s="408">
        <v>463.9</v>
      </c>
      <c r="G25" s="425">
        <v>454.2</v>
      </c>
      <c r="H25" s="425">
        <v>527.5</v>
      </c>
      <c r="I25" s="409"/>
      <c r="J25" s="409"/>
      <c r="K25" s="409"/>
      <c r="L25" s="409"/>
      <c r="M25" s="409"/>
      <c r="N25" s="314"/>
    </row>
    <row r="26" spans="2:14" ht="15" hidden="1" outlineLevel="1" x14ac:dyDescent="0.2">
      <c r="B26" s="138" t="s">
        <v>429</v>
      </c>
      <c r="C26" s="133" t="s">
        <v>14</v>
      </c>
      <c r="D26" s="410"/>
      <c r="E26" s="408">
        <v>409.8</v>
      </c>
      <c r="F26" s="408">
        <v>393.7</v>
      </c>
      <c r="G26" s="425">
        <v>329.8</v>
      </c>
      <c r="H26" s="425">
        <v>356.1</v>
      </c>
      <c r="I26" s="290"/>
      <c r="J26" s="290"/>
      <c r="K26" s="290"/>
      <c r="L26" s="290"/>
      <c r="M26" s="290"/>
      <c r="N26"/>
    </row>
    <row r="27" spans="2:14" ht="15" hidden="1" outlineLevel="1" x14ac:dyDescent="0.2">
      <c r="B27" s="138" t="s">
        <v>427</v>
      </c>
      <c r="C27" s="133" t="s">
        <v>14</v>
      </c>
      <c r="D27" s="410"/>
      <c r="E27" s="408">
        <v>165.90000000000009</v>
      </c>
      <c r="F27" s="408">
        <v>176</v>
      </c>
      <c r="G27" s="426">
        <v>0</v>
      </c>
      <c r="H27" s="426">
        <v>0</v>
      </c>
      <c r="I27" s="290"/>
      <c r="J27" s="290"/>
      <c r="K27" s="290"/>
      <c r="L27" s="290"/>
      <c r="M27" s="290"/>
      <c r="N27"/>
    </row>
    <row r="28" spans="2:14" ht="15" hidden="1" outlineLevel="1" x14ac:dyDescent="0.2">
      <c r="B28" s="139" t="s">
        <v>435</v>
      </c>
      <c r="C28" s="140" t="s">
        <v>14</v>
      </c>
      <c r="D28" s="403"/>
      <c r="E28" s="403">
        <f>SUM(E24:E27)</f>
        <v>2143.5</v>
      </c>
      <c r="F28" s="403">
        <f t="shared" ref="F28:G28" si="3">SUM(F24:F27)</f>
        <v>2195.6000000000004</v>
      </c>
      <c r="G28" s="403">
        <f t="shared" si="3"/>
        <v>2113.3000000000002</v>
      </c>
      <c r="H28" s="403"/>
      <c r="I28" s="404"/>
      <c r="J28" s="404"/>
      <c r="K28" s="404"/>
      <c r="L28" s="404"/>
      <c r="M28" s="404"/>
      <c r="N28"/>
    </row>
    <row r="29" spans="2:14" ht="16" hidden="1" customHeight="1" outlineLevel="1" x14ac:dyDescent="0.2">
      <c r="B29" s="3"/>
      <c r="C29" s="3"/>
      <c r="D29" s="3"/>
      <c r="E29" s="3"/>
      <c r="F29" s="3"/>
      <c r="G29" s="3"/>
      <c r="H29" s="3"/>
      <c r="I29" s="3"/>
      <c r="J29" s="3"/>
      <c r="K29" s="3"/>
      <c r="L29" s="3"/>
      <c r="M29" s="3"/>
      <c r="N29"/>
    </row>
    <row r="30" spans="2:14" ht="16" hidden="1" outlineLevel="1" thickBot="1" x14ac:dyDescent="0.25">
      <c r="B30" s="128" t="s">
        <v>430</v>
      </c>
      <c r="C30" s="128"/>
      <c r="D30" s="128"/>
      <c r="E30" s="128"/>
      <c r="F30" s="128"/>
      <c r="G30" s="128"/>
      <c r="H30" s="128"/>
      <c r="I30" s="128"/>
      <c r="J30" s="128"/>
      <c r="K30" s="128"/>
      <c r="L30" s="128"/>
      <c r="M30" s="128"/>
      <c r="N30"/>
    </row>
    <row r="31" spans="2:14" ht="15" hidden="1" outlineLevel="1" x14ac:dyDescent="0.2">
      <c r="B31" s="30" t="s">
        <v>431</v>
      </c>
      <c r="C31" s="51" t="s">
        <v>14</v>
      </c>
      <c r="D31" s="412"/>
      <c r="E31" s="405">
        <v>999.1</v>
      </c>
      <c r="F31" s="405">
        <v>985.7</v>
      </c>
      <c r="G31" s="405">
        <v>988.9</v>
      </c>
      <c r="H31" s="412"/>
      <c r="I31" s="413"/>
      <c r="J31" s="413"/>
      <c r="K31" s="413"/>
      <c r="L31" s="413"/>
      <c r="M31" s="413"/>
      <c r="N31"/>
    </row>
    <row r="32" spans="2:14" ht="15" hidden="1" outlineLevel="1" x14ac:dyDescent="0.2">
      <c r="B32" s="121" t="s">
        <v>432</v>
      </c>
      <c r="C32" s="133" t="s">
        <v>14</v>
      </c>
      <c r="D32" s="177"/>
      <c r="E32" s="408">
        <v>649.29999999999995</v>
      </c>
      <c r="F32" s="408">
        <v>662.8</v>
      </c>
      <c r="G32" s="408">
        <v>619.6</v>
      </c>
      <c r="H32" s="177"/>
      <c r="I32" s="297"/>
      <c r="J32" s="297"/>
      <c r="K32" s="297"/>
      <c r="L32" s="297"/>
      <c r="M32" s="297"/>
      <c r="N32"/>
    </row>
    <row r="33" spans="2:14" ht="15" hidden="1" outlineLevel="1" x14ac:dyDescent="0.2">
      <c r="B33" s="121" t="s">
        <v>433</v>
      </c>
      <c r="C33" s="133" t="s">
        <v>14</v>
      </c>
      <c r="D33" s="270"/>
      <c r="E33" s="408">
        <v>495.1</v>
      </c>
      <c r="F33" s="408">
        <v>547.1</v>
      </c>
      <c r="G33" s="408">
        <v>504.8</v>
      </c>
      <c r="H33" s="270"/>
      <c r="I33" s="409"/>
      <c r="J33" s="409"/>
      <c r="K33" s="409"/>
      <c r="L33" s="409"/>
      <c r="M33" s="409"/>
      <c r="N33" s="314"/>
    </row>
    <row r="34" spans="2:14" ht="15" hidden="1" outlineLevel="1" x14ac:dyDescent="0.2">
      <c r="B34" s="141" t="s">
        <v>436</v>
      </c>
      <c r="C34" s="142" t="s">
        <v>14</v>
      </c>
      <c r="D34" s="420"/>
      <c r="E34" s="420">
        <f>SUM(E31:E33)</f>
        <v>2143.5</v>
      </c>
      <c r="F34" s="420">
        <f t="shared" ref="F34:G34" si="4">SUM(F31:F33)</f>
        <v>2195.6</v>
      </c>
      <c r="G34" s="420">
        <f t="shared" si="4"/>
        <v>2113.3000000000002</v>
      </c>
      <c r="H34" s="420"/>
      <c r="I34" s="411"/>
      <c r="J34" s="411"/>
      <c r="K34" s="411"/>
      <c r="L34" s="411"/>
      <c r="M34" s="411"/>
      <c r="N34"/>
    </row>
    <row r="35" spans="2:14" ht="16" customHeight="1" collapsed="1" x14ac:dyDescent="0.2">
      <c r="B35" s="399"/>
      <c r="C35" s="51"/>
      <c r="D35" s="400"/>
      <c r="E35" s="400"/>
      <c r="F35" s="400"/>
      <c r="G35" s="400"/>
      <c r="H35" s="400"/>
      <c r="I35" s="400"/>
      <c r="J35" s="400"/>
      <c r="K35" s="400"/>
      <c r="L35" s="400"/>
      <c r="M35" s="400"/>
      <c r="N35" s="314"/>
    </row>
    <row r="36" spans="2:14" ht="16" customHeight="1" thickBot="1" x14ac:dyDescent="0.25">
      <c r="B36" s="128" t="s">
        <v>442</v>
      </c>
      <c r="C36" s="128"/>
      <c r="D36" s="128"/>
      <c r="E36" s="128"/>
      <c r="F36" s="128"/>
      <c r="G36" s="128"/>
      <c r="H36" s="128"/>
      <c r="I36" s="128"/>
      <c r="J36" s="128"/>
      <c r="K36" s="128"/>
      <c r="L36" s="128"/>
      <c r="M36" s="128"/>
      <c r="N36" s="314"/>
    </row>
    <row r="37" spans="2:14" ht="16" customHeight="1" x14ac:dyDescent="0.2">
      <c r="B37" s="130" t="s">
        <v>443</v>
      </c>
      <c r="C37" s="414"/>
      <c r="D37" s="415"/>
      <c r="E37" s="415"/>
      <c r="F37" s="415"/>
      <c r="G37" s="422"/>
      <c r="H37" s="415"/>
      <c r="I37" s="415"/>
      <c r="J37" s="415"/>
      <c r="K37" s="415"/>
      <c r="L37" s="415"/>
      <c r="M37" s="415"/>
      <c r="N37" s="314"/>
    </row>
    <row r="38" spans="2:14" ht="16" customHeight="1" x14ac:dyDescent="0.2">
      <c r="B38" s="416" t="s">
        <v>438</v>
      </c>
      <c r="C38" s="81"/>
      <c r="E38" s="539">
        <f t="shared" ref="E38:M38" si="5">D43</f>
        <v>987.6</v>
      </c>
      <c r="F38" s="539">
        <f t="shared" si="5"/>
        <v>999.1</v>
      </c>
      <c r="G38" s="539">
        <f t="shared" si="5"/>
        <v>985.7</v>
      </c>
      <c r="H38" s="540">
        <f t="shared" si="5"/>
        <v>988.9</v>
      </c>
      <c r="I38" s="539">
        <f t="shared" si="5"/>
        <v>1071.9000000000001</v>
      </c>
      <c r="J38" s="539">
        <f t="shared" si="5"/>
        <v>1125.4950000000001</v>
      </c>
      <c r="K38" s="539">
        <f t="shared" si="5"/>
        <v>1181.7697500000002</v>
      </c>
      <c r="L38" s="539">
        <f t="shared" si="5"/>
        <v>1240.8582375000003</v>
      </c>
      <c r="M38" s="539">
        <f t="shared" si="5"/>
        <v>1302.9011493750004</v>
      </c>
      <c r="N38" s="314"/>
    </row>
    <row r="39" spans="2:14" ht="16" customHeight="1" x14ac:dyDescent="0.2">
      <c r="B39" s="440" t="s">
        <v>421</v>
      </c>
      <c r="C39" s="79"/>
      <c r="D39" s="417"/>
      <c r="E39" s="427">
        <v>0.04</v>
      </c>
      <c r="F39" s="427">
        <v>-0.01</v>
      </c>
      <c r="G39" s="427">
        <v>-0.01</v>
      </c>
      <c r="H39" s="443">
        <v>-0.02</v>
      </c>
      <c r="I39" s="455">
        <f>Assumptions!$D$12</f>
        <v>0.01</v>
      </c>
      <c r="J39" s="455">
        <f>$I39+(INDEX(Assumptions!$E$12:$G$12,MATCH(Assumptions!$H$12,Assumptions!$E$9:$G$9,0))-$I39)*(COLUMN()-COLUMN($I39))/4</f>
        <v>0.01</v>
      </c>
      <c r="K39" s="455">
        <f>$I39+(INDEX(Assumptions!$E$12:$G$12,MATCH(Assumptions!$H$12,Assumptions!$E$9:$G$9,0))-$I39)*(COLUMN()-COLUMN($I39))/4</f>
        <v>0.01</v>
      </c>
      <c r="L39" s="455">
        <f>$I39+(INDEX(Assumptions!$E$12:$G$12,MATCH(Assumptions!$H$12,Assumptions!$E$9:$G$9,0))-$I39)*(COLUMN()-COLUMN($I39))/4</f>
        <v>0.01</v>
      </c>
      <c r="M39" s="455">
        <f>$I39+(INDEX(Assumptions!$E$12:$G$12,MATCH(Assumptions!$H$12,Assumptions!$E$9:$G$9,0))-$I39)*(COLUMN()-COLUMN($I39))/4</f>
        <v>0.01</v>
      </c>
      <c r="N39" s="314"/>
    </row>
    <row r="40" spans="2:14" ht="16" customHeight="1" x14ac:dyDescent="0.2">
      <c r="B40" s="440" t="s">
        <v>440</v>
      </c>
      <c r="C40" s="79"/>
      <c r="D40" s="417"/>
      <c r="E40" s="427">
        <v>0</v>
      </c>
      <c r="F40" s="427">
        <v>0</v>
      </c>
      <c r="G40" s="427">
        <v>0.02</v>
      </c>
      <c r="H40" s="443">
        <v>0.1</v>
      </c>
      <c r="I40" s="455">
        <f>Assumptions!$D$13</f>
        <v>0.03</v>
      </c>
      <c r="J40" s="455">
        <f>$I40+(INDEX(Assumptions!$E$13:$G$13,MATCH(Assumptions!$H$13,Assumptions!$E$9:$G$9,0))-$I40)*(COLUMN()-COLUMN($I40))/4</f>
        <v>0.03</v>
      </c>
      <c r="K40" s="455">
        <f>$I40+(INDEX(Assumptions!$E$13:$G$13,MATCH(Assumptions!$H$13,Assumptions!$E$9:$G$9,0))-$I40)*(COLUMN()-COLUMN($I40))/4</f>
        <v>0.03</v>
      </c>
      <c r="L40" s="455">
        <f>$I40+(INDEX(Assumptions!$E$13:$G$13,MATCH(Assumptions!$H$13,Assumptions!$E$9:$G$9,0))-$I40)*(COLUMN()-COLUMN($I40))/4</f>
        <v>0.03</v>
      </c>
      <c r="M40" s="455">
        <f>$I40+(INDEX(Assumptions!$E$13:$G$13,MATCH(Assumptions!$H$13,Assumptions!$E$9:$G$9,0))-$I40)*(COLUMN()-COLUMN($I40))/4</f>
        <v>0.03</v>
      </c>
      <c r="N40" s="314"/>
    </row>
    <row r="41" spans="2:14" ht="16" customHeight="1" x14ac:dyDescent="0.2">
      <c r="B41" s="440" t="s">
        <v>424</v>
      </c>
      <c r="C41" s="79"/>
      <c r="D41" s="417"/>
      <c r="E41" s="427">
        <v>-0.03</v>
      </c>
      <c r="F41" s="427">
        <v>0</v>
      </c>
      <c r="G41" s="427">
        <v>-0.01</v>
      </c>
      <c r="H41" s="443">
        <v>0</v>
      </c>
      <c r="I41" s="455">
        <f>Assumptions!$D$20</f>
        <v>0.01</v>
      </c>
      <c r="J41" s="455">
        <f>$I41+(INDEX(Assumptions!$E$20:$G$20,MATCH(Assumptions!$H$20,Assumptions!$E$9:$G$9,0))-$I41)*(COLUMN()-COLUMN($I41))/4</f>
        <v>0.01</v>
      </c>
      <c r="K41" s="455">
        <f>$I41+(INDEX(Assumptions!$E$20:$G$20,MATCH(Assumptions!$H$20,Assumptions!$E$9:$G$9,0))-$I41)*(COLUMN()-COLUMN($I41))/4</f>
        <v>0.01</v>
      </c>
      <c r="L41" s="455">
        <f>$I41+(INDEX(Assumptions!$E$20:$G$20,MATCH(Assumptions!$H$20,Assumptions!$E$9:$G$9,0))-$I41)*(COLUMN()-COLUMN($I41))/4</f>
        <v>0.01</v>
      </c>
      <c r="M41" s="455">
        <f>$I41+(INDEX(Assumptions!$E$20:$G$20,MATCH(Assumptions!$H$20,Assumptions!$E$9:$G$9,0))-$I41)*(COLUMN()-COLUMN($I41))/4</f>
        <v>0.01</v>
      </c>
      <c r="N41" s="314"/>
    </row>
    <row r="42" spans="2:14" ht="16" customHeight="1" x14ac:dyDescent="0.2">
      <c r="B42" s="444" t="s">
        <v>422</v>
      </c>
      <c r="C42" s="447"/>
      <c r="D42" s="435"/>
      <c r="E42" s="436">
        <f>SUM(E39:E41)</f>
        <v>1.0000000000000002E-2</v>
      </c>
      <c r="F42" s="436">
        <f>SUM(F39:F41)</f>
        <v>-0.01</v>
      </c>
      <c r="G42" s="436">
        <f>SUM(G39:G41)</f>
        <v>0</v>
      </c>
      <c r="H42" s="396">
        <f t="shared" ref="H42" si="6">SUM(H39:H41)</f>
        <v>0.08</v>
      </c>
      <c r="I42" s="436">
        <f>SUM(I39:I41)</f>
        <v>0.05</v>
      </c>
      <c r="J42" s="436">
        <f>SUM(J39:J41)</f>
        <v>0.05</v>
      </c>
      <c r="K42" s="436">
        <f t="shared" ref="K42:M42" si="7">SUM(K39:K41)</f>
        <v>0.05</v>
      </c>
      <c r="L42" s="436">
        <f t="shared" si="7"/>
        <v>0.05</v>
      </c>
      <c r="M42" s="436">
        <f t="shared" si="7"/>
        <v>0.05</v>
      </c>
      <c r="N42" s="314"/>
    </row>
    <row r="43" spans="2:14" ht="16" customHeight="1" x14ac:dyDescent="0.2">
      <c r="B43" s="421" t="s">
        <v>439</v>
      </c>
      <c r="C43" s="418"/>
      <c r="D43" s="423">
        <v>987.6</v>
      </c>
      <c r="E43" s="423">
        <v>999.1</v>
      </c>
      <c r="F43" s="423">
        <v>985.7</v>
      </c>
      <c r="G43" s="423">
        <v>988.9</v>
      </c>
      <c r="H43" s="546">
        <v>1071.9000000000001</v>
      </c>
      <c r="I43" s="458">
        <f>I38*(1+I42)</f>
        <v>1125.4950000000001</v>
      </c>
      <c r="J43" s="458">
        <f>J38*(1+J42)</f>
        <v>1181.7697500000002</v>
      </c>
      <c r="K43" s="458">
        <f t="shared" ref="K43:M43" si="8">K38*(1+K42)</f>
        <v>1240.8582375000003</v>
      </c>
      <c r="L43" s="458">
        <f t="shared" si="8"/>
        <v>1302.9011493750004</v>
      </c>
      <c r="M43" s="458">
        <f t="shared" si="8"/>
        <v>1368.0462068437505</v>
      </c>
      <c r="N43" s="314"/>
    </row>
    <row r="44" spans="2:14" ht="16" customHeight="1" outlineLevel="1" x14ac:dyDescent="0.2">
      <c r="B44" s="431" t="s">
        <v>441</v>
      </c>
      <c r="C44" s="430"/>
      <c r="D44" s="432"/>
      <c r="E44" s="433">
        <f>(E38*(E42+1))-E43</f>
        <v>-1.6240000000000236</v>
      </c>
      <c r="F44" s="433">
        <f t="shared" ref="F44:G44" si="9">(F38*(F42+1))-F43</f>
        <v>3.4089999999999918</v>
      </c>
      <c r="G44" s="433">
        <f t="shared" si="9"/>
        <v>-3.1999999999999318</v>
      </c>
      <c r="H44" s="433">
        <f>(H38*(H42+1))-H43</f>
        <v>-3.8880000000001473</v>
      </c>
      <c r="I44" s="434"/>
      <c r="J44" s="434"/>
      <c r="K44" s="434"/>
      <c r="L44" s="434"/>
      <c r="M44" s="434"/>
      <c r="N44" s="314"/>
    </row>
    <row r="45" spans="2:14" ht="16" customHeight="1" x14ac:dyDescent="0.2">
      <c r="B45" s="130" t="s">
        <v>444</v>
      </c>
      <c r="C45" s="81"/>
      <c r="D45" s="417"/>
      <c r="E45" s="417"/>
      <c r="F45" s="417"/>
      <c r="G45" s="417"/>
      <c r="H45" s="417"/>
      <c r="I45" s="428"/>
      <c r="J45" s="428"/>
      <c r="K45" s="428"/>
      <c r="L45" s="428"/>
      <c r="M45" s="428"/>
      <c r="N45" s="314"/>
    </row>
    <row r="46" spans="2:14" ht="16" customHeight="1" x14ac:dyDescent="0.2">
      <c r="B46" s="416" t="s">
        <v>438</v>
      </c>
      <c r="C46" s="81"/>
      <c r="D46" s="417"/>
      <c r="E46" s="539">
        <f>D51</f>
        <v>864.6</v>
      </c>
      <c r="F46" s="539">
        <f>E51</f>
        <v>972.7</v>
      </c>
      <c r="G46" s="539">
        <f>F51</f>
        <v>1018.2</v>
      </c>
      <c r="H46" s="540">
        <f t="shared" ref="H46" si="10">G51</f>
        <v>958</v>
      </c>
      <c r="I46" s="539">
        <f>H51</f>
        <v>996.8</v>
      </c>
      <c r="J46" s="539">
        <f>I51</f>
        <v>1056.6079999999999</v>
      </c>
      <c r="K46" s="539">
        <f t="shared" ref="K46:M46" si="11">J51</f>
        <v>1120.0044800000001</v>
      </c>
      <c r="L46" s="539">
        <f t="shared" si="11"/>
        <v>1187.2047488000001</v>
      </c>
      <c r="M46" s="539">
        <f t="shared" si="11"/>
        <v>1258.4370337280002</v>
      </c>
      <c r="N46" s="314"/>
    </row>
    <row r="47" spans="2:14" ht="16" customHeight="1" x14ac:dyDescent="0.2">
      <c r="B47" s="440" t="s">
        <v>421</v>
      </c>
      <c r="C47" s="79"/>
      <c r="D47" s="417"/>
      <c r="E47" s="427">
        <v>0.18</v>
      </c>
      <c r="F47" s="427">
        <v>0.05</v>
      </c>
      <c r="G47" s="427">
        <v>-0.05</v>
      </c>
      <c r="H47" s="443">
        <v>0.02</v>
      </c>
      <c r="I47" s="455">
        <f>Assumptions!$D$15</f>
        <v>0.03</v>
      </c>
      <c r="J47" s="455">
        <f>$I47+(INDEX(Assumptions!$E$15:$G$15,MATCH(Assumptions!$H$15,Assumptions!$E$9:$G$9,0))-$I47)*(COLUMN()-COLUMN($I47))/4</f>
        <v>0.03</v>
      </c>
      <c r="K47" s="455">
        <f>$I47+(INDEX(Assumptions!$E$15:$G$15,MATCH(Assumptions!$H$15,Assumptions!$E$9:$G$9,0))-$I47)*(COLUMN()-COLUMN($I47))/4</f>
        <v>0.03</v>
      </c>
      <c r="L47" s="455">
        <f>$I47+(INDEX(Assumptions!$E$15:$G$15,MATCH(Assumptions!$H$15,Assumptions!$E$9:$G$9,0))-$I47)*(COLUMN()-COLUMN($I47))/4</f>
        <v>0.03</v>
      </c>
      <c r="M47" s="455">
        <f>$I47+(INDEX(Assumptions!$E$15:$G$15,MATCH(Assumptions!$H$15,Assumptions!$E$9:$G$9,0))-$I47)*(COLUMN()-COLUMN($I47))/4</f>
        <v>0.03</v>
      </c>
      <c r="N47" s="314"/>
    </row>
    <row r="48" spans="2:14" ht="16" customHeight="1" x14ac:dyDescent="0.2">
      <c r="B48" s="440" t="s">
        <v>440</v>
      </c>
      <c r="C48" s="79"/>
      <c r="D48" s="417"/>
      <c r="E48" s="427">
        <v>0</v>
      </c>
      <c r="F48" s="427">
        <v>0</v>
      </c>
      <c r="G48" s="427">
        <v>0</v>
      </c>
      <c r="H48" s="443">
        <v>0.01</v>
      </c>
      <c r="I48" s="455">
        <f>Assumptions!$D$16</f>
        <v>0.02</v>
      </c>
      <c r="J48" s="455">
        <f>$I48+(INDEX(Assumptions!$E$16:$G$16,MATCH(Assumptions!$H$16,Assumptions!$E$9:$G$9,0))-$I48)*(COLUMN()-COLUMN($I48))/4</f>
        <v>0.02</v>
      </c>
      <c r="K48" s="455">
        <f>$I48+(INDEX(Assumptions!$E$16:$G$16,MATCH(Assumptions!$H$16,Assumptions!$E$9:$G$9,0))-$I48)*(COLUMN()-COLUMN($I48))/4</f>
        <v>0.02</v>
      </c>
      <c r="L48" s="455">
        <f>$I48+(INDEX(Assumptions!$E$16:$G$16,MATCH(Assumptions!$H$16,Assumptions!$E$9:$G$9,0))-$I48)*(COLUMN()-COLUMN($I48))/4</f>
        <v>0.02</v>
      </c>
      <c r="M48" s="455">
        <f>$I48+(INDEX(Assumptions!$E$16:$G$16,MATCH(Assumptions!$H$16,Assumptions!$E$9:$G$9,0))-$I48)*(COLUMN()-COLUMN($I48))/4</f>
        <v>0.02</v>
      </c>
      <c r="N48" s="314"/>
    </row>
    <row r="49" spans="2:14" ht="16" customHeight="1" x14ac:dyDescent="0.2">
      <c r="B49" s="440" t="s">
        <v>424</v>
      </c>
      <c r="C49" s="79"/>
      <c r="D49" s="417"/>
      <c r="E49" s="427">
        <v>-0.05</v>
      </c>
      <c r="F49" s="427">
        <v>0</v>
      </c>
      <c r="G49" s="427">
        <v>0</v>
      </c>
      <c r="H49" s="443">
        <v>0.01</v>
      </c>
      <c r="I49" s="455">
        <f>Assumptions!$D$20</f>
        <v>0.01</v>
      </c>
      <c r="J49" s="455">
        <f>$I49+(INDEX(Assumptions!$E$20:$G$20,MATCH(Assumptions!$H$20,Assumptions!$E$9:$G$9,0))-$I49)*(COLUMN()-COLUMN($I49))/4</f>
        <v>0.01</v>
      </c>
      <c r="K49" s="455">
        <f>$I49+(INDEX(Assumptions!$E$20:$G$20,MATCH(Assumptions!$H$20,Assumptions!$E$9:$G$9,0))-$I49)*(COLUMN()-COLUMN($I49))/4</f>
        <v>0.01</v>
      </c>
      <c r="L49" s="455">
        <f>$I49+(INDEX(Assumptions!$E$20:$G$20,MATCH(Assumptions!$H$20,Assumptions!$E$9:$G$9,0))-$I49)*(COLUMN()-COLUMN($I49))/4</f>
        <v>0.01</v>
      </c>
      <c r="M49" s="455">
        <f>$I49+(INDEX(Assumptions!$E$20:$G$20,MATCH(Assumptions!$H$20,Assumptions!$E$9:$G$9,0))-$I49)*(COLUMN()-COLUMN($I49))/4</f>
        <v>0.01</v>
      </c>
      <c r="N49" s="314"/>
    </row>
    <row r="50" spans="2:14" ht="16" customHeight="1" x14ac:dyDescent="0.2">
      <c r="B50" s="444" t="s">
        <v>422</v>
      </c>
      <c r="C50" s="447"/>
      <c r="D50" s="435"/>
      <c r="E50" s="436">
        <f>SUM(E47:E49)</f>
        <v>0.13</v>
      </c>
      <c r="F50" s="436">
        <f>SUM(F47:F49)</f>
        <v>0.05</v>
      </c>
      <c r="G50" s="436">
        <f>SUM(G47:G49)</f>
        <v>-0.05</v>
      </c>
      <c r="H50" s="396">
        <f t="shared" ref="H50" si="12">SUM(H47:H49)</f>
        <v>0.04</v>
      </c>
      <c r="I50" s="436">
        <f>SUM(I47:I49)</f>
        <v>6.0000000000000005E-2</v>
      </c>
      <c r="J50" s="436">
        <f>SUM(J47:J49)</f>
        <v>6.0000000000000005E-2</v>
      </c>
      <c r="K50" s="436">
        <f t="shared" ref="K50:M50" si="13">SUM(K47:K49)</f>
        <v>6.0000000000000005E-2</v>
      </c>
      <c r="L50" s="436">
        <f t="shared" si="13"/>
        <v>6.0000000000000005E-2</v>
      </c>
      <c r="M50" s="436">
        <f t="shared" si="13"/>
        <v>6.0000000000000005E-2</v>
      </c>
      <c r="N50" s="314"/>
    </row>
    <row r="51" spans="2:14" ht="16" customHeight="1" x14ac:dyDescent="0.2">
      <c r="B51" s="421" t="s">
        <v>439</v>
      </c>
      <c r="C51" s="418"/>
      <c r="D51" s="423">
        <v>864.6</v>
      </c>
      <c r="E51" s="423">
        <v>972.7</v>
      </c>
      <c r="F51" s="423">
        <v>1018.2</v>
      </c>
      <c r="G51" s="423">
        <v>958</v>
      </c>
      <c r="H51" s="546">
        <v>996.8</v>
      </c>
      <c r="I51" s="458">
        <f>I46*(1+I50)</f>
        <v>1056.6079999999999</v>
      </c>
      <c r="J51" s="458">
        <f>J46*(1+J50)</f>
        <v>1120.0044800000001</v>
      </c>
      <c r="K51" s="458">
        <f t="shared" ref="K51:M51" si="14">K46*(1+K50)</f>
        <v>1187.2047488000001</v>
      </c>
      <c r="L51" s="458">
        <f t="shared" si="14"/>
        <v>1258.4370337280002</v>
      </c>
      <c r="M51" s="458">
        <f t="shared" si="14"/>
        <v>1333.9432557516802</v>
      </c>
      <c r="N51" s="314"/>
    </row>
    <row r="52" spans="2:14" ht="16" customHeight="1" outlineLevel="1" x14ac:dyDescent="0.2">
      <c r="B52" s="431" t="s">
        <v>441</v>
      </c>
      <c r="C52" s="434"/>
      <c r="D52" s="432"/>
      <c r="E52" s="433">
        <f>(E46*(E50+1))-E51</f>
        <v>4.2979999999998881</v>
      </c>
      <c r="F52" s="433">
        <f t="shared" ref="F52" si="15">(F46*(F50+1))-F51</f>
        <v>3.1349999999999909</v>
      </c>
      <c r="G52" s="433">
        <f t="shared" ref="G52" si="16">(G46*(G50+1))-G51</f>
        <v>9.2899999999999636</v>
      </c>
      <c r="H52" s="433">
        <f t="shared" ref="H52" si="17">(H46*(H50+1))-H51</f>
        <v>-0.4799999999999045</v>
      </c>
      <c r="I52" s="437">
        <f>0</f>
        <v>0</v>
      </c>
      <c r="J52" s="437">
        <v>0</v>
      </c>
      <c r="K52" s="437">
        <v>0</v>
      </c>
      <c r="L52" s="437">
        <v>0</v>
      </c>
      <c r="M52" s="437">
        <v>0</v>
      </c>
      <c r="N52" s="314"/>
    </row>
    <row r="53" spans="2:14" s="401" customFormat="1" ht="16" customHeight="1" x14ac:dyDescent="0.2">
      <c r="B53" s="131" t="s">
        <v>445</v>
      </c>
      <c r="C53" s="419"/>
      <c r="D53" s="419"/>
      <c r="E53" s="419"/>
      <c r="F53" s="419"/>
      <c r="G53" s="419"/>
      <c r="H53" s="419"/>
      <c r="I53" s="456"/>
      <c r="J53" s="456"/>
      <c r="K53" s="456"/>
      <c r="L53" s="456"/>
      <c r="M53" s="456"/>
    </row>
    <row r="54" spans="2:14" s="402" customFormat="1" ht="16" customHeight="1" x14ac:dyDescent="0.2">
      <c r="B54" s="416" t="s">
        <v>438</v>
      </c>
      <c r="C54" s="6"/>
      <c r="D54" s="6"/>
      <c r="E54" s="429">
        <f t="shared" ref="E54:J54" si="18">D59</f>
        <v>135.4</v>
      </c>
      <c r="F54" s="429">
        <f t="shared" si="18"/>
        <v>171.7</v>
      </c>
      <c r="G54" s="429">
        <f t="shared" si="18"/>
        <v>191.7</v>
      </c>
      <c r="H54" s="120">
        <f t="shared" si="18"/>
        <v>166.4</v>
      </c>
      <c r="I54" s="459">
        <f t="shared" si="18"/>
        <v>167.9</v>
      </c>
      <c r="J54" s="459">
        <f t="shared" si="18"/>
        <v>179.65300000000002</v>
      </c>
      <c r="K54" s="459">
        <f t="shared" ref="K54:M54" si="19">J59</f>
        <v>192.22871000000004</v>
      </c>
      <c r="L54" s="459">
        <f t="shared" si="19"/>
        <v>205.68471970000004</v>
      </c>
      <c r="M54" s="459">
        <f t="shared" si="19"/>
        <v>220.08265007900005</v>
      </c>
      <c r="N54" s="459"/>
    </row>
    <row r="55" spans="2:14" s="402" customFormat="1" ht="16" customHeight="1" x14ac:dyDescent="0.2">
      <c r="B55" s="440" t="s">
        <v>421</v>
      </c>
      <c r="C55" s="441"/>
      <c r="D55" s="441"/>
      <c r="E55" s="442">
        <v>0.22</v>
      </c>
      <c r="F55" s="442">
        <v>0.11</v>
      </c>
      <c r="G55" s="442">
        <v>-0.13</v>
      </c>
      <c r="H55" s="443">
        <v>0</v>
      </c>
      <c r="I55" s="457">
        <f>Assumptions!$D$18</f>
        <v>0.03</v>
      </c>
      <c r="J55" s="457">
        <f>$I55+(INDEX(Assumptions!$E$18:$G$18,MATCH(Assumptions!$H$18,Assumptions!$E$9:$G$9,0))-$I55)*(COLUMN()-COLUMN($I55))/4</f>
        <v>0.03</v>
      </c>
      <c r="K55" s="457">
        <f>$I55+(INDEX(Assumptions!$E$18:$G$18,MATCH(Assumptions!$H$18,Assumptions!$E$9:$G$9,0))-$I55)*(COLUMN()-COLUMN($I55))/4</f>
        <v>0.03</v>
      </c>
      <c r="L55" s="457">
        <f>$I55+(INDEX(Assumptions!$E$18:$G$18,MATCH(Assumptions!$H$18,Assumptions!$E$9:$G$9,0))-$I55)*(COLUMN()-COLUMN($I55))/4</f>
        <v>0.03</v>
      </c>
      <c r="M55" s="457">
        <f>$I55+(INDEX(Assumptions!$E$18:$G$18,MATCH(Assumptions!$H$18,Assumptions!$E$9:$G$9,0))-$I55)*(COLUMN()-COLUMN($I55))/4</f>
        <v>0.03</v>
      </c>
      <c r="N55" s="457"/>
    </row>
    <row r="56" spans="2:14" s="402" customFormat="1" ht="16" customHeight="1" x14ac:dyDescent="0.2">
      <c r="B56" s="440" t="s">
        <v>440</v>
      </c>
      <c r="C56" s="441"/>
      <c r="D56" s="441"/>
      <c r="E56" s="442">
        <v>7.0000000000000007E-2</v>
      </c>
      <c r="F56" s="442">
        <v>0.01</v>
      </c>
      <c r="G56" s="442">
        <v>0</v>
      </c>
      <c r="H56" s="443">
        <v>0.01</v>
      </c>
      <c r="I56" s="457">
        <f>Assumptions!$D$19</f>
        <v>0.03</v>
      </c>
      <c r="J56" s="457">
        <f>$I56+(INDEX(Assumptions!$E$19:$G$19,MATCH(Assumptions!$H$19,Assumptions!$E$9:$G$9,0))-$I56)*(COLUMN()-COLUMN($I56))/4</f>
        <v>0.03</v>
      </c>
      <c r="K56" s="457">
        <f>$I56+(INDEX(Assumptions!$E$19:$G$19,MATCH(Assumptions!$H$19,Assumptions!$E$9:$G$9,0))-$I56)*(COLUMN()-COLUMN($I56))/4</f>
        <v>0.03</v>
      </c>
      <c r="L56" s="457">
        <f>$I56+(INDEX(Assumptions!$E$19:$G$19,MATCH(Assumptions!$H$19,Assumptions!$E$9:$G$9,0))-$I56)*(COLUMN()-COLUMN($I56))/4</f>
        <v>0.03</v>
      </c>
      <c r="M56" s="457">
        <f>$I56+(INDEX(Assumptions!$E$19:$G$19,MATCH(Assumptions!$H$19,Assumptions!$E$9:$G$9,0))-$I56)*(COLUMN()-COLUMN($I56))/4</f>
        <v>0.03</v>
      </c>
      <c r="N56" s="536"/>
    </row>
    <row r="57" spans="2:14" s="402" customFormat="1" ht="16" customHeight="1" x14ac:dyDescent="0.2">
      <c r="B57" s="440" t="s">
        <v>424</v>
      </c>
      <c r="C57" s="441"/>
      <c r="D57" s="441"/>
      <c r="E57" s="442">
        <v>-0.02</v>
      </c>
      <c r="F57" s="442">
        <v>0</v>
      </c>
      <c r="G57" s="442">
        <v>0</v>
      </c>
      <c r="H57" s="443">
        <v>0</v>
      </c>
      <c r="I57" s="457">
        <f>Assumptions!$D$20</f>
        <v>0.01</v>
      </c>
      <c r="J57" s="457">
        <f>$I57+(INDEX(Assumptions!$E$20:$G$20,MATCH(Assumptions!$H$20,Assumptions!$E$9:$G$9,0))-$I57)*(COLUMN()-COLUMN($I57))/4</f>
        <v>0.01</v>
      </c>
      <c r="K57" s="457">
        <f>$I57+(INDEX(Assumptions!$E$20:$G$20,MATCH(Assumptions!$H$20,Assumptions!$E$9:$G$9,0))-$I57)*(COLUMN()-COLUMN($I57))/4</f>
        <v>0.01</v>
      </c>
      <c r="L57" s="457">
        <f>$I57+(INDEX(Assumptions!$E$20:$G$20,MATCH(Assumptions!$H$20,Assumptions!$E$9:$G$9,0))-$I57)*(COLUMN()-COLUMN($I57))/4</f>
        <v>0.01</v>
      </c>
      <c r="M57" s="457">
        <f>$I57+(INDEX(Assumptions!$E$20:$G$20,MATCH(Assumptions!$H$20,Assumptions!$E$9:$G$9,0))-$I57)*(COLUMN()-COLUMN($I57))/4</f>
        <v>0.01</v>
      </c>
      <c r="N57" s="537"/>
    </row>
    <row r="58" spans="2:14" s="401" customFormat="1" ht="16" customHeight="1" x14ac:dyDescent="0.2">
      <c r="B58" s="444" t="s">
        <v>422</v>
      </c>
      <c r="C58" s="445"/>
      <c r="D58" s="445"/>
      <c r="E58" s="446">
        <f>SUM(E55:E57)</f>
        <v>0.27</v>
      </c>
      <c r="F58" s="446">
        <f>SUM(F55:F57)</f>
        <v>0.12</v>
      </c>
      <c r="G58" s="446">
        <f>SUM(G55:G57)</f>
        <v>-0.13</v>
      </c>
      <c r="H58" s="396">
        <f t="shared" ref="H58" si="20">SUM(H55:H57)</f>
        <v>0.01</v>
      </c>
      <c r="I58" s="446">
        <f>SUM(I55:I57)</f>
        <v>6.9999999999999993E-2</v>
      </c>
      <c r="J58" s="446">
        <f>SUM(J55:J57)</f>
        <v>6.9999999999999993E-2</v>
      </c>
      <c r="K58" s="446">
        <f>SUM(K55:K57)</f>
        <v>6.9999999999999993E-2</v>
      </c>
      <c r="L58" s="446">
        <f>SUM(L55:L57)</f>
        <v>6.9999999999999993E-2</v>
      </c>
      <c r="M58" s="446">
        <f>SUM(M55:M57)</f>
        <v>6.9999999999999993E-2</v>
      </c>
      <c r="N58" s="445"/>
    </row>
    <row r="59" spans="2:14" s="401" customFormat="1" ht="16" customHeight="1" x14ac:dyDescent="0.2">
      <c r="B59" s="421" t="s">
        <v>439</v>
      </c>
      <c r="C59" s="418"/>
      <c r="D59" s="423">
        <v>135.4</v>
      </c>
      <c r="E59" s="423">
        <v>171.7</v>
      </c>
      <c r="F59" s="423">
        <v>191.7</v>
      </c>
      <c r="G59" s="423">
        <v>166.4</v>
      </c>
      <c r="H59" s="546">
        <v>167.9</v>
      </c>
      <c r="I59" s="458">
        <f t="shared" ref="I59:M59" si="21">I54*(1+I58)</f>
        <v>179.65300000000002</v>
      </c>
      <c r="J59" s="458">
        <f t="shared" si="21"/>
        <v>192.22871000000004</v>
      </c>
      <c r="K59" s="458">
        <f t="shared" si="21"/>
        <v>205.68471970000004</v>
      </c>
      <c r="L59" s="458">
        <f t="shared" si="21"/>
        <v>220.08265007900005</v>
      </c>
      <c r="M59" s="458">
        <f t="shared" si="21"/>
        <v>235.48843558453007</v>
      </c>
      <c r="N59" s="430"/>
    </row>
    <row r="60" spans="2:14" ht="16" customHeight="1" outlineLevel="1" x14ac:dyDescent="0.2">
      <c r="B60" s="431" t="s">
        <v>441</v>
      </c>
      <c r="C60" s="438"/>
      <c r="D60" s="439"/>
      <c r="E60" s="433">
        <f>(E54*(E58+1))-E59</f>
        <v>0.25800000000000978</v>
      </c>
      <c r="F60" s="433">
        <f t="shared" ref="F60" si="22">(F54*(F58+1))-F59</f>
        <v>0.60400000000001342</v>
      </c>
      <c r="G60" s="433">
        <f t="shared" ref="G60" si="23">(G54*(G58+1))-G59</f>
        <v>0.37899999999999068</v>
      </c>
      <c r="H60" s="433">
        <f t="shared" ref="H60" si="24">(H54*(H58+1))-H59</f>
        <v>0.16400000000001569</v>
      </c>
      <c r="I60" s="433">
        <v>0</v>
      </c>
      <c r="J60" s="433">
        <v>0</v>
      </c>
      <c r="K60" s="433">
        <v>0</v>
      </c>
      <c r="L60" s="433">
        <v>0</v>
      </c>
      <c r="M60" s="433">
        <v>0</v>
      </c>
      <c r="N60" s="438"/>
    </row>
    <row r="61" spans="2:14" ht="15" x14ac:dyDescent="0.2">
      <c r="B61" s="143" t="s">
        <v>61</v>
      </c>
      <c r="C61" s="144" t="s">
        <v>14</v>
      </c>
      <c r="D61" s="307">
        <f>SUM(D43,D51,D59)</f>
        <v>1987.6000000000001</v>
      </c>
      <c r="E61" s="307">
        <f t="shared" ref="E61:M61" si="25">SUM(E43,E51,E59)</f>
        <v>2143.5</v>
      </c>
      <c r="F61" s="307">
        <f t="shared" si="25"/>
        <v>2195.6</v>
      </c>
      <c r="G61" s="307">
        <f t="shared" si="25"/>
        <v>2113.3000000000002</v>
      </c>
      <c r="H61" s="307">
        <f t="shared" si="25"/>
        <v>2236.6</v>
      </c>
      <c r="I61" s="307">
        <f t="shared" si="25"/>
        <v>2361.7560000000003</v>
      </c>
      <c r="J61" s="307">
        <f t="shared" si="25"/>
        <v>2494.0029399999999</v>
      </c>
      <c r="K61" s="307">
        <f t="shared" si="25"/>
        <v>2633.7477060000006</v>
      </c>
      <c r="L61" s="307">
        <f t="shared" si="25"/>
        <v>2781.4208331820005</v>
      </c>
      <c r="M61" s="307">
        <f t="shared" si="25"/>
        <v>2937.4778981799609</v>
      </c>
      <c r="N61"/>
    </row>
    <row r="62" spans="2:14" ht="15" x14ac:dyDescent="0.2">
      <c r="B62" s="126" t="s">
        <v>239</v>
      </c>
      <c r="C62" s="135" t="s">
        <v>2</v>
      </c>
      <c r="D62" s="334"/>
      <c r="E62" s="335">
        <f>IFERROR(E61/D61-1,0)</f>
        <v>7.8436305091567737E-2</v>
      </c>
      <c r="F62" s="335">
        <f t="shared" ref="F62:M62" si="26">IFERROR(F61/E61-1,0)</f>
        <v>2.430604152087712E-2</v>
      </c>
      <c r="G62" s="335">
        <f t="shared" si="26"/>
        <v>-3.7484059027145022E-2</v>
      </c>
      <c r="H62" s="335">
        <f t="shared" si="26"/>
        <v>5.8344768844934336E-2</v>
      </c>
      <c r="I62" s="335">
        <f t="shared" si="26"/>
        <v>5.595815076455346E-2</v>
      </c>
      <c r="J62" s="335">
        <f t="shared" si="26"/>
        <v>5.5995174776733769E-2</v>
      </c>
      <c r="K62" s="335">
        <f t="shared" si="26"/>
        <v>5.6032318069360709E-2</v>
      </c>
      <c r="L62" s="335">
        <f t="shared" si="26"/>
        <v>5.606957980279681E-2</v>
      </c>
      <c r="M62" s="335">
        <f t="shared" si="26"/>
        <v>5.6106959125429512E-2</v>
      </c>
      <c r="N62" s="314"/>
    </row>
    <row r="63" spans="2:14" ht="15" x14ac:dyDescent="0.2">
      <c r="B63" s="2"/>
      <c r="C63" s="51"/>
      <c r="D63" s="3"/>
      <c r="E63" s="145"/>
      <c r="F63" s="145"/>
      <c r="G63" s="145"/>
      <c r="H63" s="145"/>
      <c r="I63" s="145"/>
      <c r="J63" s="145"/>
      <c r="K63" s="145"/>
      <c r="L63" s="145"/>
      <c r="M63" s="145"/>
      <c r="N63"/>
    </row>
    <row r="64" spans="2:14" ht="15" x14ac:dyDescent="0.2">
      <c r="B64" s="172"/>
      <c r="C64" s="3"/>
      <c r="D64" s="3"/>
      <c r="E64" s="3"/>
      <c r="F64" s="3"/>
      <c r="G64" s="3"/>
      <c r="H64" s="3"/>
      <c r="I64" s="3"/>
      <c r="J64" s="3"/>
      <c r="K64" s="3"/>
      <c r="L64" s="3"/>
      <c r="M64" s="3"/>
      <c r="N64"/>
    </row>
    <row r="65" spans="2:14" ht="15" x14ac:dyDescent="0.2">
      <c r="B65"/>
      <c r="C65"/>
      <c r="D65"/>
      <c r="E65"/>
      <c r="F65"/>
      <c r="G65"/>
      <c r="H65"/>
      <c r="I65"/>
      <c r="J65"/>
      <c r="K65"/>
      <c r="L65"/>
      <c r="M65"/>
      <c r="N65"/>
    </row>
    <row r="66" spans="2:14" ht="15" x14ac:dyDescent="0.2">
      <c r="B66"/>
      <c r="C66"/>
      <c r="D66"/>
      <c r="E66"/>
      <c r="F66"/>
      <c r="G66"/>
      <c r="H66"/>
      <c r="I66"/>
      <c r="J66"/>
      <c r="K66"/>
      <c r="L66"/>
      <c r="M66"/>
      <c r="N66"/>
    </row>
    <row r="67" spans="2:14" ht="15" x14ac:dyDescent="0.2">
      <c r="B67"/>
      <c r="C67"/>
      <c r="D67"/>
      <c r="E67"/>
      <c r="F67"/>
      <c r="G67"/>
      <c r="H67"/>
      <c r="I67"/>
      <c r="J67"/>
      <c r="K67"/>
      <c r="L67"/>
      <c r="M67"/>
      <c r="N67"/>
    </row>
    <row r="68" spans="2:14" ht="15" x14ac:dyDescent="0.2">
      <c r="B68"/>
      <c r="C68"/>
      <c r="D68"/>
      <c r="E68"/>
      <c r="F68"/>
      <c r="G68"/>
      <c r="H68"/>
      <c r="I68"/>
      <c r="J68"/>
      <c r="K68"/>
      <c r="L68"/>
      <c r="M68"/>
      <c r="N68"/>
    </row>
    <row r="69" spans="2:14" ht="15" x14ac:dyDescent="0.2">
      <c r="B69"/>
      <c r="C69"/>
      <c r="D69"/>
      <c r="E69"/>
      <c r="F69"/>
      <c r="G69"/>
      <c r="H69"/>
      <c r="I69"/>
      <c r="J69"/>
      <c r="K69"/>
      <c r="L69"/>
      <c r="M69"/>
      <c r="N69"/>
    </row>
    <row r="70" spans="2:14" ht="15" x14ac:dyDescent="0.2">
      <c r="B70"/>
      <c r="C70"/>
      <c r="D70"/>
      <c r="E70"/>
      <c r="F70"/>
      <c r="G70"/>
      <c r="H70"/>
      <c r="I70"/>
      <c r="J70"/>
      <c r="K70"/>
      <c r="L70"/>
      <c r="M70"/>
      <c r="N70"/>
    </row>
    <row r="71" spans="2:14" ht="15" x14ac:dyDescent="0.2">
      <c r="B71"/>
      <c r="C71"/>
      <c r="D71"/>
      <c r="E71"/>
      <c r="F71"/>
      <c r="G71"/>
      <c r="H71"/>
      <c r="I71"/>
      <c r="J71"/>
      <c r="K71"/>
      <c r="L71"/>
      <c r="M71"/>
      <c r="N71"/>
    </row>
  </sheetData>
  <mergeCells count="2">
    <mergeCell ref="B6:M6"/>
    <mergeCell ref="B7:M11"/>
  </mergeCells>
  <pageMargins left="0.75" right="0.75" top="1" bottom="1" header="0.5" footer="0.5"/>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B2:O61"/>
  <sheetViews>
    <sheetView showGridLines="0" workbookViewId="0"/>
  </sheetViews>
  <sheetFormatPr baseColWidth="10" defaultColWidth="8.83203125" defaultRowHeight="14" outlineLevelRow="1" x14ac:dyDescent="0.2"/>
  <cols>
    <col min="1" max="1" width="1.6640625" style="16" customWidth="1"/>
    <col min="2" max="2" width="41.6640625" style="16" customWidth="1"/>
    <col min="3" max="3" width="8.33203125" style="16" customWidth="1"/>
    <col min="4" max="13" width="12.5" style="17" customWidth="1"/>
    <col min="14" max="14" width="1.6640625" style="16" customWidth="1"/>
    <col min="15" max="15" width="62.83203125" style="16" customWidth="1"/>
    <col min="16" max="17" width="8.83203125" style="16" customWidth="1"/>
    <col min="18" max="16384" width="8.83203125" style="16"/>
  </cols>
  <sheetData>
    <row r="2" spans="2:15" ht="19" customHeight="1" x14ac:dyDescent="0.2">
      <c r="B2" s="20" t="s">
        <v>52</v>
      </c>
      <c r="C2"/>
      <c r="D2"/>
      <c r="E2"/>
      <c r="F2"/>
      <c r="G2"/>
      <c r="H2"/>
      <c r="I2"/>
      <c r="J2"/>
      <c r="K2"/>
      <c r="L2"/>
      <c r="M2"/>
      <c r="N2"/>
    </row>
    <row r="3" spans="2:15" ht="15" x14ac:dyDescent="0.2">
      <c r="B3" s="14" t="s">
        <v>589</v>
      </c>
      <c r="C3"/>
      <c r="D3"/>
      <c r="E3"/>
      <c r="F3"/>
      <c r="G3"/>
      <c r="H3"/>
      <c r="I3"/>
      <c r="J3"/>
      <c r="K3"/>
      <c r="L3"/>
      <c r="M3"/>
      <c r="N3"/>
    </row>
    <row r="4" spans="2:15" ht="15" x14ac:dyDescent="0.2">
      <c r="B4" s="14" t="s">
        <v>0</v>
      </c>
      <c r="C4"/>
      <c r="D4"/>
      <c r="E4"/>
      <c r="F4"/>
      <c r="G4"/>
      <c r="H4"/>
      <c r="I4"/>
      <c r="J4"/>
      <c r="K4"/>
      <c r="L4"/>
      <c r="M4"/>
      <c r="N4"/>
    </row>
    <row r="5" spans="2:15" ht="15" x14ac:dyDescent="0.2">
      <c r="B5"/>
      <c r="C5"/>
      <c r="D5"/>
      <c r="E5"/>
      <c r="F5"/>
      <c r="G5"/>
      <c r="H5"/>
      <c r="I5"/>
      <c r="J5"/>
      <c r="K5"/>
      <c r="L5"/>
      <c r="M5"/>
      <c r="N5"/>
    </row>
    <row r="6" spans="2:15" ht="15" x14ac:dyDescent="0.2">
      <c r="B6"/>
      <c r="C6" s="53" t="s">
        <v>12</v>
      </c>
      <c r="D6" s="97" t="str">
        <f>IF('Cover Page'!$C$63+0&lt;'Cover Page'!$C$64,"FY"&amp;TEXT(MOD('Cover Page'!$C$63+0,100),"00")&amp;"A","FY"&amp;TEXT(MOD('Cover Page'!$C$63+0,100),"00")&amp;"E")</f>
        <v>FY21A</v>
      </c>
      <c r="E6" s="97" t="str">
        <f>IF('Cover Page'!$C$63+1&lt;'Cover Page'!$C$64,"FY"&amp;TEXT(MOD('Cover Page'!$C$63+1,100),"00")&amp;"A","FY"&amp;TEXT(MOD('Cover Page'!$C$63+1,100),"00")&amp;"E")</f>
        <v>FY22A</v>
      </c>
      <c r="F6" s="97" t="str">
        <f>IF('Cover Page'!$C$63+2&lt;'Cover Page'!$C$64,"FY"&amp;TEXT(MOD('Cover Page'!$C$63+2,100),"00")&amp;"A","FY"&amp;TEXT(MOD('Cover Page'!$C$63+2,100),"00")&amp;"E")</f>
        <v>FY23A</v>
      </c>
      <c r="G6" s="97" t="str">
        <f>IF('Cover Page'!$C$63+3&lt;'Cover Page'!$C$64,"FY"&amp;TEXT(MOD('Cover Page'!$C$63+3,100),"00")&amp;"A","FY"&amp;TEXT(MOD('Cover Page'!$C$63+3,100),"00")&amp;"E")</f>
        <v>FY24A</v>
      </c>
      <c r="H6" s="97" t="str">
        <f>IF('Cover Page'!$C$63+4&lt;'Cover Page'!$C$64,"FY"&amp;TEXT(MOD('Cover Page'!$C$63+4,100),"00")&amp;"A","FY"&amp;TEXT(MOD('Cover Page'!$C$63+4,100),"00")&amp;"E")</f>
        <v>FY25A</v>
      </c>
      <c r="I6" s="98" t="str">
        <f>IF('Cover Page'!$C$63+5&lt;'Cover Page'!$C$64,"FY"&amp;TEXT(MOD('Cover Page'!$C$63+5,100),"00")&amp;"A","FY"&amp;TEXT(MOD('Cover Page'!$C$63+5,100),"00")&amp;"E")</f>
        <v>FY26E</v>
      </c>
      <c r="J6" s="98" t="str">
        <f>IF('Cover Page'!$C$63+6&lt;'Cover Page'!$C$64,"FY"&amp;TEXT(MOD('Cover Page'!$C$63+6,100),"00")&amp;"A","FY"&amp;TEXT(MOD('Cover Page'!$C$63+6,100),"00")&amp;"E")</f>
        <v>FY27E</v>
      </c>
      <c r="K6" s="98" t="str">
        <f>IF('Cover Page'!$C$63+7&lt;'Cover Page'!$C$64,"FY"&amp;TEXT(MOD('Cover Page'!$C$63+7,100),"00")&amp;"A","FY"&amp;TEXT(MOD('Cover Page'!$C$63+7,100),"00")&amp;"E")</f>
        <v>FY28E</v>
      </c>
      <c r="L6" s="98" t="str">
        <f>IF('Cover Page'!$C$63+8&lt;'Cover Page'!$C$64,"FY"&amp;TEXT(MOD('Cover Page'!$C$63+8,100),"00")&amp;"A","FY"&amp;TEXT(MOD('Cover Page'!$C$63+8,100),"00")&amp;"E")</f>
        <v>FY29E</v>
      </c>
      <c r="M6" s="98" t="str">
        <f>IF('Cover Page'!$C$63+9&lt;'Cover Page'!$C$64,"FY"&amp;TEXT(MOD('Cover Page'!$C$63+9,100),"00")&amp;"A","FY"&amp;TEXT(MOD('Cover Page'!$C$63+9,100),"00")&amp;"E")</f>
        <v>FY30E</v>
      </c>
      <c r="N6"/>
      <c r="O6" s="13" t="s">
        <v>60</v>
      </c>
    </row>
    <row r="7" spans="2:15" ht="15" x14ac:dyDescent="0.2">
      <c r="B7" s="3"/>
      <c r="C7" s="3"/>
      <c r="D7" s="3"/>
      <c r="E7" s="3"/>
      <c r="F7" s="3"/>
      <c r="G7" s="3"/>
      <c r="H7" s="3"/>
      <c r="I7" s="3"/>
      <c r="J7" s="3"/>
      <c r="K7" s="3"/>
      <c r="L7" s="3"/>
      <c r="M7" s="3"/>
      <c r="N7"/>
    </row>
    <row r="8" spans="2:15" ht="16" customHeight="1" thickBot="1" x14ac:dyDescent="0.25">
      <c r="B8" s="99" t="s">
        <v>82</v>
      </c>
      <c r="C8" s="181"/>
      <c r="D8" s="182"/>
      <c r="E8" s="182"/>
      <c r="F8" s="182"/>
      <c r="G8" s="182"/>
      <c r="H8" s="182"/>
      <c r="I8" s="182"/>
      <c r="J8" s="182"/>
      <c r="K8" s="182"/>
      <c r="L8" s="182"/>
      <c r="M8" s="182"/>
      <c r="N8"/>
    </row>
    <row r="9" spans="2:15" ht="16" customHeight="1" x14ac:dyDescent="0.2">
      <c r="B9" s="49" t="s">
        <v>431</v>
      </c>
      <c r="C9" s="180" t="s">
        <v>14</v>
      </c>
      <c r="D9" s="543">
        <f>'Revenue Build'!D43</f>
        <v>987.6</v>
      </c>
      <c r="E9" s="543">
        <f>'Revenue Build'!E43</f>
        <v>999.1</v>
      </c>
      <c r="F9" s="543">
        <f>'Revenue Build'!F43</f>
        <v>985.7</v>
      </c>
      <c r="G9" s="543">
        <f>'Revenue Build'!G43</f>
        <v>988.9</v>
      </c>
      <c r="H9" s="543">
        <f>'Revenue Build'!H43</f>
        <v>1071.9000000000001</v>
      </c>
      <c r="I9" s="543">
        <f>'Revenue Build'!I43</f>
        <v>1125.4950000000001</v>
      </c>
      <c r="J9" s="543">
        <f>'Revenue Build'!J43</f>
        <v>1181.7697500000002</v>
      </c>
      <c r="K9" s="543">
        <f>'Revenue Build'!K43</f>
        <v>1240.8582375000003</v>
      </c>
      <c r="L9" s="543">
        <f>'Revenue Build'!L43</f>
        <v>1302.9011493750004</v>
      </c>
      <c r="M9" s="543">
        <f>'Revenue Build'!M43</f>
        <v>1368.0462068437505</v>
      </c>
      <c r="N9"/>
      <c r="O9" s="661" t="s">
        <v>627</v>
      </c>
    </row>
    <row r="10" spans="2:15" ht="16" customHeight="1" x14ac:dyDescent="0.2">
      <c r="B10" s="5" t="s">
        <v>432</v>
      </c>
      <c r="C10" s="81" t="s">
        <v>14</v>
      </c>
      <c r="D10" s="544">
        <f>'Revenue Build'!D51</f>
        <v>864.6</v>
      </c>
      <c r="E10" s="544">
        <f>'Revenue Build'!E51</f>
        <v>972.7</v>
      </c>
      <c r="F10" s="544">
        <f>'Revenue Build'!F51</f>
        <v>1018.2</v>
      </c>
      <c r="G10" s="544">
        <f>'Revenue Build'!G51</f>
        <v>958</v>
      </c>
      <c r="H10" s="544">
        <f>'Revenue Build'!H51</f>
        <v>996.8</v>
      </c>
      <c r="I10" s="544">
        <f>'Revenue Build'!I51</f>
        <v>1056.6079999999999</v>
      </c>
      <c r="J10" s="544">
        <f>'Revenue Build'!J51</f>
        <v>1120.0044800000001</v>
      </c>
      <c r="K10" s="544">
        <f>'Revenue Build'!K51</f>
        <v>1187.2047488000001</v>
      </c>
      <c r="L10" s="544">
        <f>'Revenue Build'!L51</f>
        <v>1258.4370337280002</v>
      </c>
      <c r="M10" s="544">
        <f>'Revenue Build'!M51</f>
        <v>1333.9432557516802</v>
      </c>
      <c r="N10"/>
      <c r="O10" s="661"/>
    </row>
    <row r="11" spans="2:15" s="12" customFormat="1" ht="15" x14ac:dyDescent="0.2">
      <c r="B11" s="3" t="s">
        <v>437</v>
      </c>
      <c r="C11" s="133" t="s">
        <v>14</v>
      </c>
      <c r="D11" s="545">
        <f>'Revenue Build'!D59</f>
        <v>135.4</v>
      </c>
      <c r="E11" s="545">
        <f>'Revenue Build'!E59</f>
        <v>171.7</v>
      </c>
      <c r="F11" s="545">
        <f>'Revenue Build'!F59</f>
        <v>191.7</v>
      </c>
      <c r="G11" s="545">
        <f>'Revenue Build'!G59</f>
        <v>166.4</v>
      </c>
      <c r="H11" s="545">
        <f>'Revenue Build'!H59</f>
        <v>167.9</v>
      </c>
      <c r="I11" s="544">
        <f>'Revenue Build'!I59</f>
        <v>179.65300000000002</v>
      </c>
      <c r="J11" s="544">
        <f>'Revenue Build'!J59</f>
        <v>192.22871000000004</v>
      </c>
      <c r="K11" s="544">
        <f>'Revenue Build'!K59</f>
        <v>205.68471970000004</v>
      </c>
      <c r="L11" s="544">
        <f>'Revenue Build'!L59</f>
        <v>220.08265007900005</v>
      </c>
      <c r="M11" s="544">
        <f>'Revenue Build'!M59</f>
        <v>235.48843558453007</v>
      </c>
      <c r="N11"/>
      <c r="O11" s="661"/>
    </row>
    <row r="12" spans="2:15" ht="15" x14ac:dyDescent="0.2">
      <c r="B12" s="154" t="s">
        <v>122</v>
      </c>
      <c r="C12" s="155" t="s">
        <v>14</v>
      </c>
      <c r="D12" s="635">
        <f t="shared" ref="D12:I12" si="0">SUM(D9:D11)</f>
        <v>1987.6000000000001</v>
      </c>
      <c r="E12" s="635">
        <f t="shared" si="0"/>
        <v>2143.5</v>
      </c>
      <c r="F12" s="635">
        <f t="shared" si="0"/>
        <v>2195.6</v>
      </c>
      <c r="G12" s="635">
        <f t="shared" si="0"/>
        <v>2113.3000000000002</v>
      </c>
      <c r="H12" s="635">
        <f t="shared" si="0"/>
        <v>2236.6</v>
      </c>
      <c r="I12" s="635">
        <f t="shared" si="0"/>
        <v>2361.7560000000003</v>
      </c>
      <c r="J12" s="635">
        <f t="shared" ref="J12:M12" si="1">SUM(J9:J11)</f>
        <v>2494.0029399999999</v>
      </c>
      <c r="K12" s="635">
        <f t="shared" si="1"/>
        <v>2633.7477060000006</v>
      </c>
      <c r="L12" s="635">
        <f t="shared" si="1"/>
        <v>2781.4208331820005</v>
      </c>
      <c r="M12" s="635">
        <f t="shared" si="1"/>
        <v>2937.4778981799609</v>
      </c>
      <c r="N12"/>
      <c r="O12" s="661"/>
    </row>
    <row r="13" spans="2:15" ht="16" customHeight="1" x14ac:dyDescent="0.2">
      <c r="B13" s="151" t="s">
        <v>121</v>
      </c>
      <c r="C13" s="135" t="s">
        <v>2</v>
      </c>
      <c r="D13" s="547" t="str">
        <f>"-"</f>
        <v>-</v>
      </c>
      <c r="E13" s="548">
        <f>E12/D12-1</f>
        <v>7.8436305091567737E-2</v>
      </c>
      <c r="F13" s="548">
        <f>F12/E12-1</f>
        <v>2.430604152087712E-2</v>
      </c>
      <c r="G13" s="548">
        <f>G12/F12-1</f>
        <v>-3.7484059027145022E-2</v>
      </c>
      <c r="H13" s="548">
        <f>H12/G12-1</f>
        <v>5.8344768844934336E-2</v>
      </c>
      <c r="I13" s="548">
        <f>I12/H12-1</f>
        <v>5.595815076455346E-2</v>
      </c>
      <c r="J13" s="548">
        <f t="shared" ref="J13:M13" si="2">J12/I12-1</f>
        <v>5.5995174776733769E-2</v>
      </c>
      <c r="K13" s="548">
        <f t="shared" si="2"/>
        <v>5.6032318069360709E-2</v>
      </c>
      <c r="L13" s="548">
        <f t="shared" si="2"/>
        <v>5.606957980279681E-2</v>
      </c>
      <c r="M13" s="548">
        <f t="shared" si="2"/>
        <v>5.6106959125429512E-2</v>
      </c>
      <c r="N13" s="314"/>
      <c r="O13" s="661"/>
    </row>
    <row r="14" spans="2:15" ht="15" x14ac:dyDescent="0.2">
      <c r="B14" s="3"/>
      <c r="C14" s="51"/>
      <c r="D14" s="3"/>
      <c r="E14" s="3"/>
      <c r="F14" s="3"/>
      <c r="G14" s="3"/>
      <c r="H14" s="3"/>
      <c r="I14" s="3"/>
      <c r="J14" s="3"/>
      <c r="K14" s="3"/>
      <c r="L14" s="3"/>
      <c r="M14" s="3"/>
      <c r="N14"/>
      <c r="O14" s="656"/>
    </row>
    <row r="15" spans="2:15" ht="16" thickBot="1" x14ac:dyDescent="0.25">
      <c r="B15" s="99" t="s">
        <v>557</v>
      </c>
      <c r="C15" s="74"/>
      <c r="D15" s="130"/>
      <c r="E15" s="130"/>
      <c r="F15" s="130"/>
      <c r="G15" s="130"/>
      <c r="H15" s="130"/>
      <c r="I15" s="130"/>
      <c r="J15" s="130"/>
      <c r="K15" s="130"/>
      <c r="L15" s="130"/>
      <c r="M15" s="130"/>
      <c r="N15"/>
      <c r="O15" s="657"/>
    </row>
    <row r="16" spans="2:15" ht="15" x14ac:dyDescent="0.2">
      <c r="B16" s="148" t="s">
        <v>628</v>
      </c>
      <c r="C16" s="152" t="s">
        <v>14</v>
      </c>
      <c r="D16" s="549">
        <v>953.7</v>
      </c>
      <c r="E16" s="549">
        <v>1086.0999999999999</v>
      </c>
      <c r="F16" s="549">
        <v>1034.5999999999999</v>
      </c>
      <c r="G16" s="549">
        <v>990.9</v>
      </c>
      <c r="H16" s="549">
        <v>1063.4000000000001</v>
      </c>
      <c r="I16" s="560">
        <f>Assumptions!I52*I12</f>
        <v>1122.9058975230264</v>
      </c>
      <c r="J16" s="560">
        <f>Assumptions!J52*J12</f>
        <v>1185.50025625949</v>
      </c>
      <c r="K16" s="560">
        <f>Assumptions!K52*K12</f>
        <v>1251.627775909687</v>
      </c>
      <c r="L16" s="560">
        <f>Assumptions!L52*L12</f>
        <v>1321.4904575679511</v>
      </c>
      <c r="M16" s="560">
        <f>Assumptions!M52*M12</f>
        <v>1395.3020016354815</v>
      </c>
      <c r="N16"/>
      <c r="O16" s="661" t="s">
        <v>647</v>
      </c>
    </row>
    <row r="17" spans="2:15" ht="15" x14ac:dyDescent="0.2">
      <c r="B17" s="150" t="s">
        <v>558</v>
      </c>
      <c r="C17" s="133" t="s">
        <v>2</v>
      </c>
      <c r="D17" s="551">
        <f t="shared" ref="D17:I17" si="3">D18/D12</f>
        <v>0.5201750855302878</v>
      </c>
      <c r="E17" s="551">
        <f t="shared" si="3"/>
        <v>0.49330534173081414</v>
      </c>
      <c r="F17" s="551">
        <f t="shared" si="3"/>
        <v>0.52878484241209689</v>
      </c>
      <c r="G17" s="551">
        <f t="shared" si="3"/>
        <v>0.53111247811479678</v>
      </c>
      <c r="H17" s="551">
        <f t="shared" si="3"/>
        <v>0.5245461861754448</v>
      </c>
      <c r="I17" s="551">
        <f>I18/I12</f>
        <v>0.5245461861754448</v>
      </c>
      <c r="J17" s="551">
        <f t="shared" ref="J17:M17" si="4">J18/J12</f>
        <v>0.52465963963158357</v>
      </c>
      <c r="K17" s="551">
        <f t="shared" si="4"/>
        <v>0.52477309308772235</v>
      </c>
      <c r="L17" s="551">
        <f t="shared" si="4"/>
        <v>0.52488654654386124</v>
      </c>
      <c r="M17" s="551">
        <f>M18/M12</f>
        <v>0.52500000000000002</v>
      </c>
      <c r="N17" s="314"/>
      <c r="O17" s="661"/>
    </row>
    <row r="18" spans="2:15" ht="15" x14ac:dyDescent="0.2">
      <c r="B18" s="156" t="s">
        <v>557</v>
      </c>
      <c r="C18" s="157" t="s">
        <v>14</v>
      </c>
      <c r="D18" s="550">
        <f t="shared" ref="D18:I18" si="5">D12-D16</f>
        <v>1033.9000000000001</v>
      </c>
      <c r="E18" s="550">
        <f t="shared" si="5"/>
        <v>1057.4000000000001</v>
      </c>
      <c r="F18" s="550">
        <f t="shared" si="5"/>
        <v>1161</v>
      </c>
      <c r="G18" s="550">
        <f t="shared" si="5"/>
        <v>1122.4000000000001</v>
      </c>
      <c r="H18" s="550">
        <f t="shared" si="5"/>
        <v>1173.1999999999998</v>
      </c>
      <c r="I18" s="550">
        <f t="shared" si="5"/>
        <v>1238.8501024769739</v>
      </c>
      <c r="J18" s="550">
        <f t="shared" ref="J18:M18" si="6">J12-J16</f>
        <v>1308.5026837405098</v>
      </c>
      <c r="K18" s="550">
        <f t="shared" si="6"/>
        <v>1382.1199300903136</v>
      </c>
      <c r="L18" s="550">
        <f t="shared" si="6"/>
        <v>1459.9303756140494</v>
      </c>
      <c r="M18" s="550">
        <f t="shared" si="6"/>
        <v>1542.1758965444794</v>
      </c>
      <c r="N18" s="314"/>
      <c r="O18" s="661"/>
    </row>
    <row r="19" spans="2:15" ht="15" x14ac:dyDescent="0.2">
      <c r="B19" s="150"/>
      <c r="C19" s="133"/>
      <c r="D19" s="336"/>
      <c r="E19" s="336"/>
      <c r="F19" s="336"/>
      <c r="G19" s="336"/>
      <c r="H19" s="336"/>
      <c r="I19" s="336"/>
      <c r="J19" s="336"/>
      <c r="K19" s="336"/>
      <c r="L19" s="336"/>
      <c r="M19" s="336"/>
      <c r="N19" s="314"/>
      <c r="O19" s="391"/>
    </row>
    <row r="20" spans="2:15" ht="16" thickBot="1" x14ac:dyDescent="0.25">
      <c r="B20" s="99" t="s">
        <v>560</v>
      </c>
      <c r="C20" s="181"/>
      <c r="D20" s="182"/>
      <c r="E20" s="182"/>
      <c r="F20" s="182"/>
      <c r="G20" s="182"/>
      <c r="H20" s="182"/>
      <c r="I20" s="182"/>
      <c r="J20" s="182"/>
      <c r="K20" s="182"/>
      <c r="L20" s="182"/>
      <c r="M20" s="182"/>
      <c r="N20" s="314"/>
      <c r="O20" s="391"/>
    </row>
    <row r="21" spans="2:15" ht="15" customHeight="1" x14ac:dyDescent="0.2">
      <c r="B21" s="208" t="s">
        <v>629</v>
      </c>
      <c r="C21" s="81" t="s">
        <v>14</v>
      </c>
      <c r="D21" s="566">
        <v>79.7</v>
      </c>
      <c r="E21" s="566">
        <v>80</v>
      </c>
      <c r="F21" s="566">
        <v>82.8</v>
      </c>
      <c r="G21" s="566">
        <v>87.2</v>
      </c>
      <c r="H21" s="566">
        <v>82.3</v>
      </c>
      <c r="I21" s="567">
        <f>Assumptions!I54*I12</f>
        <v>89.746728000000004</v>
      </c>
      <c r="J21" s="567">
        <f>Assumptions!J54*J12</f>
        <v>92.521755226566214</v>
      </c>
      <c r="K21" s="567">
        <f>Assumptions!K54*K12</f>
        <v>98.498113371837817</v>
      </c>
      <c r="L21" s="567">
        <f>Assumptions!L54*L12</f>
        <v>104.8574264304405</v>
      </c>
      <c r="M21" s="567">
        <f>Assumptions!M54*M12</f>
        <v>111.62416013083852</v>
      </c>
      <c r="N21" s="314"/>
      <c r="O21" s="661" t="s">
        <v>633</v>
      </c>
    </row>
    <row r="22" spans="2:15" ht="15" x14ac:dyDescent="0.2">
      <c r="B22" s="146" t="s">
        <v>638</v>
      </c>
      <c r="C22" s="81" t="s">
        <v>2</v>
      </c>
      <c r="D22" s="556">
        <f>D21/D$12</f>
        <v>4.0098611390621854E-2</v>
      </c>
      <c r="E22" s="556">
        <f t="shared" ref="E22:H22" si="7">E21/E$12</f>
        <v>3.7322136692325633E-2</v>
      </c>
      <c r="F22" s="556">
        <f t="shared" si="7"/>
        <v>3.7711787210785205E-2</v>
      </c>
      <c r="G22" s="556">
        <f t="shared" si="7"/>
        <v>4.1262480480764675E-2</v>
      </c>
      <c r="H22" s="556">
        <f t="shared" si="7"/>
        <v>3.6796923902351786E-2</v>
      </c>
      <c r="I22" s="556">
        <f>I21/I12</f>
        <v>3.7999999999999999E-2</v>
      </c>
      <c r="J22" s="556">
        <f t="shared" ref="J22:M22" si="8">J21/J12</f>
        <v>3.7097692926763841E-2</v>
      </c>
      <c r="K22" s="556">
        <f t="shared" si="8"/>
        <v>3.7398461951175896E-2</v>
      </c>
      <c r="L22" s="556">
        <f t="shared" si="8"/>
        <v>3.7699230975587944E-2</v>
      </c>
      <c r="M22" s="556">
        <f t="shared" si="8"/>
        <v>3.7999999999999999E-2</v>
      </c>
      <c r="N22" s="314"/>
      <c r="O22" s="661"/>
    </row>
    <row r="23" spans="2:15" ht="15" x14ac:dyDescent="0.2">
      <c r="B23" s="5" t="s">
        <v>630</v>
      </c>
      <c r="C23" s="81" t="s">
        <v>14</v>
      </c>
      <c r="D23" s="541">
        <v>271.5</v>
      </c>
      <c r="E23" s="541">
        <v>250.9</v>
      </c>
      <c r="F23" s="541">
        <v>260.7</v>
      </c>
      <c r="G23" s="541">
        <v>273.7</v>
      </c>
      <c r="H23" s="541">
        <v>273.89999999999998</v>
      </c>
      <c r="I23" s="569">
        <f>Assumptions!I55*I12</f>
        <v>295.21950000000004</v>
      </c>
      <c r="J23" s="569">
        <f>Assumptions!J55*J12</f>
        <v>307.00427968216258</v>
      </c>
      <c r="K23" s="569">
        <f>Assumptions!K55*K12</f>
        <v>325.87711516997905</v>
      </c>
      <c r="L23" s="569">
        <f>Assumptions!L55*L12</f>
        <v>345.91325611632874</v>
      </c>
      <c r="M23" s="569">
        <f>Assumptions!M55*M12</f>
        <v>367.18473727249511</v>
      </c>
      <c r="N23"/>
      <c r="O23" s="661"/>
    </row>
    <row r="24" spans="2:15" ht="15" x14ac:dyDescent="0.2">
      <c r="B24" s="146" t="s">
        <v>638</v>
      </c>
      <c r="C24" s="81" t="s">
        <v>2</v>
      </c>
      <c r="D24" s="557">
        <f>D23/D$12</f>
        <v>0.13659690078486617</v>
      </c>
      <c r="E24" s="557">
        <f t="shared" ref="E24:H24" si="9">E23/E$12</f>
        <v>0.11705155120130628</v>
      </c>
      <c r="F24" s="557">
        <f t="shared" si="9"/>
        <v>0.11873747494989979</v>
      </c>
      <c r="G24" s="557">
        <f t="shared" si="9"/>
        <v>0.12951308380258361</v>
      </c>
      <c r="H24" s="557">
        <f t="shared" si="9"/>
        <v>0.12246266654743806</v>
      </c>
      <c r="I24" s="557">
        <f>I23/I12</f>
        <v>0.125</v>
      </c>
      <c r="J24" s="557">
        <f t="shared" ref="J24:M24" si="10">J23/J12</f>
        <v>0.12309699991057853</v>
      </c>
      <c r="K24" s="557">
        <f t="shared" si="10"/>
        <v>0.12373133327371903</v>
      </c>
      <c r="L24" s="557">
        <f t="shared" si="10"/>
        <v>0.12436566663685952</v>
      </c>
      <c r="M24" s="557">
        <f t="shared" si="10"/>
        <v>0.125</v>
      </c>
      <c r="N24"/>
      <c r="O24" s="661"/>
    </row>
    <row r="25" spans="2:15" ht="15" x14ac:dyDescent="0.2">
      <c r="B25" s="5" t="s">
        <v>631</v>
      </c>
      <c r="C25" s="81" t="s">
        <v>14</v>
      </c>
      <c r="D25" s="541">
        <v>151.4</v>
      </c>
      <c r="E25" s="541">
        <v>153.80000000000001</v>
      </c>
      <c r="F25" s="541">
        <v>171.4</v>
      </c>
      <c r="G25" s="541">
        <v>191.4</v>
      </c>
      <c r="H25" s="541">
        <v>206.2</v>
      </c>
      <c r="I25" s="569">
        <f>Assumptions!I56*I12</f>
        <v>207.83452800000001</v>
      </c>
      <c r="J25" s="569">
        <f>Assumptions!J56*J12</f>
        <v>227.31622468670659</v>
      </c>
      <c r="K25" s="569">
        <f>Assumptions!K56*K12</f>
        <v>237.29211916978559</v>
      </c>
      <c r="L25" s="569">
        <f>Assumptions!L56*L12</f>
        <v>247.68101095108332</v>
      </c>
      <c r="M25" s="569">
        <f>Assumptions!M56*M12</f>
        <v>258.49805503983657</v>
      </c>
      <c r="N25"/>
      <c r="O25" s="661"/>
    </row>
    <row r="26" spans="2:15" ht="15" x14ac:dyDescent="0.2">
      <c r="B26" s="146" t="s">
        <v>638</v>
      </c>
      <c r="C26" s="81" t="s">
        <v>2</v>
      </c>
      <c r="D26" s="556">
        <f>D25/D$12</f>
        <v>7.6172268061984294E-2</v>
      </c>
      <c r="E26" s="556">
        <f t="shared" ref="E26:H26" si="11">E25/E$12</f>
        <v>7.1751807790996033E-2</v>
      </c>
      <c r="F26" s="556">
        <f t="shared" si="11"/>
        <v>7.80652213517945E-2</v>
      </c>
      <c r="G26" s="556">
        <f t="shared" si="11"/>
        <v>9.0569251880944487E-2</v>
      </c>
      <c r="H26" s="556">
        <f t="shared" si="11"/>
        <v>9.2193508003219168E-2</v>
      </c>
      <c r="I26" s="556">
        <f>I25/I12</f>
        <v>8.7999999999999995E-2</v>
      </c>
      <c r="J26" s="556">
        <f t="shared" ref="J26:M26" si="12">J25/J12</f>
        <v>9.1145131002414378E-2</v>
      </c>
      <c r="K26" s="556">
        <f t="shared" si="12"/>
        <v>9.0096754001609575E-2</v>
      </c>
      <c r="L26" s="556">
        <f t="shared" si="12"/>
        <v>8.9048377000804785E-2</v>
      </c>
      <c r="M26" s="556">
        <f t="shared" si="12"/>
        <v>8.8000000000000009E-2</v>
      </c>
      <c r="N26" s="314"/>
      <c r="O26" s="661"/>
    </row>
    <row r="27" spans="2:15" ht="15" x14ac:dyDescent="0.2">
      <c r="B27" s="5" t="s">
        <v>632</v>
      </c>
      <c r="C27" s="81" t="s">
        <v>14</v>
      </c>
      <c r="D27" s="558">
        <v>0</v>
      </c>
      <c r="E27" s="558">
        <v>0</v>
      </c>
      <c r="F27" s="558">
        <v>-0.8</v>
      </c>
      <c r="G27" s="558">
        <v>0</v>
      </c>
      <c r="H27" s="558">
        <v>-14.1</v>
      </c>
      <c r="I27" s="558">
        <v>0</v>
      </c>
      <c r="J27" s="558">
        <v>0</v>
      </c>
      <c r="K27" s="558">
        <v>0</v>
      </c>
      <c r="L27" s="558">
        <v>0</v>
      </c>
      <c r="M27" s="558">
        <v>0</v>
      </c>
      <c r="N27" s="314"/>
      <c r="O27" s="661"/>
    </row>
    <row r="28" spans="2:15" ht="15" x14ac:dyDescent="0.2">
      <c r="B28" s="179" t="s">
        <v>562</v>
      </c>
      <c r="C28" s="554" t="s">
        <v>14</v>
      </c>
      <c r="D28" s="555">
        <f t="shared" ref="D28:I28" si="13">SUM(D21,D23,D25,D27)</f>
        <v>502.6</v>
      </c>
      <c r="E28" s="555">
        <f t="shared" si="13"/>
        <v>484.7</v>
      </c>
      <c r="F28" s="555">
        <f t="shared" si="13"/>
        <v>514.1</v>
      </c>
      <c r="G28" s="555">
        <f t="shared" si="13"/>
        <v>552.29999999999995</v>
      </c>
      <c r="H28" s="555">
        <f t="shared" si="13"/>
        <v>548.29999999999995</v>
      </c>
      <c r="I28" s="555">
        <f t="shared" si="13"/>
        <v>592.80075600000009</v>
      </c>
      <c r="J28" s="555">
        <f t="shared" ref="J28:M28" si="14">SUM(J21,J23,J25,J27)</f>
        <v>626.84225959543539</v>
      </c>
      <c r="K28" s="555">
        <f t="shared" si="14"/>
        <v>661.66734771160247</v>
      </c>
      <c r="L28" s="555">
        <f t="shared" si="14"/>
        <v>698.4516934978526</v>
      </c>
      <c r="M28" s="555">
        <f t="shared" si="14"/>
        <v>737.30695244317019</v>
      </c>
      <c r="N28"/>
      <c r="O28" s="661"/>
    </row>
    <row r="29" spans="2:15" ht="15" x14ac:dyDescent="0.2">
      <c r="B29" s="159" t="s">
        <v>66</v>
      </c>
      <c r="C29" s="160" t="s">
        <v>14</v>
      </c>
      <c r="D29" s="636">
        <f>D18-D28</f>
        <v>531.30000000000007</v>
      </c>
      <c r="E29" s="636">
        <f t="shared" ref="E29:H29" si="15">E18-E28</f>
        <v>572.70000000000005</v>
      </c>
      <c r="F29" s="636">
        <f t="shared" si="15"/>
        <v>646.9</v>
      </c>
      <c r="G29" s="636">
        <f t="shared" si="15"/>
        <v>570.10000000000014</v>
      </c>
      <c r="H29" s="636">
        <f t="shared" si="15"/>
        <v>624.89999999999986</v>
      </c>
      <c r="I29" s="636">
        <f>I18-I28</f>
        <v>646.04934647697382</v>
      </c>
      <c r="J29" s="636">
        <f t="shared" ref="J29:M29" si="16">J18-J28</f>
        <v>681.66042414507444</v>
      </c>
      <c r="K29" s="636">
        <f t="shared" si="16"/>
        <v>720.4525823787111</v>
      </c>
      <c r="L29" s="636">
        <f t="shared" si="16"/>
        <v>761.47868211619675</v>
      </c>
      <c r="M29" s="636">
        <f t="shared" si="16"/>
        <v>804.86894410130924</v>
      </c>
      <c r="N29"/>
      <c r="O29" s="661"/>
    </row>
    <row r="30" spans="2:15" ht="15" x14ac:dyDescent="0.2">
      <c r="B30" s="151" t="s">
        <v>123</v>
      </c>
      <c r="C30" s="135" t="s">
        <v>2</v>
      </c>
      <c r="D30" s="548">
        <f>D29/D12</f>
        <v>0.26730730529281549</v>
      </c>
      <c r="E30" s="548">
        <f t="shared" ref="E30:H30" si="17">E29/E12</f>
        <v>0.26717984604618616</v>
      </c>
      <c r="F30" s="548">
        <f t="shared" si="17"/>
        <v>0.29463472399344143</v>
      </c>
      <c r="G30" s="548">
        <f t="shared" si="17"/>
        <v>0.269767661950504</v>
      </c>
      <c r="H30" s="548">
        <f t="shared" si="17"/>
        <v>0.27939729947241343</v>
      </c>
      <c r="I30" s="548">
        <f>I29/I12</f>
        <v>0.27354618617544479</v>
      </c>
      <c r="J30" s="548">
        <f t="shared" ref="J30:M30" si="18">J29/J12</f>
        <v>0.27331981579182679</v>
      </c>
      <c r="K30" s="548">
        <f t="shared" si="18"/>
        <v>0.27354654386121785</v>
      </c>
      <c r="L30" s="548">
        <f t="shared" si="18"/>
        <v>0.27377327193060896</v>
      </c>
      <c r="M30" s="548">
        <f t="shared" si="18"/>
        <v>0.27399999999999997</v>
      </c>
      <c r="N30" s="314"/>
      <c r="O30" s="661"/>
    </row>
    <row r="31" spans="2:15" ht="15" x14ac:dyDescent="0.2">
      <c r="B31" s="3"/>
      <c r="C31" s="51"/>
      <c r="D31" s="3"/>
      <c r="E31" s="3"/>
      <c r="F31" s="3"/>
      <c r="G31" s="3"/>
      <c r="H31" s="3"/>
      <c r="I31" s="3"/>
      <c r="J31" s="3"/>
      <c r="K31" s="3"/>
      <c r="L31" s="3"/>
      <c r="M31" s="3"/>
      <c r="N31"/>
      <c r="O31" s="657"/>
    </row>
    <row r="32" spans="2:15" ht="16" customHeight="1" thickBot="1" x14ac:dyDescent="0.25">
      <c r="B32" s="99" t="s">
        <v>240</v>
      </c>
      <c r="C32" s="74"/>
      <c r="D32" s="130"/>
      <c r="E32" s="130"/>
      <c r="F32" s="130"/>
      <c r="G32" s="130"/>
      <c r="H32" s="130"/>
      <c r="I32" s="130"/>
      <c r="J32" s="130"/>
      <c r="K32" s="130"/>
      <c r="L32" s="130"/>
      <c r="M32" s="130"/>
      <c r="N32"/>
      <c r="O32" s="657"/>
    </row>
    <row r="33" spans="2:15" ht="15" customHeight="1" x14ac:dyDescent="0.2">
      <c r="B33" s="148" t="s">
        <v>634</v>
      </c>
      <c r="C33" s="152" t="s">
        <v>14</v>
      </c>
      <c r="D33" s="549">
        <v>10.199999999999999</v>
      </c>
      <c r="E33" s="549">
        <v>9.9</v>
      </c>
      <c r="F33" s="549">
        <v>5.2</v>
      </c>
      <c r="G33" s="549">
        <v>2.8</v>
      </c>
      <c r="H33" s="549">
        <v>2.9</v>
      </c>
      <c r="I33" s="580">
        <f>Assumptions!I69</f>
        <v>0.66814000000000007</v>
      </c>
      <c r="J33" s="580">
        <f>Assumptions!J69</f>
        <v>0.66814000000000007</v>
      </c>
      <c r="K33" s="580">
        <f>Assumptions!K69</f>
        <v>0.66814000000000007</v>
      </c>
      <c r="L33" s="580">
        <f>Assumptions!L69</f>
        <v>0.66814000000000007</v>
      </c>
      <c r="M33" s="580">
        <f>Assumptions!M69</f>
        <v>0.66814000000000007</v>
      </c>
      <c r="N33"/>
      <c r="O33" s="659" t="s">
        <v>639</v>
      </c>
    </row>
    <row r="34" spans="2:15" ht="15" customHeight="1" x14ac:dyDescent="0.2">
      <c r="B34" s="122" t="s">
        <v>635</v>
      </c>
      <c r="C34" s="133" t="s">
        <v>14</v>
      </c>
      <c r="D34" s="542">
        <v>12.6</v>
      </c>
      <c r="E34" s="542">
        <v>-2.9</v>
      </c>
      <c r="F34" s="542">
        <v>32.9</v>
      </c>
      <c r="G34" s="542">
        <v>-22</v>
      </c>
      <c r="H34" s="542">
        <v>-19.3</v>
      </c>
      <c r="I34" s="542">
        <f>AVERAGE($D$34:$H$34)</f>
        <v>0.25999999999999873</v>
      </c>
      <c r="J34" s="542">
        <f>AVERAGE($D$34:$H$34)</f>
        <v>0.25999999999999873</v>
      </c>
      <c r="K34" s="542">
        <f>AVERAGE($D$34:$H$34)</f>
        <v>0.25999999999999873</v>
      </c>
      <c r="L34" s="542">
        <f>AVERAGE($D$34:$H$34)</f>
        <v>0.25999999999999873</v>
      </c>
      <c r="M34" s="542">
        <f>AVERAGE($D$34:$H$34)</f>
        <v>0.25999999999999873</v>
      </c>
      <c r="N34"/>
      <c r="O34" s="661"/>
    </row>
    <row r="35" spans="2:15" ht="15" x14ac:dyDescent="0.2">
      <c r="B35" s="129" t="s">
        <v>124</v>
      </c>
      <c r="C35" s="134" t="s">
        <v>14</v>
      </c>
      <c r="D35" s="553">
        <f>D29-D33-D34</f>
        <v>508.5</v>
      </c>
      <c r="E35" s="553">
        <f t="shared" ref="E35:I35" si="19">E29-E33-E34</f>
        <v>565.70000000000005</v>
      </c>
      <c r="F35" s="553">
        <f t="shared" si="19"/>
        <v>608.79999999999995</v>
      </c>
      <c r="G35" s="553">
        <f t="shared" si="19"/>
        <v>589.30000000000018</v>
      </c>
      <c r="H35" s="553">
        <f t="shared" si="19"/>
        <v>641.29999999999984</v>
      </c>
      <c r="I35" s="553">
        <f t="shared" si="19"/>
        <v>645.12120647697384</v>
      </c>
      <c r="J35" s="553">
        <f t="shared" ref="J35:M35" si="20">J29-J33-J34</f>
        <v>680.73228414507446</v>
      </c>
      <c r="K35" s="553">
        <f t="shared" si="20"/>
        <v>719.52444237871111</v>
      </c>
      <c r="L35" s="553">
        <f t="shared" si="20"/>
        <v>760.55054211619677</v>
      </c>
      <c r="M35" s="553">
        <f t="shared" si="20"/>
        <v>803.94080410130925</v>
      </c>
      <c r="N35"/>
      <c r="O35" s="661"/>
    </row>
    <row r="36" spans="2:15" ht="15" x14ac:dyDescent="0.2">
      <c r="B36" s="3" t="s">
        <v>563</v>
      </c>
      <c r="C36" s="51" t="s">
        <v>14</v>
      </c>
      <c r="D36" s="552">
        <v>68.599999999999994</v>
      </c>
      <c r="E36" s="552">
        <v>105.1</v>
      </c>
      <c r="F36" s="552">
        <v>102.3</v>
      </c>
      <c r="G36" s="552">
        <v>103.2</v>
      </c>
      <c r="H36" s="552">
        <v>119.4</v>
      </c>
      <c r="I36" s="540">
        <f>I35*$I$37</f>
        <v>122.57302923062502</v>
      </c>
      <c r="J36" s="540">
        <f t="shared" ref="J36:M36" si="21">J35*$I$37</f>
        <v>129.33913398756414</v>
      </c>
      <c r="K36" s="540">
        <f t="shared" si="21"/>
        <v>136.70964405195511</v>
      </c>
      <c r="L36" s="540">
        <f t="shared" si="21"/>
        <v>144.50460300207737</v>
      </c>
      <c r="M36" s="540">
        <f t="shared" si="21"/>
        <v>152.74875277924875</v>
      </c>
      <c r="N36"/>
      <c r="O36" s="661"/>
    </row>
    <row r="37" spans="2:15" ht="15" x14ac:dyDescent="0.2">
      <c r="B37" s="150" t="s">
        <v>125</v>
      </c>
      <c r="C37" s="133" t="s">
        <v>2</v>
      </c>
      <c r="D37" s="551">
        <f>D36/D35</f>
        <v>0.13490658800393313</v>
      </c>
      <c r="E37" s="551">
        <f t="shared" ref="E37:H37" si="22">E36/E35</f>
        <v>0.18578751988686582</v>
      </c>
      <c r="F37" s="551">
        <f t="shared" si="22"/>
        <v>0.16803547963206308</v>
      </c>
      <c r="G37" s="551">
        <f t="shared" si="22"/>
        <v>0.17512302732054977</v>
      </c>
      <c r="H37" s="551">
        <f t="shared" si="22"/>
        <v>0.18618431311398728</v>
      </c>
      <c r="I37" s="581">
        <v>0.19</v>
      </c>
      <c r="J37" s="581">
        <v>0.19</v>
      </c>
      <c r="K37" s="581">
        <v>0.19</v>
      </c>
      <c r="L37" s="581">
        <v>0.19</v>
      </c>
      <c r="M37" s="581">
        <v>0.19</v>
      </c>
      <c r="N37" s="314"/>
      <c r="O37" s="661"/>
    </row>
    <row r="38" spans="2:15" ht="15" x14ac:dyDescent="0.2">
      <c r="B38" s="143" t="s">
        <v>648</v>
      </c>
      <c r="C38" s="144" t="s">
        <v>14</v>
      </c>
      <c r="D38" s="637">
        <f>D35-D36</f>
        <v>439.9</v>
      </c>
      <c r="E38" s="637">
        <f t="shared" ref="E38:H38" si="23">E35-E36</f>
        <v>460.6</v>
      </c>
      <c r="F38" s="637">
        <f t="shared" si="23"/>
        <v>506.49999999999994</v>
      </c>
      <c r="G38" s="637">
        <f t="shared" si="23"/>
        <v>486.10000000000019</v>
      </c>
      <c r="H38" s="637">
        <f t="shared" si="23"/>
        <v>521.89999999999986</v>
      </c>
      <c r="I38" s="637">
        <f>I35-I36</f>
        <v>522.54817724634881</v>
      </c>
      <c r="J38" s="637">
        <f t="shared" ref="J38:M38" si="24">J35-J36</f>
        <v>551.39315015751026</v>
      </c>
      <c r="K38" s="637">
        <f t="shared" si="24"/>
        <v>582.81479832675598</v>
      </c>
      <c r="L38" s="637">
        <f t="shared" si="24"/>
        <v>616.04593911411939</v>
      </c>
      <c r="M38" s="637">
        <f t="shared" si="24"/>
        <v>651.19205132206048</v>
      </c>
      <c r="N38"/>
      <c r="O38" s="661"/>
    </row>
    <row r="39" spans="2:15" ht="15" x14ac:dyDescent="0.2">
      <c r="B39" s="151" t="s">
        <v>126</v>
      </c>
      <c r="C39" s="135" t="s">
        <v>2</v>
      </c>
      <c r="D39" s="548">
        <f>D38/D12</f>
        <v>0.22132219762527669</v>
      </c>
      <c r="E39" s="548">
        <f t="shared" ref="E39:H39" si="25">E38/E12</f>
        <v>0.21488220200606487</v>
      </c>
      <c r="F39" s="548">
        <f t="shared" si="25"/>
        <v>0.23068865002732736</v>
      </c>
      <c r="G39" s="548">
        <f t="shared" si="25"/>
        <v>0.23001940093692336</v>
      </c>
      <c r="H39" s="548">
        <f t="shared" si="25"/>
        <v>0.2333452561924349</v>
      </c>
      <c r="I39" s="548">
        <f>I38/I12</f>
        <v>0.22125409112810498</v>
      </c>
      <c r="J39" s="548">
        <f t="shared" ref="J39:M39" si="26">J38/J12</f>
        <v>0.2210876103287634</v>
      </c>
      <c r="K39" s="548">
        <f t="shared" si="26"/>
        <v>0.22128725427991161</v>
      </c>
      <c r="L39" s="548">
        <f t="shared" si="26"/>
        <v>0.22148605912660496</v>
      </c>
      <c r="M39" s="548">
        <f t="shared" si="26"/>
        <v>0.22168406840627947</v>
      </c>
      <c r="N39" s="314"/>
      <c r="O39" s="661"/>
    </row>
    <row r="40" spans="2:15" ht="15" x14ac:dyDescent="0.2">
      <c r="B40" s="3"/>
      <c r="C40" s="51"/>
      <c r="D40" s="3"/>
      <c r="E40" s="3"/>
      <c r="F40" s="3"/>
      <c r="G40" s="3"/>
      <c r="H40" s="3"/>
      <c r="I40" s="3"/>
      <c r="J40" s="3"/>
      <c r="K40" s="3"/>
      <c r="L40" s="3"/>
      <c r="M40" s="3"/>
      <c r="N40"/>
      <c r="O40" s="657"/>
    </row>
    <row r="41" spans="2:15" ht="16" customHeight="1" thickBot="1" x14ac:dyDescent="0.25">
      <c r="B41" s="99" t="s">
        <v>127</v>
      </c>
      <c r="C41" s="74"/>
      <c r="D41" s="130"/>
      <c r="E41" s="130"/>
      <c r="F41" s="130"/>
      <c r="G41" s="130"/>
      <c r="H41" s="130"/>
      <c r="I41" s="130"/>
      <c r="J41" s="130"/>
      <c r="K41" s="130"/>
      <c r="L41" s="130"/>
      <c r="M41" s="130"/>
      <c r="N41"/>
      <c r="O41" s="657"/>
    </row>
    <row r="42" spans="2:15" ht="15" x14ac:dyDescent="0.2">
      <c r="B42" s="148" t="s">
        <v>128</v>
      </c>
      <c r="C42" s="152" t="s">
        <v>34</v>
      </c>
      <c r="D42" s="549">
        <v>174.52600000000001</v>
      </c>
      <c r="E42" s="549">
        <v>172.893</v>
      </c>
      <c r="F42" s="549">
        <v>172.19900000000001</v>
      </c>
      <c r="G42" s="549">
        <v>172.405</v>
      </c>
      <c r="H42" s="549">
        <v>169.21899999999999</v>
      </c>
      <c r="I42" s="560">
        <f>Assumptions!I89</f>
        <v>166.12899314399149</v>
      </c>
      <c r="J42" s="560">
        <f>Assumptions!J89</f>
        <v>163.02958894470177</v>
      </c>
      <c r="K42" s="560">
        <f>Assumptions!K89</f>
        <v>159.89499673118948</v>
      </c>
      <c r="L42" s="560">
        <f>Assumptions!L89</f>
        <v>156.72720997214751</v>
      </c>
      <c r="M42" s="560">
        <f>Assumptions!M89</f>
        <v>153.52974276398834</v>
      </c>
      <c r="N42"/>
      <c r="O42" s="661" t="s">
        <v>636</v>
      </c>
    </row>
    <row r="43" spans="2:15" ht="15" x14ac:dyDescent="0.2">
      <c r="B43" s="122" t="s">
        <v>129</v>
      </c>
      <c r="C43" s="133" t="s">
        <v>130</v>
      </c>
      <c r="D43" s="582">
        <f t="shared" ref="D43:I43" si="27">D38/D42</f>
        <v>2.5205413520048587</v>
      </c>
      <c r="E43" s="582">
        <f t="shared" si="27"/>
        <v>2.6640754686424555</v>
      </c>
      <c r="F43" s="582">
        <f t="shared" si="27"/>
        <v>2.9413643517093591</v>
      </c>
      <c r="G43" s="582">
        <f t="shared" si="27"/>
        <v>2.8195237957135824</v>
      </c>
      <c r="H43" s="582">
        <f t="shared" si="27"/>
        <v>3.0841690353920059</v>
      </c>
      <c r="I43" s="582">
        <f t="shared" si="27"/>
        <v>3.1454363706004811</v>
      </c>
      <c r="J43" s="582">
        <f t="shared" ref="J43:M43" si="28">J38/J42</f>
        <v>3.3821661069423299</v>
      </c>
      <c r="K43" s="582">
        <f t="shared" si="28"/>
        <v>3.6449845851434999</v>
      </c>
      <c r="L43" s="582">
        <f t="shared" si="28"/>
        <v>3.9306891204379819</v>
      </c>
      <c r="M43" s="582">
        <f t="shared" si="28"/>
        <v>4.2414716497186946</v>
      </c>
      <c r="N43"/>
      <c r="O43" s="661"/>
    </row>
    <row r="44" spans="2:15" ht="15" x14ac:dyDescent="0.2">
      <c r="B44" s="149" t="s">
        <v>131</v>
      </c>
      <c r="C44" s="183" t="s">
        <v>2</v>
      </c>
      <c r="D44" s="559">
        <v>0</v>
      </c>
      <c r="E44" s="559">
        <f>E43/D43-1</f>
        <v>5.6945749580116445E-2</v>
      </c>
      <c r="F44" s="559">
        <f>F43/E43-1</f>
        <v>0.10408446995242326</v>
      </c>
      <c r="G44" s="559">
        <f>G43/F43-1</f>
        <v>-4.1423142945541502E-2</v>
      </c>
      <c r="H44" s="559">
        <f>H43/G43-1</f>
        <v>9.3861679791727326E-2</v>
      </c>
      <c r="I44" s="337">
        <f>I43/H43-1</f>
        <v>1.9865102886842179E-2</v>
      </c>
      <c r="J44" s="337">
        <f>J43/I43-1</f>
        <v>7.5261333706984512E-2</v>
      </c>
      <c r="K44" s="337">
        <f>K43/J43-1</f>
        <v>7.7707146807988403E-2</v>
      </c>
      <c r="L44" s="337">
        <f>L43/K43-1</f>
        <v>7.8382920042783688E-2</v>
      </c>
      <c r="M44" s="337">
        <f>M43/L43-1</f>
        <v>7.9065659928374998E-2</v>
      </c>
      <c r="N44" s="314"/>
      <c r="O44" s="661"/>
    </row>
    <row r="45" spans="2:15" ht="15" x14ac:dyDescent="0.2">
      <c r="B45" s="122" t="s">
        <v>564</v>
      </c>
      <c r="C45" s="133" t="s">
        <v>130</v>
      </c>
      <c r="D45" s="276">
        <v>2.44</v>
      </c>
      <c r="E45" s="276">
        <v>2.63</v>
      </c>
      <c r="F45" s="276">
        <v>3.04</v>
      </c>
      <c r="G45" s="276">
        <v>2.77</v>
      </c>
      <c r="H45" s="276">
        <v>3</v>
      </c>
      <c r="I45" s="276">
        <f>I43</f>
        <v>3.1454363706004811</v>
      </c>
      <c r="J45" s="276">
        <f>J43</f>
        <v>3.3821661069423299</v>
      </c>
      <c r="K45" s="276">
        <f>K43</f>
        <v>3.6449845851434999</v>
      </c>
      <c r="L45" s="276">
        <f>L43</f>
        <v>3.9306891204379819</v>
      </c>
      <c r="M45" s="276">
        <f>M43</f>
        <v>4.2414716497186946</v>
      </c>
      <c r="N45" s="314"/>
      <c r="O45" s="661"/>
    </row>
    <row r="46" spans="2:15" ht="15" x14ac:dyDescent="0.2">
      <c r="B46" s="122"/>
      <c r="C46" s="133"/>
      <c r="D46" s="276"/>
      <c r="E46" s="276"/>
      <c r="F46" s="276"/>
      <c r="G46" s="276"/>
      <c r="H46" s="276"/>
      <c r="I46" s="276"/>
      <c r="J46" s="276"/>
      <c r="K46" s="276"/>
      <c r="L46" s="276"/>
      <c r="M46" s="276"/>
      <c r="N46"/>
      <c r="O46" s="392"/>
    </row>
    <row r="47" spans="2:15" ht="16" customHeight="1" thickBot="1" x14ac:dyDescent="0.25">
      <c r="B47" s="99" t="s">
        <v>132</v>
      </c>
      <c r="C47" s="74"/>
      <c r="D47" s="130"/>
      <c r="E47" s="130"/>
      <c r="F47" s="130"/>
      <c r="G47" s="130"/>
      <c r="H47" s="130"/>
      <c r="I47" s="130"/>
      <c r="J47" s="130"/>
      <c r="K47" s="130"/>
      <c r="L47" s="130"/>
      <c r="M47" s="130"/>
      <c r="N47"/>
      <c r="O47" s="657"/>
    </row>
    <row r="48" spans="2:15" ht="15" x14ac:dyDescent="0.2">
      <c r="B48" s="148" t="s">
        <v>133</v>
      </c>
      <c r="C48" s="152" t="s">
        <v>14</v>
      </c>
      <c r="D48" s="560">
        <f>D29</f>
        <v>531.30000000000007</v>
      </c>
      <c r="E48" s="560">
        <f>E29</f>
        <v>572.70000000000005</v>
      </c>
      <c r="F48" s="560">
        <f>F29</f>
        <v>646.9</v>
      </c>
      <c r="G48" s="560">
        <f>G29</f>
        <v>570.10000000000014</v>
      </c>
      <c r="H48" s="560">
        <f>H29</f>
        <v>624.89999999999986</v>
      </c>
      <c r="I48" s="277">
        <f>I29</f>
        <v>646.04934647697382</v>
      </c>
      <c r="J48" s="277">
        <f>J29</f>
        <v>681.66042414507444</v>
      </c>
      <c r="K48" s="277">
        <f>K29</f>
        <v>720.4525823787111</v>
      </c>
      <c r="L48" s="277">
        <f>L29</f>
        <v>761.47868211619675</v>
      </c>
      <c r="M48" s="277">
        <f>M29</f>
        <v>804.86894410130924</v>
      </c>
      <c r="N48"/>
      <c r="O48" s="659" t="s">
        <v>637</v>
      </c>
    </row>
    <row r="49" spans="2:15" ht="15" x14ac:dyDescent="0.2">
      <c r="B49" s="122" t="s">
        <v>83</v>
      </c>
      <c r="C49" s="133" t="s">
        <v>14</v>
      </c>
      <c r="D49" s="542">
        <v>59.3</v>
      </c>
      <c r="E49" s="542">
        <v>66</v>
      </c>
      <c r="F49" s="542">
        <v>74.3</v>
      </c>
      <c r="G49" s="542">
        <v>86.7</v>
      </c>
      <c r="H49" s="542">
        <v>107.4</v>
      </c>
      <c r="I49" s="278">
        <f>I58+I59</f>
        <v>110.76741200000001</v>
      </c>
      <c r="J49" s="278">
        <f>J58+J59</f>
        <v>107.33807938</v>
      </c>
      <c r="K49" s="278">
        <f>K58+K59</f>
        <v>104.11118806200001</v>
      </c>
      <c r="L49" s="278">
        <f>L58+L59</f>
        <v>101.09836249591402</v>
      </c>
      <c r="M49" s="278">
        <f>M58+M59</f>
        <v>98.311903250858947</v>
      </c>
      <c r="N49"/>
      <c r="O49" s="660"/>
    </row>
    <row r="50" spans="2:15" ht="15" x14ac:dyDescent="0.2">
      <c r="B50" s="122" t="s">
        <v>134</v>
      </c>
      <c r="C50" s="133" t="s">
        <v>14</v>
      </c>
      <c r="D50" s="561">
        <f>-D27</f>
        <v>0</v>
      </c>
      <c r="E50" s="561">
        <f>-E27</f>
        <v>0</v>
      </c>
      <c r="F50" s="561">
        <f>-F27</f>
        <v>0.8</v>
      </c>
      <c r="G50" s="561">
        <f>-G27</f>
        <v>0</v>
      </c>
      <c r="H50" s="561">
        <f>-H27</f>
        <v>14.1</v>
      </c>
      <c r="I50" s="278">
        <f>-I27</f>
        <v>0</v>
      </c>
      <c r="J50" s="278">
        <f>-J27</f>
        <v>0</v>
      </c>
      <c r="K50" s="278">
        <f>-K27</f>
        <v>0</v>
      </c>
      <c r="L50" s="278">
        <f>-L27</f>
        <v>0</v>
      </c>
      <c r="M50" s="278">
        <f>-M27</f>
        <v>0</v>
      </c>
      <c r="N50"/>
      <c r="O50" s="660"/>
    </row>
    <row r="51" spans="2:15" ht="15" x14ac:dyDescent="0.2">
      <c r="B51" s="143" t="s">
        <v>135</v>
      </c>
      <c r="C51" s="144" t="s">
        <v>14</v>
      </c>
      <c r="D51" s="637">
        <f>D48+D49+D50</f>
        <v>590.6</v>
      </c>
      <c r="E51" s="637">
        <f>E48+E49+E50</f>
        <v>638.70000000000005</v>
      </c>
      <c r="F51" s="637">
        <f>F48+F49+F50</f>
        <v>721.99999999999989</v>
      </c>
      <c r="G51" s="637">
        <f>G48+G49+G50</f>
        <v>656.80000000000018</v>
      </c>
      <c r="H51" s="637">
        <f>H48+H49+H50</f>
        <v>746.39999999999986</v>
      </c>
      <c r="I51" s="307">
        <f>I48+I49+I50</f>
        <v>756.81675847697386</v>
      </c>
      <c r="J51" s="307">
        <f>J48+J49+J50</f>
        <v>788.9985035250744</v>
      </c>
      <c r="K51" s="307">
        <f>K48+K49+K50</f>
        <v>824.5637704407111</v>
      </c>
      <c r="L51" s="307">
        <f>L48+L49+L50</f>
        <v>862.57704461211074</v>
      </c>
      <c r="M51" s="307">
        <f>M48+M49+M50</f>
        <v>903.18084735216814</v>
      </c>
      <c r="N51"/>
      <c r="O51" s="660"/>
    </row>
    <row r="52" spans="2:15" ht="15" x14ac:dyDescent="0.2">
      <c r="B52" s="118" t="s">
        <v>136</v>
      </c>
      <c r="C52" s="135" t="s">
        <v>2</v>
      </c>
      <c r="D52" s="562">
        <f>D51/D12</f>
        <v>0.29714228214932581</v>
      </c>
      <c r="E52" s="562">
        <f>E51/E12</f>
        <v>0.29797060881735482</v>
      </c>
      <c r="F52" s="562">
        <f>F51/F12</f>
        <v>0.3288394971761705</v>
      </c>
      <c r="G52" s="562">
        <f>G51/G12</f>
        <v>0.31079354563952116</v>
      </c>
      <c r="H52" s="562">
        <f>H51/H12</f>
        <v>0.33372082625413568</v>
      </c>
      <c r="I52" s="338">
        <f>I51/I12</f>
        <v>0.32044663313101512</v>
      </c>
      <c r="J52" s="338">
        <f>J51/J12</f>
        <v>0.31635828926692222</v>
      </c>
      <c r="K52" s="338">
        <f>K51/K12</f>
        <v>0.3130762178025836</v>
      </c>
      <c r="L52" s="338">
        <f>L51/L12</f>
        <v>0.31012101236953254</v>
      </c>
      <c r="M52" s="338">
        <f>M51/M12</f>
        <v>0.30746813377277565</v>
      </c>
      <c r="N52" s="314"/>
      <c r="O52" s="660"/>
    </row>
    <row r="53" spans="2:15" ht="15" x14ac:dyDescent="0.2">
      <c r="B53" s="3"/>
      <c r="C53" s="51"/>
      <c r="D53" s="3"/>
      <c r="E53" s="3"/>
      <c r="F53" s="3"/>
      <c r="G53" s="3"/>
      <c r="H53" s="3"/>
      <c r="I53" s="3"/>
      <c r="J53" s="3"/>
      <c r="K53" s="3"/>
      <c r="L53" s="3"/>
      <c r="M53" s="3"/>
      <c r="N53"/>
      <c r="O53" s="657"/>
    </row>
    <row r="54" spans="2:15" ht="15" x14ac:dyDescent="0.2">
      <c r="B54" s="3" t="s">
        <v>137</v>
      </c>
      <c r="C54" s="51" t="s">
        <v>14</v>
      </c>
      <c r="D54" s="552">
        <v>24.9</v>
      </c>
      <c r="E54" s="552">
        <v>24.7</v>
      </c>
      <c r="F54" s="552">
        <v>30.2</v>
      </c>
      <c r="G54" s="552">
        <v>31.9</v>
      </c>
      <c r="H54" s="552">
        <v>34.299999999999997</v>
      </c>
      <c r="I54" s="279">
        <f>I12*Assumptions!I82</f>
        <v>36.219364571224183</v>
      </c>
      <c r="J54" s="279">
        <f>J12*Assumptions!J82</f>
        <v>38.247474220692119</v>
      </c>
      <c r="K54" s="279">
        <f>K12*Assumptions!K82</f>
        <v>40.390568861575609</v>
      </c>
      <c r="L54" s="279">
        <f>L12*Assumptions!L82</f>
        <v>42.655251085640081</v>
      </c>
      <c r="M54" s="279">
        <f>M12*Assumptions!M82</f>
        <v>45.048507514787019</v>
      </c>
      <c r="N54"/>
      <c r="O54" s="658"/>
    </row>
    <row r="55" spans="2:15" ht="15" x14ac:dyDescent="0.2">
      <c r="B55" s="149" t="s">
        <v>113</v>
      </c>
      <c r="C55" s="183" t="s">
        <v>2</v>
      </c>
      <c r="D55" s="563">
        <f>D54/D12</f>
        <v>1.2527671563694907E-2</v>
      </c>
      <c r="E55" s="563">
        <f>E54/E12</f>
        <v>1.1523209703755539E-2</v>
      </c>
      <c r="F55" s="563">
        <f>F54/F12</f>
        <v>1.375478229185644E-2</v>
      </c>
      <c r="G55" s="563">
        <f>G54/G12</f>
        <v>1.5094875313490748E-2</v>
      </c>
      <c r="H55" s="563">
        <f>H54/H12</f>
        <v>1.5335777519449163E-2</v>
      </c>
      <c r="I55" s="333">
        <f>I54/I12</f>
        <v>1.5335777519449163E-2</v>
      </c>
      <c r="J55" s="333">
        <f>J54/J12</f>
        <v>1.5335777519449164E-2</v>
      </c>
      <c r="K55" s="333">
        <f>K54/K12</f>
        <v>1.5335777519449163E-2</v>
      </c>
      <c r="L55" s="333">
        <f>L54/L12</f>
        <v>1.5335777519449163E-2</v>
      </c>
      <c r="M55" s="333">
        <f>M54/M12</f>
        <v>1.5335777519449163E-2</v>
      </c>
      <c r="N55"/>
      <c r="O55" s="658"/>
    </row>
    <row r="56" spans="2:15" ht="15" x14ac:dyDescent="0.2">
      <c r="B56"/>
      <c r="C56"/>
      <c r="D56"/>
      <c r="E56"/>
      <c r="F56"/>
      <c r="G56"/>
      <c r="H56"/>
      <c r="I56"/>
      <c r="J56"/>
      <c r="K56"/>
      <c r="L56"/>
      <c r="M56"/>
      <c r="N56"/>
      <c r="O56" s="657"/>
    </row>
    <row r="57" spans="2:15" ht="15" x14ac:dyDescent="0.2">
      <c r="B57" s="130" t="s">
        <v>604</v>
      </c>
      <c r="C57"/>
      <c r="D57"/>
      <c r="E57"/>
      <c r="F57"/>
      <c r="G57"/>
      <c r="H57"/>
      <c r="I57"/>
      <c r="J57"/>
      <c r="K57"/>
      <c r="L57"/>
      <c r="M57"/>
      <c r="N57"/>
      <c r="O57" s="657"/>
    </row>
    <row r="58" spans="2:15" x14ac:dyDescent="0.2">
      <c r="B58" s="22" t="s">
        <v>605</v>
      </c>
      <c r="C58" s="22" t="s">
        <v>14</v>
      </c>
      <c r="D58" s="771">
        <v>50.3</v>
      </c>
      <c r="E58" s="771">
        <v>54.5</v>
      </c>
      <c r="F58" s="771">
        <v>56</v>
      </c>
      <c r="G58" s="771">
        <v>56</v>
      </c>
      <c r="H58" s="771">
        <v>60</v>
      </c>
      <c r="I58" s="771">
        <f>I12*0.027</f>
        <v>63.767412000000007</v>
      </c>
      <c r="J58" s="771">
        <f>J12*0.027</f>
        <v>67.338079379999996</v>
      </c>
      <c r="K58" s="771">
        <f>K12*0.027</f>
        <v>71.111188062000011</v>
      </c>
      <c r="L58" s="771">
        <f>L12*0.027</f>
        <v>75.098362495914017</v>
      </c>
      <c r="M58" s="771">
        <f>M12*0.027</f>
        <v>79.311903250858947</v>
      </c>
      <c r="O58" s="658"/>
    </row>
    <row r="59" spans="2:15" x14ac:dyDescent="0.2">
      <c r="B59" s="22" t="s">
        <v>606</v>
      </c>
      <c r="C59" s="22" t="s">
        <v>14</v>
      </c>
      <c r="D59" s="771">
        <v>9</v>
      </c>
      <c r="E59" s="771">
        <v>11.5</v>
      </c>
      <c r="F59" s="771">
        <v>18.3</v>
      </c>
      <c r="G59" s="771">
        <v>30.7</v>
      </c>
      <c r="H59" s="771">
        <v>47.4</v>
      </c>
      <c r="I59" s="771">
        <v>47</v>
      </c>
      <c r="J59" s="771">
        <f>I59-7</f>
        <v>40</v>
      </c>
      <c r="K59" s="771">
        <f>J59-7</f>
        <v>33</v>
      </c>
      <c r="L59" s="771">
        <f>K59-7</f>
        <v>26</v>
      </c>
      <c r="M59" s="771">
        <f>L59-7</f>
        <v>19</v>
      </c>
      <c r="O59" s="658"/>
    </row>
    <row r="60" spans="2:15" s="12" customFormat="1" hidden="1" outlineLevel="1" x14ac:dyDescent="0.2">
      <c r="B60" s="12" t="s">
        <v>607</v>
      </c>
      <c r="C60" s="12" t="s">
        <v>14</v>
      </c>
      <c r="D60" s="649">
        <f>(D58+D59)-D49</f>
        <v>0</v>
      </c>
      <c r="E60" s="649">
        <f t="shared" ref="E60:M60" si="29">(E58+E59)-E49</f>
        <v>0</v>
      </c>
      <c r="F60" s="649">
        <f t="shared" si="29"/>
        <v>0</v>
      </c>
      <c r="G60" s="649">
        <f t="shared" si="29"/>
        <v>0</v>
      </c>
      <c r="H60" s="649">
        <f t="shared" si="29"/>
        <v>0</v>
      </c>
      <c r="I60" s="649">
        <f t="shared" si="29"/>
        <v>0</v>
      </c>
      <c r="J60" s="649">
        <f t="shared" si="29"/>
        <v>0</v>
      </c>
      <c r="K60" s="649">
        <f t="shared" si="29"/>
        <v>0</v>
      </c>
      <c r="L60" s="649">
        <f t="shared" si="29"/>
        <v>0</v>
      </c>
      <c r="M60" s="649">
        <f t="shared" si="29"/>
        <v>0</v>
      </c>
      <c r="O60" s="658"/>
    </row>
    <row r="61" spans="2:15" collapsed="1" x14ac:dyDescent="0.2"/>
  </sheetData>
  <mergeCells count="8">
    <mergeCell ref="O54:O55"/>
    <mergeCell ref="O58:O60"/>
    <mergeCell ref="O9:O13"/>
    <mergeCell ref="O16:O18"/>
    <mergeCell ref="O21:O30"/>
    <mergeCell ref="O33:O39"/>
    <mergeCell ref="O42:O45"/>
    <mergeCell ref="O48:O52"/>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2:O82"/>
  <sheetViews>
    <sheetView showGridLines="0" workbookViewId="0"/>
  </sheetViews>
  <sheetFormatPr baseColWidth="10" defaultColWidth="8.83203125" defaultRowHeight="14" outlineLevelRow="1" x14ac:dyDescent="0.2"/>
  <cols>
    <col min="1" max="1" width="1.6640625" style="3" customWidth="1"/>
    <col min="2" max="2" width="41.6640625" style="3" customWidth="1"/>
    <col min="3" max="3" width="8.33203125" style="3" customWidth="1"/>
    <col min="4" max="13" width="12.5" style="3" customWidth="1"/>
    <col min="14" max="14" width="1.6640625" style="3" customWidth="1"/>
    <col min="15" max="15" width="50" style="12" customWidth="1"/>
    <col min="16" max="17" width="8.83203125" style="3" customWidth="1"/>
    <col min="18" max="16384" width="8.83203125" style="3"/>
  </cols>
  <sheetData>
    <row r="2" spans="2:15" ht="19" customHeight="1" x14ac:dyDescent="0.2">
      <c r="B2" s="20" t="s">
        <v>53</v>
      </c>
      <c r="C2"/>
      <c r="D2"/>
      <c r="E2"/>
      <c r="F2"/>
      <c r="G2"/>
      <c r="H2"/>
      <c r="I2"/>
      <c r="J2"/>
      <c r="K2"/>
      <c r="L2"/>
      <c r="M2"/>
      <c r="N2"/>
    </row>
    <row r="3" spans="2:15" ht="15" x14ac:dyDescent="0.2">
      <c r="B3" s="14" t="s">
        <v>589</v>
      </c>
      <c r="C3"/>
      <c r="D3"/>
      <c r="E3"/>
      <c r="F3"/>
      <c r="G3"/>
      <c r="H3"/>
      <c r="I3"/>
      <c r="J3"/>
      <c r="K3"/>
      <c r="L3"/>
      <c r="M3"/>
      <c r="N3"/>
    </row>
    <row r="4" spans="2:15" ht="15" x14ac:dyDescent="0.2">
      <c r="B4" s="14" t="s">
        <v>0</v>
      </c>
      <c r="C4"/>
      <c r="D4"/>
      <c r="E4"/>
      <c r="F4"/>
      <c r="G4"/>
      <c r="H4"/>
      <c r="I4"/>
      <c r="J4"/>
      <c r="K4"/>
      <c r="L4"/>
      <c r="M4"/>
      <c r="N4"/>
    </row>
    <row r="5" spans="2:15" ht="15" x14ac:dyDescent="0.2">
      <c r="B5" s="14"/>
      <c r="C5"/>
      <c r="D5"/>
      <c r="E5"/>
      <c r="F5"/>
      <c r="G5"/>
      <c r="H5"/>
      <c r="I5"/>
      <c r="J5"/>
      <c r="K5"/>
      <c r="L5"/>
      <c r="M5"/>
      <c r="N5"/>
    </row>
    <row r="6" spans="2:15" ht="15" x14ac:dyDescent="0.2">
      <c r="B6" s="43"/>
      <c r="C6" s="53" t="s">
        <v>12</v>
      </c>
      <c r="D6" s="97" t="str">
        <f>IF('Cover Page'!$C$63+0&lt;'Cover Page'!$C$64,"FY"&amp;TEXT(MOD('Cover Page'!$C$63+0,100),"00")&amp;"A","FY"&amp;TEXT(MOD('Cover Page'!$C$63+0,100),"00")&amp;"E")</f>
        <v>FY21A</v>
      </c>
      <c r="E6" s="97" t="str">
        <f>IF('Cover Page'!$C$63+1&lt;'Cover Page'!$C$64,"FY"&amp;TEXT(MOD('Cover Page'!$C$63+1,100),"00")&amp;"A","FY"&amp;TEXT(MOD('Cover Page'!$C$63+1,100),"00")&amp;"E")</f>
        <v>FY22A</v>
      </c>
      <c r="F6" s="97" t="str">
        <f>IF('Cover Page'!$C$63+2&lt;'Cover Page'!$C$64,"FY"&amp;TEXT(MOD('Cover Page'!$C$63+2,100),"00")&amp;"A","FY"&amp;TEXT(MOD('Cover Page'!$C$63+2,100),"00")&amp;"E")</f>
        <v>FY23A</v>
      </c>
      <c r="G6" s="97" t="str">
        <f>IF('Cover Page'!$C$63+3&lt;'Cover Page'!$C$64,"FY"&amp;TEXT(MOD('Cover Page'!$C$63+3,100),"00")&amp;"A","FY"&amp;TEXT(MOD('Cover Page'!$C$63+3,100),"00")&amp;"E")</f>
        <v>FY24A</v>
      </c>
      <c r="H6" s="97" t="str">
        <f>IF('Cover Page'!$C$63+4&lt;'Cover Page'!$C$64,"FY"&amp;TEXT(MOD('Cover Page'!$C$63+4,100),"00")&amp;"A","FY"&amp;TEXT(MOD('Cover Page'!$C$63+4,100),"00")&amp;"E")</f>
        <v>FY25A</v>
      </c>
      <c r="I6" s="98" t="str">
        <f>IF('Cover Page'!$C$63+5&lt;'Cover Page'!$C$64,"FY"&amp;TEXT(MOD('Cover Page'!$C$63+5,100),"00")&amp;"A","FY"&amp;TEXT(MOD('Cover Page'!$C$63+5,100),"00")&amp;"E")</f>
        <v>FY26E</v>
      </c>
      <c r="J6" s="98" t="str">
        <f>IF('Cover Page'!$C$63+6&lt;'Cover Page'!$C$64,"FY"&amp;TEXT(MOD('Cover Page'!$C$63+6,100),"00")&amp;"A","FY"&amp;TEXT(MOD('Cover Page'!$C$63+6,100),"00")&amp;"E")</f>
        <v>FY27E</v>
      </c>
      <c r="K6" s="98" t="str">
        <f>IF('Cover Page'!$C$63+7&lt;'Cover Page'!$C$64,"FY"&amp;TEXT(MOD('Cover Page'!$C$63+7,100),"00")&amp;"A","FY"&amp;TEXT(MOD('Cover Page'!$C$63+7,100),"00")&amp;"E")</f>
        <v>FY28E</v>
      </c>
      <c r="L6" s="98" t="str">
        <f>IF('Cover Page'!$C$63+8&lt;'Cover Page'!$C$64,"FY"&amp;TEXT(MOD('Cover Page'!$C$63+8,100),"00")&amp;"A","FY"&amp;TEXT(MOD('Cover Page'!$C$63+8,100),"00")&amp;"E")</f>
        <v>FY29E</v>
      </c>
      <c r="M6" s="98" t="str">
        <f>IF('Cover Page'!$C$63+9&lt;'Cover Page'!$C$64,"FY"&amp;TEXT(MOD('Cover Page'!$C$63+9,100),"00")&amp;"A","FY"&amp;TEXT(MOD('Cover Page'!$C$63+9,100),"00")&amp;"E")</f>
        <v>FY30E</v>
      </c>
      <c r="N6"/>
    </row>
    <row r="7" spans="2:15" ht="15" x14ac:dyDescent="0.2">
      <c r="B7"/>
      <c r="C7"/>
      <c r="D7"/>
      <c r="E7"/>
      <c r="F7"/>
      <c r="G7"/>
      <c r="H7"/>
      <c r="I7"/>
      <c r="J7"/>
      <c r="K7"/>
      <c r="L7"/>
      <c r="M7"/>
      <c r="N7"/>
    </row>
    <row r="8" spans="2:15" ht="13" customHeight="1" x14ac:dyDescent="0.2">
      <c r="B8" s="52" t="s">
        <v>246</v>
      </c>
      <c r="C8" s="52"/>
      <c r="D8" s="52"/>
      <c r="E8" s="52"/>
      <c r="F8" s="52"/>
      <c r="G8" s="52"/>
      <c r="H8" s="52"/>
      <c r="I8" s="52"/>
      <c r="J8" s="52"/>
      <c r="K8" s="52"/>
      <c r="L8" s="52"/>
      <c r="M8" s="52"/>
      <c r="N8"/>
      <c r="O8" s="13" t="s">
        <v>60</v>
      </c>
    </row>
    <row r="9" spans="2:15" ht="16" customHeight="1" thickBot="1" x14ac:dyDescent="0.25">
      <c r="B9" s="147" t="s">
        <v>138</v>
      </c>
      <c r="C9" s="147"/>
      <c r="D9" s="147"/>
      <c r="E9" s="147"/>
      <c r="F9" s="147"/>
      <c r="G9" s="147"/>
      <c r="H9" s="147"/>
      <c r="I9" s="147"/>
      <c r="J9" s="147"/>
      <c r="K9" s="147"/>
      <c r="L9" s="147"/>
      <c r="M9" s="147"/>
      <c r="N9"/>
      <c r="O9" s="205"/>
    </row>
    <row r="10" spans="2:15" ht="15" x14ac:dyDescent="0.2">
      <c r="B10" s="148" t="s">
        <v>139</v>
      </c>
      <c r="C10" s="152" t="s">
        <v>14</v>
      </c>
      <c r="D10" s="198">
        <v>624.30200000000002</v>
      </c>
      <c r="E10" s="198">
        <v>339.19600000000003</v>
      </c>
      <c r="F10" s="198">
        <v>537.95100000000002</v>
      </c>
      <c r="G10" s="195">
        <v>675.33600000000001</v>
      </c>
      <c r="H10" s="195">
        <v>624.08299999999997</v>
      </c>
      <c r="I10" s="196">
        <f>'Cash Flow'!I46</f>
        <v>712.38417674620541</v>
      </c>
      <c r="J10" s="196">
        <f>'Cash Flow'!J46</f>
        <v>813.85531770779357</v>
      </c>
      <c r="K10" s="196">
        <f>'Cash Flow'!K46</f>
        <v>934.25151158968288</v>
      </c>
      <c r="L10" s="196">
        <f>'Cash Flow'!L46</f>
        <v>1076.1889600192053</v>
      </c>
      <c r="M10" s="196">
        <f>'Cash Flow'!M46</f>
        <v>1242.5938497322143</v>
      </c>
      <c r="N10"/>
      <c r="O10" s="250" t="s">
        <v>649</v>
      </c>
    </row>
    <row r="11" spans="2:15" ht="15" x14ac:dyDescent="0.2">
      <c r="B11" s="122" t="s">
        <v>140</v>
      </c>
      <c r="C11" s="133" t="s">
        <v>14</v>
      </c>
      <c r="D11" s="199">
        <v>325.13200000000001</v>
      </c>
      <c r="E11" s="199">
        <v>346.01</v>
      </c>
      <c r="F11" s="199">
        <v>354.43900000000002</v>
      </c>
      <c r="G11" s="197">
        <v>362.53300000000002</v>
      </c>
      <c r="H11" s="197">
        <v>393.75299999999999</v>
      </c>
      <c r="I11" s="280">
        <f>(Assumptions!I76*'Income Statement'!I12)/365</f>
        <v>412.86435014656058</v>
      </c>
      <c r="J11" s="280">
        <f>(I11*'Income Statement'!J12)/'Income Statement'!I12</f>
        <v>435.98276159209979</v>
      </c>
      <c r="K11" s="280">
        <f>(J11*'Income Statement'!K12)/'Income Statement'!J12</f>
        <v>460.41188636238655</v>
      </c>
      <c r="L11" s="280">
        <f>(K11*'Income Statement'!L12)/'Income Statement'!K12</f>
        <v>486.2269873669386</v>
      </c>
      <c r="M11" s="280">
        <f>(L11*'Income Statement'!M12)/'Income Statement'!L12</f>
        <v>513.50770507281618</v>
      </c>
      <c r="N11"/>
      <c r="O11" s="250" t="s">
        <v>650</v>
      </c>
    </row>
    <row r="12" spans="2:15" ht="15" x14ac:dyDescent="0.2">
      <c r="B12" s="122" t="s">
        <v>576</v>
      </c>
      <c r="C12" s="133" t="s">
        <v>14</v>
      </c>
      <c r="D12" s="199">
        <v>382.30099999999999</v>
      </c>
      <c r="E12" s="199">
        <v>476.79</v>
      </c>
      <c r="F12" s="199">
        <v>438.34899999999999</v>
      </c>
      <c r="G12" s="197">
        <v>404.67599999999999</v>
      </c>
      <c r="H12" s="197">
        <v>401.13799999999998</v>
      </c>
      <c r="I12" s="280">
        <f>(Assumptions!I77*'Income Statement'!I16)/365</f>
        <v>423.77809712493655</v>
      </c>
      <c r="J12" s="280">
        <f>(Assumptions!J77*'Income Statement'!J16)/365</f>
        <v>447.60476444268159</v>
      </c>
      <c r="K12" s="280">
        <f>(Assumptions!K77*'Income Statement'!K16)/365</f>
        <v>472.78757578393697</v>
      </c>
      <c r="L12" s="280">
        <f>(Assumptions!L77*'Income Statement'!L16)/365</f>
        <v>499.40469268601049</v>
      </c>
      <c r="M12" s="280">
        <f>(Assumptions!M77*'Income Statement'!M16)/365</f>
        <v>527.5388389745109</v>
      </c>
      <c r="N12"/>
      <c r="O12" s="250" t="s">
        <v>651</v>
      </c>
    </row>
    <row r="13" spans="2:15" ht="15" x14ac:dyDescent="0.2">
      <c r="B13" s="122" t="s">
        <v>601</v>
      </c>
      <c r="C13" s="133" t="s">
        <v>14</v>
      </c>
      <c r="D13" s="199">
        <v>31.885999999999999</v>
      </c>
      <c r="E13" s="199">
        <v>43.624000000000002</v>
      </c>
      <c r="F13" s="199">
        <v>35.07</v>
      </c>
      <c r="G13" s="197">
        <v>54.896000000000001</v>
      </c>
      <c r="H13" s="197">
        <v>52.906999999999996</v>
      </c>
      <c r="I13" s="280">
        <f>(H13/'Income Statement'!H12)*'Income Statement'!I12</f>
        <v>55.867577882500228</v>
      </c>
      <c r="J13" s="280">
        <f>(H13/'Income Statement'!H12)*'Income Statement'!J12</f>
        <v>58.995892670383611</v>
      </c>
      <c r="K13" s="280">
        <f>(H13/'Income Statement'!H12)*'Income Statement'!K12</f>
        <v>62.301569293276408</v>
      </c>
      <c r="L13" s="280">
        <f>(H13/'Income Statement'!H12)*'Income Statement'!L12</f>
        <v>65.79479210460525</v>
      </c>
      <c r="M13" s="280">
        <f>(H13/'Income Statement'!H12)*'Income Statement'!M12</f>
        <v>69.486337815884454</v>
      </c>
      <c r="N13"/>
      <c r="O13" s="250" t="s">
        <v>652</v>
      </c>
    </row>
    <row r="14" spans="2:15" ht="15" x14ac:dyDescent="0.2">
      <c r="B14" s="188" t="s">
        <v>243</v>
      </c>
      <c r="C14" s="189" t="s">
        <v>14</v>
      </c>
      <c r="D14" s="281">
        <f>SUM(D10:D13)</f>
        <v>1363.6209999999999</v>
      </c>
      <c r="E14" s="281">
        <f>SUM(E10:E13)</f>
        <v>1205.6200000000001</v>
      </c>
      <c r="F14" s="281">
        <f>SUM(F10:F13)</f>
        <v>1365.809</v>
      </c>
      <c r="G14" s="282">
        <f>SUM(G10:G13)</f>
        <v>1497.441</v>
      </c>
      <c r="H14" s="282">
        <f>SUM(H10:H13)</f>
        <v>1471.8809999999999</v>
      </c>
      <c r="I14" s="282">
        <f>SUM(I10:I13)</f>
        <v>1604.8942019002027</v>
      </c>
      <c r="J14" s="282">
        <f>SUM(J10:J13)</f>
        <v>1756.4387364129586</v>
      </c>
      <c r="K14" s="282">
        <f>SUM(K10:K13)</f>
        <v>1929.7525430292826</v>
      </c>
      <c r="L14" s="282">
        <f>SUM(L10:L13)</f>
        <v>2127.6154321767594</v>
      </c>
      <c r="M14" s="282">
        <f>SUM(M10:M13)</f>
        <v>2353.1267315954256</v>
      </c>
      <c r="N14"/>
      <c r="O14" s="250"/>
    </row>
    <row r="15" spans="2:15" ht="15" x14ac:dyDescent="0.2">
      <c r="B15" s="130"/>
      <c r="C15" s="74"/>
      <c r="D15" s="130"/>
      <c r="E15" s="130"/>
      <c r="F15" s="130"/>
      <c r="G15" s="187"/>
      <c r="H15" s="187"/>
      <c r="I15" s="187"/>
      <c r="J15" s="187"/>
      <c r="K15" s="187"/>
      <c r="L15" s="187"/>
      <c r="M15" s="187"/>
      <c r="N15"/>
      <c r="O15" s="250"/>
    </row>
    <row r="16" spans="2:15" ht="16" customHeight="1" thickBot="1" x14ac:dyDescent="0.25">
      <c r="B16" s="185" t="s">
        <v>241</v>
      </c>
      <c r="C16" s="186"/>
      <c r="D16" s="200"/>
      <c r="E16" s="200"/>
      <c r="F16" s="200"/>
      <c r="G16" s="186"/>
      <c r="H16" s="186"/>
      <c r="I16" s="186"/>
      <c r="J16" s="186"/>
      <c r="K16" s="186"/>
      <c r="L16" s="186"/>
      <c r="M16" s="186"/>
      <c r="N16"/>
      <c r="O16" s="250"/>
    </row>
    <row r="17" spans="2:15" ht="15" x14ac:dyDescent="0.2">
      <c r="B17" s="3" t="s">
        <v>577</v>
      </c>
      <c r="C17" s="51" t="s">
        <v>14</v>
      </c>
      <c r="D17" s="201">
        <v>451.06099999999998</v>
      </c>
      <c r="E17" s="201">
        <v>607.60900000000004</v>
      </c>
      <c r="F17" s="201">
        <v>741.71299999999997</v>
      </c>
      <c r="G17" s="184">
        <v>771.65599999999995</v>
      </c>
      <c r="H17" s="184">
        <v>755.06399999999996</v>
      </c>
      <c r="I17" s="279">
        <f>H17+Assumptions!I81-'Income Statement'!I58</f>
        <v>837.72546</v>
      </c>
      <c r="J17" s="279">
        <f>I17+Assumptions!J81-'Income Statement'!J58</f>
        <v>912.54554819999998</v>
      </c>
      <c r="K17" s="279">
        <f>J17+Assumptions!K81-'Income Statement'!K58</f>
        <v>978.38924084999996</v>
      </c>
      <c r="L17" s="279">
        <f>K17+Assumptions!L81-'Income Statement'!L58</f>
        <v>1034.01765751364</v>
      </c>
      <c r="M17" s="279">
        <f>L17+Assumptions!M81-'Income Statement'!M58</f>
        <v>1078.0798259863395</v>
      </c>
      <c r="N17"/>
      <c r="O17" s="250" t="s">
        <v>738</v>
      </c>
    </row>
    <row r="18" spans="2:15" ht="15" x14ac:dyDescent="0.2">
      <c r="B18" s="122" t="s">
        <v>142</v>
      </c>
      <c r="C18" s="133" t="s">
        <v>14</v>
      </c>
      <c r="D18" s="199">
        <v>356.255</v>
      </c>
      <c r="E18" s="199">
        <v>368.17099999999999</v>
      </c>
      <c r="F18" s="199">
        <v>370.22800000000001</v>
      </c>
      <c r="G18" s="197">
        <v>487.46800000000002</v>
      </c>
      <c r="H18" s="197">
        <v>585.30399999999997</v>
      </c>
      <c r="I18" s="153">
        <f>H18+(Assumptions!I33*0.55)</f>
        <v>585.30399999999997</v>
      </c>
      <c r="J18" s="153">
        <f>I18+(Assumptions!J33*0.55)</f>
        <v>585.30399999999997</v>
      </c>
      <c r="K18" s="153">
        <f>J18+(Assumptions!K33*0.55)</f>
        <v>585.30399999999997</v>
      </c>
      <c r="L18" s="153">
        <f>K18+(Assumptions!L33*0.55)</f>
        <v>585.30399999999997</v>
      </c>
      <c r="M18" s="153">
        <f>L18+(Assumptions!M33*0.55)</f>
        <v>585.30399999999997</v>
      </c>
      <c r="N18"/>
      <c r="O18" s="250" t="s">
        <v>640</v>
      </c>
    </row>
    <row r="19" spans="2:15" ht="15" x14ac:dyDescent="0.2">
      <c r="B19" s="122" t="s">
        <v>144</v>
      </c>
      <c r="C19" s="133" t="s">
        <v>14</v>
      </c>
      <c r="D19" s="199">
        <v>149.74</v>
      </c>
      <c r="E19" s="199">
        <v>137.50700000000001</v>
      </c>
      <c r="F19" s="199">
        <v>126.258</v>
      </c>
      <c r="G19" s="197">
        <v>233.30600000000001</v>
      </c>
      <c r="H19" s="197">
        <v>303.851</v>
      </c>
      <c r="I19" s="153">
        <f>H19-'Income Statement'!I59+(Assumptions!I33*0.45)</f>
        <v>256.851</v>
      </c>
      <c r="J19" s="153">
        <f>I19-'Income Statement'!J59+(Assumptions!J33*0.45)</f>
        <v>216.851</v>
      </c>
      <c r="K19" s="153">
        <f>J19-'Income Statement'!K59+(Assumptions!K33*0.45)</f>
        <v>183.851</v>
      </c>
      <c r="L19" s="153">
        <f>K19-'Income Statement'!L59+(Assumptions!L33*0.45)</f>
        <v>157.851</v>
      </c>
      <c r="M19" s="153">
        <f>L19-'Income Statement'!M59+(Assumptions!M33*0.45)</f>
        <v>138.851</v>
      </c>
      <c r="N19"/>
      <c r="O19" s="250" t="s">
        <v>641</v>
      </c>
    </row>
    <row r="20" spans="2:15" ht="15" x14ac:dyDescent="0.2">
      <c r="B20" s="122" t="s">
        <v>141</v>
      </c>
      <c r="C20" s="133" t="s">
        <v>14</v>
      </c>
      <c r="D20" s="199">
        <v>30.045999999999999</v>
      </c>
      <c r="E20" s="199">
        <v>29.785</v>
      </c>
      <c r="F20" s="199">
        <v>18.768000000000001</v>
      </c>
      <c r="G20" s="197">
        <v>19.678000000000001</v>
      </c>
      <c r="H20" s="197">
        <v>26.073</v>
      </c>
      <c r="I20" s="153">
        <f>H20</f>
        <v>26.073</v>
      </c>
      <c r="J20" s="153">
        <f t="shared" ref="J18:M20" si="0">I20</f>
        <v>26.073</v>
      </c>
      <c r="K20" s="153">
        <f t="shared" si="0"/>
        <v>26.073</v>
      </c>
      <c r="L20" s="153">
        <f t="shared" si="0"/>
        <v>26.073</v>
      </c>
      <c r="M20" s="153">
        <f t="shared" si="0"/>
        <v>26.073</v>
      </c>
      <c r="N20"/>
      <c r="O20" s="250" t="s">
        <v>642</v>
      </c>
    </row>
    <row r="21" spans="2:15" ht="15" x14ac:dyDescent="0.2">
      <c r="B21" s="122" t="s">
        <v>143</v>
      </c>
      <c r="C21" s="133" t="s">
        <v>14</v>
      </c>
      <c r="D21" s="199">
        <v>55.786000000000001</v>
      </c>
      <c r="E21" s="199">
        <v>57.09</v>
      </c>
      <c r="F21" s="199">
        <v>61.381</v>
      </c>
      <c r="G21" s="197">
        <v>46.91</v>
      </c>
      <c r="H21" s="197">
        <v>35.975000000000001</v>
      </c>
      <c r="I21" s="153">
        <f>H21</f>
        <v>35.975000000000001</v>
      </c>
      <c r="J21" s="153">
        <f t="shared" ref="J21:M21" si="1">I21</f>
        <v>35.975000000000001</v>
      </c>
      <c r="K21" s="153">
        <f t="shared" si="1"/>
        <v>35.975000000000001</v>
      </c>
      <c r="L21" s="153">
        <f t="shared" si="1"/>
        <v>35.975000000000001</v>
      </c>
      <c r="M21" s="153">
        <f t="shared" si="1"/>
        <v>35.975000000000001</v>
      </c>
      <c r="N21"/>
      <c r="O21" s="250" t="s">
        <v>653</v>
      </c>
    </row>
    <row r="22" spans="2:15" ht="16" thickBot="1" x14ac:dyDescent="0.25">
      <c r="B22" s="122" t="s">
        <v>145</v>
      </c>
      <c r="C22" s="133" t="s">
        <v>14</v>
      </c>
      <c r="D22" s="197">
        <v>36.689</v>
      </c>
      <c r="E22" s="197">
        <v>33.118000000000002</v>
      </c>
      <c r="F22" s="197">
        <v>37.85</v>
      </c>
      <c r="G22" s="197">
        <v>82.753</v>
      </c>
      <c r="H22" s="197">
        <v>96.122</v>
      </c>
      <c r="I22" s="280">
        <f>H22+((AVERAGE($D$22:$F$22)-H22)*1/5)</f>
        <v>84.074733333333342</v>
      </c>
      <c r="J22" s="280">
        <f>H22+((AVERAGE($D$22:$F$22)-H22)*2/5)</f>
        <v>72.027466666666669</v>
      </c>
      <c r="K22" s="280">
        <f>H22+((AVERAGE($D$22:$F$22)-H22)*3/5)</f>
        <v>59.980200000000004</v>
      </c>
      <c r="L22" s="280">
        <f>H22+((AVERAGE($D$22:$F$22)-H22)*4/5)</f>
        <v>47.932933333333338</v>
      </c>
      <c r="M22" s="280">
        <f>AVERAGE($D$22:$F$22)</f>
        <v>35.885666666666673</v>
      </c>
      <c r="N22"/>
      <c r="O22" s="250" t="s">
        <v>682</v>
      </c>
    </row>
    <row r="23" spans="2:15" ht="16" thickBot="1" x14ac:dyDescent="0.25">
      <c r="B23" s="193" t="s">
        <v>244</v>
      </c>
      <c r="C23" s="194" t="s">
        <v>14</v>
      </c>
      <c r="D23" s="283">
        <f>D14+SUM(D17:D22)</f>
        <v>2443.1980000000003</v>
      </c>
      <c r="E23" s="283">
        <f>E14+SUM(E17:E22)</f>
        <v>2438.9</v>
      </c>
      <c r="F23" s="283">
        <f>F14+SUM(F17:F22)</f>
        <v>2722.0070000000001</v>
      </c>
      <c r="G23" s="283">
        <f>G14+SUM(G17:G22)</f>
        <v>3139.2120000000004</v>
      </c>
      <c r="H23" s="283">
        <f>H14+SUM(H17:H22)</f>
        <v>3274.27</v>
      </c>
      <c r="I23" s="283">
        <f>I14+SUM(I17:I22)</f>
        <v>3430.8973952335359</v>
      </c>
      <c r="J23" s="283">
        <f>J14+SUM(J17:J22)</f>
        <v>3605.2147512796255</v>
      </c>
      <c r="K23" s="283">
        <f>K14+SUM(K17:K22)</f>
        <v>3799.3249838792826</v>
      </c>
      <c r="L23" s="283">
        <f>L14+SUM(L17:L22)</f>
        <v>4014.7690230237326</v>
      </c>
      <c r="M23" s="283">
        <f>M14+SUM(M17:M22)</f>
        <v>4253.2952242484316</v>
      </c>
      <c r="N23"/>
      <c r="O23" s="250"/>
    </row>
    <row r="24" spans="2:15" ht="15" x14ac:dyDescent="0.2">
      <c r="N24"/>
      <c r="O24" s="250"/>
    </row>
    <row r="25" spans="2:15" ht="15" customHeight="1" x14ac:dyDescent="0.2">
      <c r="B25" s="52" t="s">
        <v>247</v>
      </c>
      <c r="C25" s="52"/>
      <c r="D25" s="52"/>
      <c r="E25" s="52"/>
      <c r="F25" s="52"/>
      <c r="G25" s="52"/>
      <c r="H25" s="52"/>
      <c r="I25" s="52"/>
      <c r="J25" s="52"/>
      <c r="K25" s="52"/>
      <c r="L25" s="52"/>
      <c r="M25" s="52"/>
      <c r="N25"/>
      <c r="O25" s="250"/>
    </row>
    <row r="26" spans="2:15" ht="16" thickBot="1" x14ac:dyDescent="0.25">
      <c r="B26" s="147" t="s">
        <v>146</v>
      </c>
      <c r="C26" s="147"/>
      <c r="D26" s="147"/>
      <c r="E26" s="147"/>
      <c r="F26" s="147"/>
      <c r="G26" s="147"/>
      <c r="H26" s="147"/>
      <c r="I26" s="147"/>
      <c r="J26" s="147"/>
      <c r="K26" s="147"/>
      <c r="L26" s="147"/>
      <c r="M26" s="147"/>
      <c r="N26"/>
      <c r="O26" s="250"/>
    </row>
    <row r="27" spans="2:15" ht="15" x14ac:dyDescent="0.2">
      <c r="B27" s="486" t="s">
        <v>578</v>
      </c>
      <c r="C27" s="414" t="s">
        <v>14</v>
      </c>
      <c r="D27" s="650">
        <v>43.488999999999997</v>
      </c>
      <c r="E27" s="650">
        <v>20.974</v>
      </c>
      <c r="F27" s="650">
        <v>30.036000000000001</v>
      </c>
      <c r="G27" s="651">
        <v>28.536999999999999</v>
      </c>
      <c r="H27" s="651">
        <v>23.071999999999999</v>
      </c>
      <c r="I27" s="652">
        <f>H27</f>
        <v>23.071999999999999</v>
      </c>
      <c r="J27" s="652">
        <f>I27</f>
        <v>23.071999999999999</v>
      </c>
      <c r="K27" s="652">
        <f>J27</f>
        <v>23.071999999999999</v>
      </c>
      <c r="L27" s="652">
        <f>K27</f>
        <v>23.071999999999999</v>
      </c>
      <c r="M27" s="652">
        <f>L27</f>
        <v>23.071999999999999</v>
      </c>
      <c r="N27"/>
      <c r="O27" s="250" t="s">
        <v>654</v>
      </c>
    </row>
    <row r="28" spans="2:15" ht="15" x14ac:dyDescent="0.2">
      <c r="B28" s="5" t="s">
        <v>602</v>
      </c>
      <c r="C28" s="81" t="s">
        <v>14</v>
      </c>
      <c r="D28" s="653">
        <v>75</v>
      </c>
      <c r="E28" s="653">
        <v>0</v>
      </c>
      <c r="F28" s="653">
        <v>0</v>
      </c>
      <c r="G28" s="10">
        <v>0</v>
      </c>
      <c r="H28" s="10">
        <v>1.6240000000000001</v>
      </c>
      <c r="I28" s="210">
        <f>H28</f>
        <v>1.6240000000000001</v>
      </c>
      <c r="J28" s="210">
        <f>I28</f>
        <v>1.6240000000000001</v>
      </c>
      <c r="K28" s="210">
        <f>J28</f>
        <v>1.6240000000000001</v>
      </c>
      <c r="L28" s="210">
        <f>K28</f>
        <v>1.6240000000000001</v>
      </c>
      <c r="M28" s="210">
        <f>L28</f>
        <v>1.6240000000000001</v>
      </c>
      <c r="N28"/>
      <c r="O28" s="250" t="s">
        <v>657</v>
      </c>
    </row>
    <row r="29" spans="2:15" ht="15" x14ac:dyDescent="0.2">
      <c r="B29" s="5" t="s">
        <v>579</v>
      </c>
      <c r="C29" s="81" t="s">
        <v>14</v>
      </c>
      <c r="D29" s="653">
        <v>78.432000000000002</v>
      </c>
      <c r="E29" s="653">
        <v>84.218000000000004</v>
      </c>
      <c r="F29" s="653">
        <v>72.213999999999999</v>
      </c>
      <c r="G29" s="10">
        <v>60.816000000000003</v>
      </c>
      <c r="H29" s="10">
        <v>78.572999999999993</v>
      </c>
      <c r="I29" s="33">
        <f>(Assumptions!I78*'Income Statement'!I16)/365</f>
        <v>82.988694198331871</v>
      </c>
      <c r="J29" s="33">
        <f>(Assumptions!J78*'Income Statement'!J16)/365</f>
        <v>87.634696543653789</v>
      </c>
      <c r="K29" s="33">
        <f>(Assumptions!K78*'Income Statement'!K16)/365</f>
        <v>92.544043567556145</v>
      </c>
      <c r="L29" s="33">
        <f>(Assumptions!L78*'Income Statement'!L16)/365</f>
        <v>97.73185276850711</v>
      </c>
      <c r="M29" s="33">
        <f>(Assumptions!M78*'Income Statement'!M16)/365</f>
        <v>103.21412066892603</v>
      </c>
      <c r="N29"/>
      <c r="O29" s="250" t="s">
        <v>655</v>
      </c>
    </row>
    <row r="30" spans="2:15" ht="16" customHeight="1" x14ac:dyDescent="0.2">
      <c r="B30" s="5" t="s">
        <v>580</v>
      </c>
      <c r="C30" s="81" t="s">
        <v>14</v>
      </c>
      <c r="D30" s="653">
        <v>82.941000000000003</v>
      </c>
      <c r="E30" s="653">
        <v>63.969000000000001</v>
      </c>
      <c r="F30" s="653">
        <v>64.802000000000007</v>
      </c>
      <c r="G30" s="10">
        <v>58.168999999999997</v>
      </c>
      <c r="H30" s="10">
        <v>73.42</v>
      </c>
      <c r="I30" s="210">
        <f>(H30/'Income Statement'!H12)*'Income Statement'!I12</f>
        <v>77.528447429133521</v>
      </c>
      <c r="J30" s="210">
        <f>(H30/'Income Statement'!H12)*'Income Statement'!J12</f>
        <v>81.869666393096665</v>
      </c>
      <c r="K30" s="210">
        <f>(H30/'Income Statement'!H12)*'Income Statement'!K12</f>
        <v>86.457013580667109</v>
      </c>
      <c r="L30" s="210">
        <f>(H30/'Income Statement'!H12)*'Income Statement'!L12</f>
        <v>91.304622003139798</v>
      </c>
      <c r="M30" s="210">
        <f>(H30/'Income Statement'!H12)*'Income Statement'!M12</f>
        <v>96.42744669783275</v>
      </c>
      <c r="N30"/>
      <c r="O30" s="250" t="s">
        <v>643</v>
      </c>
    </row>
    <row r="31" spans="2:15" ht="15" x14ac:dyDescent="0.2">
      <c r="B31" s="5" t="s">
        <v>581</v>
      </c>
      <c r="C31" s="81" t="s">
        <v>14</v>
      </c>
      <c r="D31" s="653">
        <v>35.771000000000001</v>
      </c>
      <c r="E31" s="653">
        <v>39.963000000000001</v>
      </c>
      <c r="F31" s="653">
        <v>42.789000000000001</v>
      </c>
      <c r="G31" s="10">
        <v>46.558</v>
      </c>
      <c r="H31" s="10">
        <v>48.704999999999998</v>
      </c>
      <c r="I31" s="33">
        <f>H31</f>
        <v>48.704999999999998</v>
      </c>
      <c r="J31" s="33">
        <f t="shared" ref="J31:M31" si="2">I31</f>
        <v>48.704999999999998</v>
      </c>
      <c r="K31" s="33">
        <f t="shared" si="2"/>
        <v>48.704999999999998</v>
      </c>
      <c r="L31" s="33">
        <f t="shared" si="2"/>
        <v>48.704999999999998</v>
      </c>
      <c r="M31" s="33">
        <f t="shared" si="2"/>
        <v>48.704999999999998</v>
      </c>
      <c r="N31"/>
      <c r="O31" s="250" t="s">
        <v>644</v>
      </c>
    </row>
    <row r="32" spans="2:15" ht="15" x14ac:dyDescent="0.2">
      <c r="B32" s="5" t="s">
        <v>603</v>
      </c>
      <c r="C32" s="81" t="s">
        <v>14</v>
      </c>
      <c r="D32" s="653">
        <v>23.527000000000001</v>
      </c>
      <c r="E32" s="653">
        <v>21.056999999999999</v>
      </c>
      <c r="F32" s="653">
        <v>11.785</v>
      </c>
      <c r="G32" s="10">
        <v>12.278</v>
      </c>
      <c r="H32" s="10">
        <v>18.131</v>
      </c>
      <c r="I32" s="33">
        <f>H32</f>
        <v>18.131</v>
      </c>
      <c r="J32" s="33">
        <f>I32</f>
        <v>18.131</v>
      </c>
      <c r="K32" s="33">
        <f>J32</f>
        <v>18.131</v>
      </c>
      <c r="L32" s="33">
        <f>K32</f>
        <v>18.131</v>
      </c>
      <c r="M32" s="33">
        <f>L32</f>
        <v>18.131</v>
      </c>
      <c r="N32"/>
      <c r="O32" s="250" t="s">
        <v>656</v>
      </c>
    </row>
    <row r="33" spans="1:15" ht="15" x14ac:dyDescent="0.2">
      <c r="B33" s="5" t="s">
        <v>582</v>
      </c>
      <c r="C33" s="81" t="s">
        <v>14</v>
      </c>
      <c r="D33" s="653">
        <v>191.15899999999999</v>
      </c>
      <c r="E33" s="653">
        <v>190.79300000000001</v>
      </c>
      <c r="F33" s="653">
        <v>185.35900000000001</v>
      </c>
      <c r="G33" s="10">
        <v>211.72800000000001</v>
      </c>
      <c r="H33" s="10">
        <v>241.86699999999999</v>
      </c>
      <c r="I33" s="33">
        <f>(H33/'Income Statement'!H12)*'Income Statement'!I12</f>
        <v>255.40143005097025</v>
      </c>
      <c r="J33" s="33">
        <f>(H33/'Income Statement'!H12)*'Income Statement'!J12</f>
        <v>269.70267776490209</v>
      </c>
      <c r="K33" s="33">
        <f>(H33/'Income Statement'!H12)*'Income Statement'!K12</f>
        <v>284.81474398958335</v>
      </c>
      <c r="L33" s="33">
        <f>(H33/'Income Statement'!H12)*'Income Statement'!L12</f>
        <v>300.78418700672046</v>
      </c>
      <c r="M33" s="33">
        <f>(H33/'Income Statement'!H12)*'Income Statement'!M12</f>
        <v>317.66027309268202</v>
      </c>
      <c r="N33"/>
      <c r="O33" s="250" t="s">
        <v>645</v>
      </c>
    </row>
    <row r="34" spans="1:15" ht="15" x14ac:dyDescent="0.2">
      <c r="B34" s="188" t="s">
        <v>245</v>
      </c>
      <c r="C34" s="189" t="s">
        <v>14</v>
      </c>
      <c r="D34" s="284">
        <f>SUM(D27:D33)</f>
        <v>530.31899999999996</v>
      </c>
      <c r="E34" s="284">
        <f>SUM(E27:E33)</f>
        <v>420.97399999999999</v>
      </c>
      <c r="F34" s="284">
        <f>SUM(F27:F33)</f>
        <v>406.98500000000001</v>
      </c>
      <c r="G34" s="284">
        <f>SUM(G27:G33)</f>
        <v>418.08600000000001</v>
      </c>
      <c r="H34" s="284">
        <f>SUM(H27:H33)</f>
        <v>485.392</v>
      </c>
      <c r="I34" s="284">
        <f>SUM(I27:I33)</f>
        <v>507.45057167843561</v>
      </c>
      <c r="J34" s="284">
        <f>SUM(J27:J33)</f>
        <v>530.73904070165258</v>
      </c>
      <c r="K34" s="284">
        <f>SUM(K27:K33)</f>
        <v>555.34780113780664</v>
      </c>
      <c r="L34" s="284">
        <f>SUM(L27:L33)</f>
        <v>581.35266177836741</v>
      </c>
      <c r="M34" s="284">
        <f>SUM(M27:M33)</f>
        <v>608.83384045944081</v>
      </c>
      <c r="N34"/>
      <c r="O34" s="250"/>
    </row>
    <row r="35" spans="1:15" ht="15" x14ac:dyDescent="0.2">
      <c r="B35" s="130"/>
      <c r="C35" s="74"/>
      <c r="D35" s="130"/>
      <c r="E35" s="130"/>
      <c r="F35" s="130"/>
      <c r="G35" s="187"/>
      <c r="H35" s="187"/>
      <c r="I35" s="187"/>
      <c r="J35" s="187"/>
      <c r="K35" s="187"/>
      <c r="L35" s="187"/>
      <c r="M35" s="187"/>
      <c r="N35"/>
      <c r="O35" s="250"/>
    </row>
    <row r="36" spans="1:15" ht="16" thickBot="1" x14ac:dyDescent="0.25">
      <c r="B36" s="127" t="s">
        <v>242</v>
      </c>
      <c r="C36" s="127"/>
      <c r="D36" s="204"/>
      <c r="E36" s="204"/>
      <c r="F36" s="204"/>
      <c r="G36" s="127"/>
      <c r="H36" s="127"/>
      <c r="I36" s="127"/>
      <c r="J36" s="127"/>
      <c r="K36" s="127"/>
      <c r="L36" s="127"/>
      <c r="M36" s="127"/>
      <c r="N36"/>
      <c r="O36" s="3"/>
    </row>
    <row r="37" spans="1:15" ht="15" x14ac:dyDescent="0.2">
      <c r="B37" s="3" t="s">
        <v>147</v>
      </c>
      <c r="C37" s="51" t="s">
        <v>14</v>
      </c>
      <c r="D37" s="201">
        <v>75</v>
      </c>
      <c r="E37" s="201">
        <v>75</v>
      </c>
      <c r="F37" s="201">
        <v>0</v>
      </c>
      <c r="G37" s="184">
        <v>0</v>
      </c>
      <c r="H37" s="184">
        <v>0</v>
      </c>
      <c r="I37" s="285">
        <f>H37</f>
        <v>0</v>
      </c>
      <c r="J37" s="285">
        <f t="shared" ref="J37:M37" si="3">I37</f>
        <v>0</v>
      </c>
      <c r="K37" s="285">
        <f t="shared" si="3"/>
        <v>0</v>
      </c>
      <c r="L37" s="285">
        <f t="shared" si="3"/>
        <v>0</v>
      </c>
      <c r="M37" s="285">
        <f t="shared" si="3"/>
        <v>0</v>
      </c>
      <c r="N37"/>
      <c r="O37" s="250" t="s">
        <v>658</v>
      </c>
    </row>
    <row r="38" spans="1:15" ht="16" customHeight="1" x14ac:dyDescent="0.2">
      <c r="B38" s="122" t="s">
        <v>583</v>
      </c>
      <c r="C38" s="51" t="s">
        <v>14</v>
      </c>
      <c r="D38" s="199">
        <v>106.89700000000001</v>
      </c>
      <c r="E38" s="199">
        <v>61.671999999999997</v>
      </c>
      <c r="F38" s="199">
        <v>80.346999999999994</v>
      </c>
      <c r="G38" s="197">
        <v>80.381</v>
      </c>
      <c r="H38" s="197">
        <v>87.179000000000002</v>
      </c>
      <c r="I38" s="153">
        <f>H38</f>
        <v>87.179000000000002</v>
      </c>
      <c r="J38" s="153">
        <f>I38</f>
        <v>87.179000000000002</v>
      </c>
      <c r="K38" s="153">
        <f>J38</f>
        <v>87.179000000000002</v>
      </c>
      <c r="L38" s="153">
        <f>K38</f>
        <v>87.179000000000002</v>
      </c>
      <c r="M38" s="153">
        <f>L38</f>
        <v>87.179000000000002</v>
      </c>
      <c r="N38"/>
      <c r="O38" s="250" t="s">
        <v>646</v>
      </c>
    </row>
    <row r="39" spans="1:15" ht="16" customHeight="1" x14ac:dyDescent="0.2">
      <c r="B39" s="122" t="s">
        <v>584</v>
      </c>
      <c r="C39" s="51" t="s">
        <v>14</v>
      </c>
      <c r="D39" s="199">
        <v>10.661</v>
      </c>
      <c r="E39" s="199">
        <v>9.4429999999999996</v>
      </c>
      <c r="F39" s="199">
        <v>8.2149999999999999</v>
      </c>
      <c r="G39" s="197">
        <v>37.822000000000003</v>
      </c>
      <c r="H39" s="197">
        <v>36.707999999999998</v>
      </c>
      <c r="I39" s="153">
        <f>H39</f>
        <v>36.707999999999998</v>
      </c>
      <c r="J39" s="153">
        <f>I39</f>
        <v>36.707999999999998</v>
      </c>
      <c r="K39" s="153">
        <f>J39</f>
        <v>36.707999999999998</v>
      </c>
      <c r="L39" s="153">
        <f>K39</f>
        <v>36.707999999999998</v>
      </c>
      <c r="M39" s="153">
        <f>L39</f>
        <v>36.707999999999998</v>
      </c>
      <c r="N39"/>
      <c r="O39" s="250" t="s">
        <v>659</v>
      </c>
    </row>
    <row r="40" spans="1:15" ht="15" x14ac:dyDescent="0.2">
      <c r="B40" s="122" t="s">
        <v>148</v>
      </c>
      <c r="C40" s="133" t="s">
        <v>14</v>
      </c>
      <c r="D40" s="197">
        <v>10.978</v>
      </c>
      <c r="E40" s="197">
        <v>12.159000000000001</v>
      </c>
      <c r="F40" s="197">
        <v>2.2349999999999999</v>
      </c>
      <c r="G40" s="197">
        <v>18.788</v>
      </c>
      <c r="H40" s="197">
        <v>11.06</v>
      </c>
      <c r="I40" s="280">
        <f>H40</f>
        <v>11.06</v>
      </c>
      <c r="J40" s="280">
        <f>I40</f>
        <v>11.06</v>
      </c>
      <c r="K40" s="280">
        <f>J40</f>
        <v>11.06</v>
      </c>
      <c r="L40" s="280">
        <f>K40</f>
        <v>11.06</v>
      </c>
      <c r="M40" s="280">
        <f>L40</f>
        <v>11.06</v>
      </c>
      <c r="N40"/>
      <c r="O40" s="250" t="s">
        <v>684</v>
      </c>
    </row>
    <row r="41" spans="1:15" ht="15" x14ac:dyDescent="0.2">
      <c r="B41" s="188" t="s">
        <v>149</v>
      </c>
      <c r="C41" s="189" t="s">
        <v>14</v>
      </c>
      <c r="D41" s="284">
        <f>D34+SUM(D37:D40)</f>
        <v>733.85500000000002</v>
      </c>
      <c r="E41" s="284">
        <f>E34+SUM(E37:E40)</f>
        <v>579.24800000000005</v>
      </c>
      <c r="F41" s="284">
        <f>F34+SUM(F37:F40)</f>
        <v>497.78200000000004</v>
      </c>
      <c r="G41" s="284">
        <f>G34+SUM(G37:G40)</f>
        <v>555.077</v>
      </c>
      <c r="H41" s="284">
        <f>H34+SUM(H37:H40)</f>
        <v>620.33899999999994</v>
      </c>
      <c r="I41" s="284">
        <f>I34+SUM(I37:I40)</f>
        <v>642.39757167843561</v>
      </c>
      <c r="J41" s="284">
        <f>J34+SUM(J37:J40)</f>
        <v>665.68604070165259</v>
      </c>
      <c r="K41" s="284">
        <f>K34+SUM(K37:K40)</f>
        <v>690.29480113780664</v>
      </c>
      <c r="L41" s="284">
        <f>L34+SUM(L37:L40)</f>
        <v>716.29966177836741</v>
      </c>
      <c r="M41" s="284">
        <f>M34+SUM(M37:M40)</f>
        <v>743.78084045944081</v>
      </c>
      <c r="N41"/>
      <c r="O41" s="250"/>
    </row>
    <row r="42" spans="1:15" ht="15" customHeight="1" x14ac:dyDescent="0.2">
      <c r="N42"/>
      <c r="O42" s="250"/>
    </row>
    <row r="43" spans="1:15" ht="16" thickBot="1" x14ac:dyDescent="0.25">
      <c r="B43" s="147" t="s">
        <v>150</v>
      </c>
      <c r="C43" s="147"/>
      <c r="D43" s="202"/>
      <c r="E43" s="202"/>
      <c r="F43" s="202"/>
      <c r="G43" s="147"/>
      <c r="H43" s="147"/>
      <c r="I43" s="147"/>
      <c r="J43" s="147"/>
      <c r="K43" s="147"/>
      <c r="L43" s="147"/>
      <c r="M43" s="147"/>
      <c r="N43"/>
      <c r="O43" s="250"/>
    </row>
    <row r="44" spans="1:15" ht="16" customHeight="1" x14ac:dyDescent="0.2">
      <c r="B44" s="148" t="s">
        <v>599</v>
      </c>
      <c r="C44" s="152" t="s">
        <v>14</v>
      </c>
      <c r="D44" s="198">
        <v>170.30799999999999</v>
      </c>
      <c r="E44" s="198">
        <v>167.702</v>
      </c>
      <c r="F44" s="198">
        <v>167.946</v>
      </c>
      <c r="G44" s="195">
        <v>169.39400000000001</v>
      </c>
      <c r="H44" s="195">
        <v>165.15</v>
      </c>
      <c r="I44" s="286">
        <f>H44</f>
        <v>165.15</v>
      </c>
      <c r="J44" s="286">
        <f>I44</f>
        <v>165.15</v>
      </c>
      <c r="K44" s="286">
        <f>J44</f>
        <v>165.15</v>
      </c>
      <c r="L44" s="286">
        <f>K44</f>
        <v>165.15</v>
      </c>
      <c r="M44" s="286">
        <f>L44</f>
        <v>165.15</v>
      </c>
      <c r="N44"/>
      <c r="O44" s="250" t="s">
        <v>660</v>
      </c>
    </row>
    <row r="45" spans="1:15" ht="15" x14ac:dyDescent="0.2">
      <c r="B45" s="122" t="s">
        <v>151</v>
      </c>
      <c r="C45" s="133" t="s">
        <v>14</v>
      </c>
      <c r="D45" s="199">
        <v>742.28800000000001</v>
      </c>
      <c r="E45" s="199">
        <v>784.47699999999998</v>
      </c>
      <c r="F45" s="199">
        <v>863.33600000000001</v>
      </c>
      <c r="G45" s="197">
        <v>955.05100000000004</v>
      </c>
      <c r="H45" s="197">
        <v>994.56600000000003</v>
      </c>
      <c r="I45" s="280">
        <f>MAX(0, H45+'Income Statement'!I54+'Cash Flow'!I36+'Cash Flow'!I37+'Cash Flow'!I38)</f>
        <v>797.10624630875202</v>
      </c>
      <c r="J45" s="280">
        <f>MAX(0, I45+'Income Statement'!J54+'Cash Flow'!J36+'Cash Flow'!J37+'Cash Flow'!J38)</f>
        <v>598.88756317411412</v>
      </c>
      <c r="K45" s="280">
        <f>MAX(0, J45+'Income Statement'!K54+'Cash Flow'!K36+'Cash Flow'!K37+'Cash Flow'!K38)</f>
        <v>397.82709601086179</v>
      </c>
      <c r="L45" s="280">
        <f>MAX(0, K45+'Income Statement'!L54+'Cash Flow'!L36+'Cash Flow'!L37+'Cash Flow'!L38)</f>
        <v>194.08583735063183</v>
      </c>
      <c r="M45" s="280">
        <f>MAX(0, L45+'Income Statement'!M54+'Cash Flow'!M36+'Cash Flow'!M37+'Cash Flow'!M38)</f>
        <v>0</v>
      </c>
      <c r="N45"/>
      <c r="O45" s="250" t="s">
        <v>664</v>
      </c>
    </row>
    <row r="46" spans="1:15" ht="15" x14ac:dyDescent="0.2">
      <c r="A46" s="1"/>
      <c r="B46" s="122" t="s">
        <v>152</v>
      </c>
      <c r="C46" s="133" t="s">
        <v>14</v>
      </c>
      <c r="D46" s="199">
        <v>876.91600000000005</v>
      </c>
      <c r="E46" s="199">
        <v>976.851</v>
      </c>
      <c r="F46" s="199">
        <v>1227.9380000000001</v>
      </c>
      <c r="G46" s="197">
        <v>1509.2639999999999</v>
      </c>
      <c r="H46" s="197">
        <v>1456.71</v>
      </c>
      <c r="I46" s="280">
        <f>H46+'Income Statement'!I38+'Cash Flow'!I39+MIN(0, H45+'Income Statement'!I54+'Cash Flow'!I36+'Cash Flow'!I37+'Cash Flow'!I38)</f>
        <v>1786.7385772463488</v>
      </c>
      <c r="J46" s="280">
        <f>I46+'Income Statement'!J38+'Cash Flow'!J39+MIN(0, I45+'Income Statement'!J54+'Cash Flow'!J36+'Cash Flow'!J37+'Cash Flow'!J38)</f>
        <v>2135.9861474038594</v>
      </c>
      <c r="K46" s="280">
        <f>J46+'Income Statement'!K38+'Cash Flow'!K39+MIN(0, J45+'Income Statement'!K54+'Cash Flow'!K36+'Cash Flow'!K37+'Cash Flow'!K38)</f>
        <v>2506.5480867306151</v>
      </c>
      <c r="L46" s="280">
        <f>K46+'Income Statement'!L38+'Cash Flow'!L39+MIN(0, K45+'Income Statement'!L54+'Cash Flow'!L36+'Cash Flow'!L37+'Cash Flow'!L38)</f>
        <v>2899.7285238947343</v>
      </c>
      <c r="M46" s="280">
        <f>L46+'Income Statement'!M38+'Cash Flow'!M39+MIN(0, L45+'Income Statement'!M54+'Cash Flow'!M36+'Cash Flow'!M37+'Cash Flow'!M38)</f>
        <v>3304.8593837889912</v>
      </c>
      <c r="N46"/>
      <c r="O46" s="250" t="s">
        <v>662</v>
      </c>
    </row>
    <row r="47" spans="1:15" ht="15" x14ac:dyDescent="0.2">
      <c r="B47" s="122" t="s">
        <v>600</v>
      </c>
      <c r="C47" s="133" t="s">
        <v>14</v>
      </c>
      <c r="D47" s="199">
        <v>-80.168999999999997</v>
      </c>
      <c r="E47" s="199">
        <v>-69.378</v>
      </c>
      <c r="F47" s="199">
        <v>-34.994999999999997</v>
      </c>
      <c r="G47" s="197">
        <v>-49.573999999999998</v>
      </c>
      <c r="H47" s="197">
        <v>37.505000000000003</v>
      </c>
      <c r="I47" s="153">
        <f>H47</f>
        <v>37.505000000000003</v>
      </c>
      <c r="J47" s="153">
        <f>I47</f>
        <v>37.505000000000003</v>
      </c>
      <c r="K47" s="153">
        <f>J47</f>
        <v>37.505000000000003</v>
      </c>
      <c r="L47" s="153">
        <f>K47</f>
        <v>37.505000000000003</v>
      </c>
      <c r="M47" s="153">
        <f>L47</f>
        <v>37.505000000000003</v>
      </c>
      <c r="N47"/>
      <c r="O47" s="250" t="s">
        <v>663</v>
      </c>
    </row>
    <row r="48" spans="1:15" ht="15" x14ac:dyDescent="0.2">
      <c r="B48" s="188" t="s">
        <v>153</v>
      </c>
      <c r="C48" s="189" t="s">
        <v>14</v>
      </c>
      <c r="D48" s="284">
        <f>SUM(D44:D47)</f>
        <v>1709.3430000000001</v>
      </c>
      <c r="E48" s="284">
        <f>SUM(E44:E47)</f>
        <v>1859.652</v>
      </c>
      <c r="F48" s="284">
        <f>SUM(F44:F47)</f>
        <v>2224.2250000000004</v>
      </c>
      <c r="G48" s="284">
        <f>SUM(G44:G47)</f>
        <v>2584.1349999999998</v>
      </c>
      <c r="H48" s="284">
        <f>SUM(H44:H47)</f>
        <v>2653.9310000000005</v>
      </c>
      <c r="I48" s="284">
        <f>SUM(I44:I47)</f>
        <v>2786.4998235551011</v>
      </c>
      <c r="J48" s="284">
        <f>SUM(J44:J47)</f>
        <v>2937.5287105779735</v>
      </c>
      <c r="K48" s="284">
        <f>SUM(K44:K47)</f>
        <v>3107.0301827414769</v>
      </c>
      <c r="L48" s="284">
        <f>SUM(L44:L47)</f>
        <v>3296.4693612453661</v>
      </c>
      <c r="M48" s="284">
        <f>SUM(M44:M47)</f>
        <v>3507.5143837889914</v>
      </c>
      <c r="N48"/>
      <c r="O48" s="206"/>
    </row>
    <row r="49" spans="2:15" ht="16" thickBot="1" x14ac:dyDescent="0.25">
      <c r="N49"/>
      <c r="O49" s="206"/>
    </row>
    <row r="50" spans="2:15" ht="16" thickBot="1" x14ac:dyDescent="0.25">
      <c r="B50" s="191" t="s">
        <v>154</v>
      </c>
      <c r="C50" s="192" t="s">
        <v>14</v>
      </c>
      <c r="D50" s="203">
        <f>D41+D48</f>
        <v>2443.1980000000003</v>
      </c>
      <c r="E50" s="203">
        <f>E41+E48</f>
        <v>2438.9</v>
      </c>
      <c r="F50" s="203">
        <f>F41+F48</f>
        <v>2722.0070000000005</v>
      </c>
      <c r="G50" s="203">
        <f>G41+G48</f>
        <v>3139.2119999999995</v>
      </c>
      <c r="H50" s="203">
        <f>H41+H48</f>
        <v>3274.2700000000004</v>
      </c>
      <c r="I50" s="203">
        <f>I41+I48</f>
        <v>3428.8973952335368</v>
      </c>
      <c r="J50" s="203">
        <f>J41+J48</f>
        <v>3603.2147512796259</v>
      </c>
      <c r="K50" s="203">
        <f>K41+K48</f>
        <v>3797.3249838792835</v>
      </c>
      <c r="L50" s="203">
        <f>L41+L48</f>
        <v>4012.7690230237336</v>
      </c>
      <c r="M50" s="203">
        <f>M41+M48</f>
        <v>4251.2952242484325</v>
      </c>
      <c r="N50"/>
      <c r="O50" s="206"/>
    </row>
    <row r="51" spans="2:15" ht="15" x14ac:dyDescent="0.2">
      <c r="N51"/>
      <c r="O51"/>
    </row>
    <row r="52" spans="2:15" ht="16" customHeight="1" outlineLevel="1" x14ac:dyDescent="0.2">
      <c r="B52" s="4" t="s">
        <v>155</v>
      </c>
      <c r="C52" s="115" t="s">
        <v>14</v>
      </c>
      <c r="D52" s="654">
        <f>D23-D50</f>
        <v>0</v>
      </c>
      <c r="E52" s="654">
        <f>E23-E50</f>
        <v>0</v>
      </c>
      <c r="F52" s="654">
        <f>F23-F50</f>
        <v>0</v>
      </c>
      <c r="G52" s="654">
        <f>G23-G50</f>
        <v>0</v>
      </c>
      <c r="H52" s="654">
        <f>H23-H50</f>
        <v>0</v>
      </c>
      <c r="I52" s="654">
        <f>I23-I50</f>
        <v>1.9999999999990905</v>
      </c>
      <c r="J52" s="654">
        <f>J23-J50</f>
        <v>1.9999999999995453</v>
      </c>
      <c r="K52" s="654">
        <f>K23-K50</f>
        <v>1.9999999999990905</v>
      </c>
      <c r="L52" s="654">
        <f>L23-L50</f>
        <v>1.9999999999990905</v>
      </c>
      <c r="M52" s="654">
        <f>M23-M50</f>
        <v>1.9999999999990905</v>
      </c>
      <c r="N52"/>
      <c r="O52" s="190"/>
    </row>
    <row r="53" spans="2:15" ht="15" outlineLevel="1" x14ac:dyDescent="0.2">
      <c r="B53" s="4" t="s">
        <v>343</v>
      </c>
      <c r="C53" s="115" t="s">
        <v>14</v>
      </c>
      <c r="D53" s="655">
        <f>IFERROR(D10-'Cash Flow'!D46,0)</f>
        <v>2.2000000000048203E-2</v>
      </c>
      <c r="E53" s="655">
        <f>IFERROR(E10-'Cash Flow'!E46,0)</f>
        <v>5.8999999999969077E-2</v>
      </c>
      <c r="F53" s="655">
        <f>IFERROR(F10-'Cash Flow'!F46,0)</f>
        <v>-0.87800000000004275</v>
      </c>
      <c r="G53" s="655">
        <f>G10-'Cash Flow'!G46</f>
        <v>3.6789999999998599</v>
      </c>
      <c r="H53" s="655">
        <f>H10-'Cash Flow'!H46</f>
        <v>-1.9999999999998863</v>
      </c>
      <c r="I53" s="655"/>
      <c r="J53" s="655"/>
      <c r="K53" s="655"/>
      <c r="L53" s="655"/>
      <c r="M53" s="655"/>
      <c r="N53"/>
      <c r="O53" s="207"/>
    </row>
    <row r="54" spans="2:15" ht="15" x14ac:dyDescent="0.2">
      <c r="B54"/>
      <c r="C54"/>
      <c r="N54"/>
    </row>
    <row r="55" spans="2:15" ht="15" x14ac:dyDescent="0.2">
      <c r="B55"/>
      <c r="C55"/>
      <c r="D55"/>
      <c r="E55"/>
      <c r="F55"/>
      <c r="G55"/>
      <c r="H55"/>
      <c r="I55"/>
      <c r="J55"/>
      <c r="K55"/>
      <c r="L55"/>
      <c r="M55"/>
      <c r="N55"/>
    </row>
    <row r="56" spans="2:15" ht="15" x14ac:dyDescent="0.2">
      <c r="B56"/>
      <c r="C56"/>
      <c r="D56"/>
      <c r="E56"/>
      <c r="F56"/>
      <c r="G56"/>
      <c r="H56"/>
      <c r="I56"/>
      <c r="J56"/>
      <c r="K56"/>
      <c r="L56"/>
      <c r="M56"/>
      <c r="N56"/>
    </row>
    <row r="57" spans="2:15" ht="15" x14ac:dyDescent="0.2">
      <c r="B57"/>
      <c r="C57"/>
      <c r="D57"/>
      <c r="E57"/>
      <c r="F57"/>
      <c r="G57"/>
      <c r="H57"/>
      <c r="I57"/>
      <c r="J57"/>
      <c r="K57"/>
      <c r="L57"/>
      <c r="M57"/>
      <c r="N57"/>
    </row>
    <row r="58" spans="2:15" ht="15" x14ac:dyDescent="0.2">
      <c r="B58"/>
      <c r="C58"/>
      <c r="D58"/>
      <c r="E58"/>
      <c r="F58"/>
      <c r="G58"/>
      <c r="H58"/>
      <c r="I58"/>
      <c r="J58"/>
      <c r="K58"/>
      <c r="L58"/>
      <c r="M58"/>
      <c r="N58"/>
    </row>
    <row r="59" spans="2:15" ht="15" x14ac:dyDescent="0.2">
      <c r="B59"/>
      <c r="C59"/>
      <c r="D59"/>
      <c r="E59"/>
      <c r="F59"/>
      <c r="G59"/>
      <c r="H59"/>
      <c r="I59"/>
      <c r="J59"/>
      <c r="K59"/>
      <c r="L59"/>
      <c r="M59"/>
      <c r="N59"/>
    </row>
    <row r="60" spans="2:15" ht="15" x14ac:dyDescent="0.2">
      <c r="B60"/>
      <c r="C60"/>
      <c r="D60"/>
      <c r="E60"/>
      <c r="F60"/>
      <c r="G60"/>
      <c r="H60"/>
      <c r="I60"/>
      <c r="J60"/>
      <c r="K60"/>
      <c r="L60"/>
      <c r="M60"/>
      <c r="N60"/>
    </row>
    <row r="61" spans="2:15" ht="15" x14ac:dyDescent="0.2">
      <c r="B61"/>
      <c r="C61"/>
      <c r="D61"/>
      <c r="E61"/>
      <c r="F61"/>
      <c r="G61"/>
      <c r="H61"/>
      <c r="I61"/>
      <c r="J61"/>
      <c r="K61"/>
      <c r="L61"/>
      <c r="M61"/>
      <c r="N61"/>
    </row>
    <row r="62" spans="2:15" ht="15" x14ac:dyDescent="0.2">
      <c r="B62"/>
      <c r="C62"/>
      <c r="D62"/>
      <c r="E62"/>
      <c r="F62"/>
      <c r="G62"/>
      <c r="H62"/>
      <c r="I62"/>
      <c r="J62"/>
      <c r="K62"/>
      <c r="L62"/>
      <c r="M62"/>
      <c r="N62"/>
    </row>
    <row r="63" spans="2:15" ht="15" x14ac:dyDescent="0.2">
      <c r="B63"/>
      <c r="C63"/>
      <c r="D63"/>
      <c r="E63"/>
      <c r="F63"/>
      <c r="G63"/>
      <c r="H63"/>
      <c r="I63"/>
      <c r="J63"/>
      <c r="K63"/>
      <c r="L63"/>
      <c r="M63"/>
      <c r="N63"/>
    </row>
    <row r="64" spans="2:15" ht="15" x14ac:dyDescent="0.2">
      <c r="B64"/>
      <c r="C64"/>
      <c r="D64"/>
      <c r="E64"/>
      <c r="F64"/>
      <c r="G64"/>
      <c r="H64"/>
      <c r="I64"/>
      <c r="J64"/>
      <c r="K64"/>
      <c r="L64"/>
      <c r="M64"/>
      <c r="N64"/>
    </row>
    <row r="65" spans="2:14" ht="15" x14ac:dyDescent="0.2">
      <c r="B65"/>
      <c r="C65"/>
      <c r="D65"/>
      <c r="E65"/>
      <c r="F65"/>
      <c r="G65"/>
      <c r="H65"/>
      <c r="I65"/>
      <c r="J65"/>
      <c r="K65"/>
      <c r="L65"/>
      <c r="M65"/>
      <c r="N65"/>
    </row>
    <row r="66" spans="2:14" ht="15" x14ac:dyDescent="0.2">
      <c r="B66"/>
      <c r="C66"/>
      <c r="D66"/>
      <c r="E66"/>
      <c r="F66"/>
      <c r="G66"/>
      <c r="H66"/>
      <c r="I66"/>
      <c r="J66"/>
      <c r="K66"/>
      <c r="L66"/>
      <c r="M66"/>
      <c r="N66"/>
    </row>
    <row r="67" spans="2:14" ht="15" x14ac:dyDescent="0.2">
      <c r="B67"/>
      <c r="C67"/>
      <c r="D67"/>
      <c r="E67"/>
      <c r="F67"/>
      <c r="G67"/>
      <c r="H67"/>
      <c r="I67"/>
      <c r="J67"/>
      <c r="K67"/>
      <c r="L67"/>
      <c r="M67"/>
      <c r="N67"/>
    </row>
    <row r="68" spans="2:14" ht="15" x14ac:dyDescent="0.2">
      <c r="B68"/>
      <c r="C68"/>
      <c r="D68"/>
      <c r="E68"/>
      <c r="F68"/>
      <c r="G68"/>
      <c r="H68"/>
      <c r="I68"/>
      <c r="J68"/>
      <c r="K68"/>
      <c r="L68"/>
      <c r="M68"/>
      <c r="N68"/>
    </row>
    <row r="69" spans="2:14" ht="15" x14ac:dyDescent="0.2">
      <c r="B69"/>
      <c r="C69"/>
      <c r="D69"/>
      <c r="E69"/>
      <c r="F69"/>
      <c r="G69"/>
      <c r="H69"/>
      <c r="I69"/>
      <c r="J69"/>
      <c r="K69"/>
      <c r="L69"/>
      <c r="M69"/>
      <c r="N69"/>
    </row>
    <row r="70" spans="2:14" ht="15" x14ac:dyDescent="0.2">
      <c r="B70"/>
      <c r="C70"/>
      <c r="D70"/>
      <c r="E70"/>
      <c r="F70"/>
      <c r="G70"/>
      <c r="H70"/>
      <c r="I70"/>
      <c r="J70"/>
      <c r="K70"/>
      <c r="L70"/>
      <c r="M70"/>
      <c r="N70"/>
    </row>
    <row r="71" spans="2:14" ht="15" x14ac:dyDescent="0.2">
      <c r="B71"/>
      <c r="C71"/>
      <c r="D71"/>
      <c r="E71"/>
      <c r="F71"/>
      <c r="G71"/>
      <c r="H71"/>
      <c r="I71"/>
      <c r="J71"/>
      <c r="K71"/>
      <c r="L71"/>
      <c r="M71"/>
      <c r="N71"/>
    </row>
    <row r="72" spans="2:14" ht="15" x14ac:dyDescent="0.2">
      <c r="B72"/>
      <c r="C72"/>
      <c r="D72"/>
      <c r="E72"/>
      <c r="F72"/>
      <c r="G72"/>
      <c r="H72"/>
      <c r="I72"/>
      <c r="J72"/>
      <c r="K72"/>
      <c r="L72"/>
      <c r="M72"/>
      <c r="N72"/>
    </row>
    <row r="73" spans="2:14" ht="15" x14ac:dyDescent="0.2">
      <c r="B73"/>
      <c r="C73"/>
      <c r="D73"/>
      <c r="E73"/>
      <c r="F73"/>
      <c r="G73"/>
      <c r="H73"/>
      <c r="I73"/>
      <c r="J73"/>
      <c r="K73"/>
      <c r="L73"/>
      <c r="M73"/>
      <c r="N73"/>
    </row>
    <row r="74" spans="2:14" ht="15" x14ac:dyDescent="0.2">
      <c r="B74"/>
      <c r="C74"/>
      <c r="D74"/>
      <c r="E74"/>
      <c r="F74"/>
      <c r="G74"/>
      <c r="H74"/>
      <c r="I74"/>
      <c r="J74"/>
      <c r="K74"/>
      <c r="L74"/>
      <c r="M74"/>
      <c r="N74"/>
    </row>
    <row r="75" spans="2:14" ht="15" x14ac:dyDescent="0.2">
      <c r="B75"/>
      <c r="C75"/>
      <c r="D75"/>
      <c r="E75"/>
      <c r="F75"/>
      <c r="G75"/>
      <c r="H75"/>
      <c r="I75"/>
      <c r="J75"/>
      <c r="K75"/>
      <c r="L75"/>
      <c r="M75"/>
      <c r="N75"/>
    </row>
    <row r="76" spans="2:14" ht="15" x14ac:dyDescent="0.2">
      <c r="B76"/>
      <c r="C76"/>
      <c r="D76"/>
      <c r="E76"/>
      <c r="F76"/>
      <c r="G76"/>
      <c r="H76"/>
      <c r="I76"/>
      <c r="J76"/>
      <c r="K76"/>
      <c r="L76"/>
      <c r="M76"/>
      <c r="N76"/>
    </row>
    <row r="77" spans="2:14" ht="15" x14ac:dyDescent="0.2">
      <c r="B77"/>
      <c r="C77"/>
      <c r="D77"/>
      <c r="E77"/>
      <c r="F77"/>
      <c r="G77"/>
      <c r="H77"/>
      <c r="I77"/>
      <c r="J77"/>
      <c r="K77"/>
      <c r="L77"/>
      <c r="M77"/>
      <c r="N77"/>
    </row>
    <row r="78" spans="2:14" ht="15" x14ac:dyDescent="0.2">
      <c r="B78"/>
      <c r="C78"/>
      <c r="D78"/>
      <c r="E78"/>
      <c r="F78"/>
      <c r="G78"/>
      <c r="H78"/>
      <c r="I78"/>
      <c r="J78"/>
      <c r="K78"/>
      <c r="L78"/>
      <c r="M78"/>
      <c r="N78"/>
    </row>
    <row r="79" spans="2:14" ht="15" x14ac:dyDescent="0.2">
      <c r="B79"/>
      <c r="C79"/>
      <c r="D79"/>
      <c r="E79"/>
      <c r="F79"/>
      <c r="G79"/>
      <c r="H79"/>
      <c r="I79"/>
      <c r="J79"/>
      <c r="K79"/>
      <c r="L79"/>
      <c r="M79"/>
      <c r="N79"/>
    </row>
    <row r="80" spans="2:14" ht="15" x14ac:dyDescent="0.2">
      <c r="B80"/>
      <c r="C80"/>
      <c r="D80"/>
      <c r="E80"/>
      <c r="F80"/>
      <c r="G80"/>
      <c r="H80"/>
      <c r="I80"/>
      <c r="J80"/>
      <c r="K80"/>
      <c r="L80"/>
      <c r="M80"/>
      <c r="N80"/>
    </row>
    <row r="81" spans="2:14" ht="15" x14ac:dyDescent="0.2">
      <c r="B81"/>
      <c r="C81"/>
      <c r="D81"/>
      <c r="E81"/>
      <c r="F81"/>
      <c r="G81"/>
      <c r="H81"/>
      <c r="I81"/>
      <c r="J81"/>
      <c r="K81"/>
      <c r="L81"/>
      <c r="M81"/>
      <c r="N81"/>
    </row>
    <row r="82" spans="2:14" ht="15" x14ac:dyDescent="0.2">
      <c r="B82"/>
      <c r="C82"/>
      <c r="D82"/>
      <c r="E82"/>
      <c r="F82"/>
      <c r="G82"/>
      <c r="H82"/>
      <c r="I82"/>
      <c r="J82"/>
      <c r="K82"/>
      <c r="L82"/>
      <c r="M82"/>
      <c r="N82"/>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sheetPr>
  <dimension ref="B2:O67"/>
  <sheetViews>
    <sheetView showGridLines="0" workbookViewId="0"/>
  </sheetViews>
  <sheetFormatPr baseColWidth="10" defaultColWidth="8.83203125" defaultRowHeight="14" x14ac:dyDescent="0.2"/>
  <cols>
    <col min="1" max="1" width="3.5" style="3" customWidth="1"/>
    <col min="2" max="2" width="35" style="3" customWidth="1"/>
    <col min="3" max="3" width="8" style="3" customWidth="1"/>
    <col min="4" max="13" width="12" style="3" customWidth="1"/>
    <col min="14" max="14" width="8.83203125" style="3" customWidth="1"/>
    <col min="15" max="15" width="50" style="4" customWidth="1"/>
    <col min="16" max="17" width="8.83203125" style="3" customWidth="1"/>
    <col min="18" max="16384" width="8.83203125" style="3"/>
  </cols>
  <sheetData>
    <row r="2" spans="2:15" ht="19" customHeight="1" x14ac:dyDescent="0.2">
      <c r="B2" s="20" t="s">
        <v>54</v>
      </c>
      <c r="C2"/>
      <c r="D2"/>
      <c r="E2"/>
      <c r="F2"/>
      <c r="G2"/>
      <c r="H2"/>
      <c r="I2"/>
      <c r="J2"/>
      <c r="K2"/>
      <c r="L2"/>
      <c r="M2"/>
      <c r="N2"/>
    </row>
    <row r="3" spans="2:15" ht="15" x14ac:dyDescent="0.2">
      <c r="B3" s="14" t="s">
        <v>589</v>
      </c>
      <c r="C3"/>
      <c r="D3"/>
      <c r="E3"/>
      <c r="F3"/>
      <c r="G3"/>
      <c r="H3"/>
      <c r="I3"/>
      <c r="J3"/>
      <c r="K3"/>
      <c r="L3"/>
      <c r="M3"/>
      <c r="N3"/>
    </row>
    <row r="4" spans="2:15" ht="15" x14ac:dyDescent="0.2">
      <c r="B4" s="14" t="s">
        <v>0</v>
      </c>
      <c r="C4"/>
      <c r="D4"/>
      <c r="E4"/>
      <c r="F4"/>
      <c r="G4"/>
      <c r="H4"/>
      <c r="I4"/>
      <c r="J4"/>
      <c r="K4"/>
      <c r="L4"/>
      <c r="M4"/>
      <c r="N4"/>
    </row>
    <row r="5" spans="2:15" ht="15" x14ac:dyDescent="0.2">
      <c r="B5" s="14"/>
      <c r="C5"/>
      <c r="D5"/>
      <c r="E5"/>
      <c r="F5"/>
      <c r="G5"/>
      <c r="H5"/>
      <c r="I5"/>
      <c r="J5"/>
      <c r="K5"/>
      <c r="L5"/>
      <c r="M5"/>
      <c r="N5"/>
    </row>
    <row r="6" spans="2:15" ht="15" x14ac:dyDescent="0.2">
      <c r="B6" s="14"/>
      <c r="C6"/>
      <c r="D6"/>
      <c r="E6"/>
      <c r="F6"/>
      <c r="G6"/>
      <c r="H6"/>
      <c r="I6"/>
      <c r="J6"/>
      <c r="K6"/>
      <c r="L6"/>
      <c r="M6"/>
      <c r="N6"/>
    </row>
    <row r="7" spans="2:15" ht="15" x14ac:dyDescent="0.2">
      <c r="B7" s="43"/>
      <c r="C7" s="53" t="s">
        <v>12</v>
      </c>
      <c r="D7" s="97" t="str">
        <f>IF('Cover Page'!$C$63+0&lt;'Cover Page'!$C$64,"FY"&amp;TEXT(MOD('Cover Page'!$C$63+0,100),"00")&amp;"A","FY"&amp;TEXT(MOD('Cover Page'!$C$63+0,100),"00")&amp;"E")</f>
        <v>FY21A</v>
      </c>
      <c r="E7" s="97" t="str">
        <f>IF('Cover Page'!$C$63+1&lt;'Cover Page'!$C$64,"FY"&amp;TEXT(MOD('Cover Page'!$C$63+1,100),"00")&amp;"A","FY"&amp;TEXT(MOD('Cover Page'!$C$63+1,100),"00")&amp;"E")</f>
        <v>FY22A</v>
      </c>
      <c r="F7" s="97" t="str">
        <f>IF('Cover Page'!$C$63+2&lt;'Cover Page'!$C$64,"FY"&amp;TEXT(MOD('Cover Page'!$C$63+2,100),"00")&amp;"A","FY"&amp;TEXT(MOD('Cover Page'!$C$63+2,100),"00")&amp;"E")</f>
        <v>FY23A</v>
      </c>
      <c r="G7" s="97" t="str">
        <f>IF('Cover Page'!$C$63+3&lt;'Cover Page'!$C$64,"FY"&amp;TEXT(MOD('Cover Page'!$C$63+3,100),"00")&amp;"A","FY"&amp;TEXT(MOD('Cover Page'!$C$63+3,100),"00")&amp;"E")</f>
        <v>FY24A</v>
      </c>
      <c r="H7" s="97" t="str">
        <f>IF('Cover Page'!$C$63+4&lt;'Cover Page'!$C$64,"FY"&amp;TEXT(MOD('Cover Page'!$C$63+4,100),"00")&amp;"A","FY"&amp;TEXT(MOD('Cover Page'!$C$63+4,100),"00")&amp;"E")</f>
        <v>FY25A</v>
      </c>
      <c r="I7" s="98" t="str">
        <f>IF('Cover Page'!$C$63+5&lt;'Cover Page'!$C$64,"FY"&amp;TEXT(MOD('Cover Page'!$C$63+5,100),"00")&amp;"A","FY"&amp;TEXT(MOD('Cover Page'!$C$63+5,100),"00")&amp;"E")</f>
        <v>FY26E</v>
      </c>
      <c r="J7" s="98" t="str">
        <f>IF('Cover Page'!$C$63+6&lt;'Cover Page'!$C$64,"FY"&amp;TEXT(MOD('Cover Page'!$C$63+6,100),"00")&amp;"A","FY"&amp;TEXT(MOD('Cover Page'!$C$63+6,100),"00")&amp;"E")</f>
        <v>FY27E</v>
      </c>
      <c r="K7" s="98" t="str">
        <f>IF('Cover Page'!$C$63+7&lt;'Cover Page'!$C$64,"FY"&amp;TEXT(MOD('Cover Page'!$C$63+7,100),"00")&amp;"A","FY"&amp;TEXT(MOD('Cover Page'!$C$63+7,100),"00")&amp;"E")</f>
        <v>FY28E</v>
      </c>
      <c r="L7" s="98" t="str">
        <f>IF('Cover Page'!$C$63+8&lt;'Cover Page'!$C$64,"FY"&amp;TEXT(MOD('Cover Page'!$C$63+8,100),"00")&amp;"A","FY"&amp;TEXT(MOD('Cover Page'!$C$63+8,100),"00")&amp;"E")</f>
        <v>FY29E</v>
      </c>
      <c r="M7" s="98" t="str">
        <f>IF('Cover Page'!$C$63+9&lt;'Cover Page'!$C$64,"FY"&amp;TEXT(MOD('Cover Page'!$C$63+9,100),"00")&amp;"A","FY"&amp;TEXT(MOD('Cover Page'!$C$63+9,100),"00")&amp;"E")</f>
        <v>FY30E</v>
      </c>
      <c r="N7"/>
      <c r="O7" s="13" t="s">
        <v>60</v>
      </c>
    </row>
    <row r="8" spans="2:15" ht="16" customHeight="1" x14ac:dyDescent="0.2">
      <c r="B8"/>
      <c r="C8"/>
      <c r="D8"/>
      <c r="E8"/>
      <c r="F8"/>
      <c r="G8"/>
      <c r="H8"/>
      <c r="I8"/>
      <c r="J8"/>
      <c r="K8"/>
      <c r="L8"/>
      <c r="M8"/>
      <c r="N8"/>
      <c r="O8" s="3"/>
    </row>
    <row r="9" spans="2:15" ht="16" thickBot="1" x14ac:dyDescent="0.25">
      <c r="B9" s="127" t="s">
        <v>248</v>
      </c>
      <c r="C9" s="127"/>
      <c r="D9" s="127"/>
      <c r="E9" s="127"/>
      <c r="F9" s="127"/>
      <c r="G9" s="127"/>
      <c r="H9" s="127"/>
      <c r="I9" s="127"/>
      <c r="J9" s="127"/>
      <c r="K9" s="127"/>
      <c r="L9" s="127"/>
      <c r="M9" s="127"/>
      <c r="N9"/>
    </row>
    <row r="10" spans="2:15" ht="16" customHeight="1" x14ac:dyDescent="0.2">
      <c r="B10" s="49" t="s">
        <v>156</v>
      </c>
      <c r="C10" s="180" t="s">
        <v>14</v>
      </c>
      <c r="D10" s="265">
        <f>'Income Statement'!D38</f>
        <v>439.9</v>
      </c>
      <c r="E10" s="265">
        <f>'Income Statement'!E38</f>
        <v>460.6</v>
      </c>
      <c r="F10" s="265">
        <f>'Income Statement'!F38</f>
        <v>506.49999999999994</v>
      </c>
      <c r="G10" s="265">
        <f>'Income Statement'!G38</f>
        <v>486.10000000000019</v>
      </c>
      <c r="H10" s="265">
        <f>'Income Statement'!H38</f>
        <v>521.89999999999986</v>
      </c>
      <c r="I10" s="265">
        <f>'Income Statement'!I38</f>
        <v>522.54817724634881</v>
      </c>
      <c r="J10" s="265">
        <f>'Income Statement'!J38</f>
        <v>551.39315015751026</v>
      </c>
      <c r="K10" s="265">
        <f>'Income Statement'!K38</f>
        <v>582.81479832675598</v>
      </c>
      <c r="L10" s="265">
        <f>'Income Statement'!L38</f>
        <v>616.04593911411939</v>
      </c>
      <c r="M10" s="265">
        <f>'Income Statement'!M38</f>
        <v>651.19205132206048</v>
      </c>
      <c r="N10"/>
      <c r="O10" s="4" t="s">
        <v>665</v>
      </c>
    </row>
    <row r="11" spans="2:15" ht="15" x14ac:dyDescent="0.2">
      <c r="B11" s="5" t="s">
        <v>605</v>
      </c>
      <c r="C11" s="81" t="s">
        <v>14</v>
      </c>
      <c r="D11" s="210">
        <f>'Income Statement'!D58</f>
        <v>50.3</v>
      </c>
      <c r="E11" s="210">
        <f>'Income Statement'!E58</f>
        <v>54.5</v>
      </c>
      <c r="F11" s="210">
        <f>'Income Statement'!F58</f>
        <v>56</v>
      </c>
      <c r="G11" s="210">
        <f>'Income Statement'!G58</f>
        <v>56</v>
      </c>
      <c r="H11" s="210">
        <f>'Income Statement'!H58</f>
        <v>60</v>
      </c>
      <c r="I11" s="210">
        <f>'Income Statement'!I58</f>
        <v>63.767412000000007</v>
      </c>
      <c r="J11" s="210">
        <f>'Income Statement'!J58</f>
        <v>67.338079379999996</v>
      </c>
      <c r="K11" s="210">
        <f>'Income Statement'!K58</f>
        <v>71.111188062000011</v>
      </c>
      <c r="L11" s="210">
        <f>'Income Statement'!L58</f>
        <v>75.098362495914017</v>
      </c>
      <c r="M11" s="210">
        <f>'Income Statement'!M58</f>
        <v>79.311903250858947</v>
      </c>
      <c r="N11"/>
      <c r="O11" s="4" t="s">
        <v>666</v>
      </c>
    </row>
    <row r="12" spans="2:15" ht="15" x14ac:dyDescent="0.2">
      <c r="B12" s="5" t="s">
        <v>606</v>
      </c>
      <c r="C12" s="81"/>
      <c r="D12" s="210">
        <f>'Income Statement'!D59</f>
        <v>9</v>
      </c>
      <c r="E12" s="210">
        <f>'Income Statement'!E59</f>
        <v>11.5</v>
      </c>
      <c r="F12" s="210">
        <f>'Income Statement'!F59</f>
        <v>18.3</v>
      </c>
      <c r="G12" s="210">
        <f>'Income Statement'!G59</f>
        <v>30.7</v>
      </c>
      <c r="H12" s="210">
        <f>'Income Statement'!H59</f>
        <v>47.4</v>
      </c>
      <c r="I12" s="210">
        <f>'Income Statement'!I59</f>
        <v>47</v>
      </c>
      <c r="J12" s="210">
        <f>'Income Statement'!J59</f>
        <v>40</v>
      </c>
      <c r="K12" s="210">
        <f>'Income Statement'!K59</f>
        <v>33</v>
      </c>
      <c r="L12" s="210">
        <f>'Income Statement'!L59</f>
        <v>26</v>
      </c>
      <c r="M12" s="210">
        <f>'Income Statement'!M59</f>
        <v>19</v>
      </c>
      <c r="N12"/>
      <c r="O12" s="4" t="s">
        <v>667</v>
      </c>
    </row>
    <row r="13" spans="2:15" ht="15" x14ac:dyDescent="0.2">
      <c r="B13" s="5" t="s">
        <v>137</v>
      </c>
      <c r="C13" s="81" t="s">
        <v>14</v>
      </c>
      <c r="D13" s="210">
        <f>'Income Statement'!D54</f>
        <v>24.9</v>
      </c>
      <c r="E13" s="210">
        <f>'Income Statement'!E54</f>
        <v>24.7</v>
      </c>
      <c r="F13" s="210">
        <f>'Income Statement'!F54</f>
        <v>30.2</v>
      </c>
      <c r="G13" s="210">
        <f>'Income Statement'!G54</f>
        <v>31.9</v>
      </c>
      <c r="H13" s="210">
        <f>'Income Statement'!H54</f>
        <v>34.299999999999997</v>
      </c>
      <c r="I13" s="210">
        <f>'Income Statement'!I54</f>
        <v>36.219364571224183</v>
      </c>
      <c r="J13" s="210">
        <f>'Income Statement'!J54</f>
        <v>38.247474220692119</v>
      </c>
      <c r="K13" s="210">
        <f>'Income Statement'!K54</f>
        <v>40.390568861575609</v>
      </c>
      <c r="L13" s="210">
        <f>'Income Statement'!L54</f>
        <v>42.655251085640081</v>
      </c>
      <c r="M13" s="210">
        <f>'Income Statement'!M54</f>
        <v>45.048507514787019</v>
      </c>
      <c r="N13"/>
      <c r="O13" s="4" t="s">
        <v>681</v>
      </c>
    </row>
    <row r="14" spans="2:15" ht="15" x14ac:dyDescent="0.2">
      <c r="B14" s="5" t="s">
        <v>621</v>
      </c>
      <c r="C14" s="81" t="s">
        <v>14</v>
      </c>
      <c r="D14" s="10">
        <v>0</v>
      </c>
      <c r="E14" s="10">
        <v>0</v>
      </c>
      <c r="F14" s="10">
        <v>41.329000000000001</v>
      </c>
      <c r="G14" s="10">
        <v>1.216</v>
      </c>
      <c r="H14" s="10">
        <v>-18.797999999999998</v>
      </c>
      <c r="I14" s="10">
        <v>0</v>
      </c>
      <c r="J14" s="10">
        <v>0</v>
      </c>
      <c r="K14" s="10">
        <v>0</v>
      </c>
      <c r="L14" s="10">
        <v>0</v>
      </c>
      <c r="M14" s="10">
        <v>0</v>
      </c>
      <c r="N14"/>
      <c r="O14" s="4" t="s">
        <v>668</v>
      </c>
    </row>
    <row r="15" spans="2:15" ht="15" x14ac:dyDescent="0.2">
      <c r="B15" s="5" t="s">
        <v>584</v>
      </c>
      <c r="C15" s="81" t="s">
        <v>14</v>
      </c>
      <c r="D15" s="10">
        <v>-46.572000000000003</v>
      </c>
      <c r="E15" s="10">
        <v>-9.9969999999999999</v>
      </c>
      <c r="F15" s="10">
        <v>-8.5020000000000007</v>
      </c>
      <c r="G15" s="10">
        <v>6.06</v>
      </c>
      <c r="H15" s="10">
        <v>-8.673</v>
      </c>
      <c r="I15" s="10">
        <v>0</v>
      </c>
      <c r="J15" s="10">
        <v>0</v>
      </c>
      <c r="K15" s="10">
        <v>0</v>
      </c>
      <c r="L15" s="10">
        <v>0</v>
      </c>
      <c r="M15" s="10">
        <v>0</v>
      </c>
      <c r="N15"/>
      <c r="O15" s="4" t="s">
        <v>669</v>
      </c>
    </row>
    <row r="16" spans="2:15" ht="15" x14ac:dyDescent="0.2">
      <c r="B16" s="230" t="s">
        <v>608</v>
      </c>
      <c r="C16" s="81"/>
      <c r="D16" s="33"/>
      <c r="E16" s="33"/>
      <c r="F16" s="33"/>
      <c r="G16" s="33"/>
      <c r="H16" s="33"/>
      <c r="I16" s="210"/>
      <c r="J16" s="210"/>
      <c r="K16" s="210"/>
      <c r="L16" s="210"/>
      <c r="M16" s="210"/>
      <c r="N16"/>
    </row>
    <row r="17" spans="2:15" ht="15" x14ac:dyDescent="0.2">
      <c r="B17" s="5" t="s">
        <v>609</v>
      </c>
      <c r="C17" s="81" t="s">
        <v>14</v>
      </c>
      <c r="D17" s="33">
        <v>-13.801</v>
      </c>
      <c r="E17" s="33">
        <v>-29.943999999999999</v>
      </c>
      <c r="F17" s="33">
        <v>-3.2450000000000001</v>
      </c>
      <c r="G17" s="33">
        <v>10.250999999999999</v>
      </c>
      <c r="H17" s="33">
        <v>-7.383</v>
      </c>
      <c r="I17" s="210">
        <f>-('Balance Sheet'!I11-'Balance Sheet'!H11)</f>
        <v>-19.111350146560596</v>
      </c>
      <c r="J17" s="210">
        <f>-('Balance Sheet'!J11-'Balance Sheet'!I11)</f>
        <v>-23.118411445539209</v>
      </c>
      <c r="K17" s="210">
        <f>-('Balance Sheet'!K11-'Balance Sheet'!J11)</f>
        <v>-24.429124770286762</v>
      </c>
      <c r="L17" s="210">
        <f>-('Balance Sheet'!L11-'Balance Sheet'!K11)</f>
        <v>-25.815101004552048</v>
      </c>
      <c r="M17" s="210">
        <f>-('Balance Sheet'!M11-'Balance Sheet'!L11)</f>
        <v>-27.280717705877578</v>
      </c>
      <c r="N17"/>
      <c r="O17" s="4" t="s">
        <v>670</v>
      </c>
    </row>
    <row r="18" spans="2:15" ht="15" x14ac:dyDescent="0.2">
      <c r="B18" s="5" t="s">
        <v>610</v>
      </c>
      <c r="C18" s="81" t="s">
        <v>14</v>
      </c>
      <c r="D18" s="33">
        <v>-97.78</v>
      </c>
      <c r="E18" s="33">
        <v>-95.691000000000003</v>
      </c>
      <c r="F18" s="33">
        <v>42.716000000000001</v>
      </c>
      <c r="G18" s="33">
        <v>55.835999999999999</v>
      </c>
      <c r="H18" s="33">
        <v>55.206000000000003</v>
      </c>
      <c r="I18" s="210">
        <f>-('Balance Sheet'!I12-'Balance Sheet'!H12)</f>
        <v>-22.640097124936574</v>
      </c>
      <c r="J18" s="210">
        <f>-('Balance Sheet'!J12-'Balance Sheet'!I12)</f>
        <v>-23.826667317745034</v>
      </c>
      <c r="K18" s="210">
        <f>-('Balance Sheet'!K12-'Balance Sheet'!J12)</f>
        <v>-25.182811341255388</v>
      </c>
      <c r="L18" s="210">
        <f>-('Balance Sheet'!L12-'Balance Sheet'!K12)</f>
        <v>-26.617116902073519</v>
      </c>
      <c r="M18" s="210">
        <f>-('Balance Sheet'!M12-'Balance Sheet'!L12)</f>
        <v>-28.134146288500403</v>
      </c>
      <c r="N18"/>
      <c r="O18" s="4" t="s">
        <v>671</v>
      </c>
    </row>
    <row r="19" spans="2:15" ht="15" x14ac:dyDescent="0.2">
      <c r="B19" s="5" t="s">
        <v>579</v>
      </c>
      <c r="C19" s="81" t="s">
        <v>14</v>
      </c>
      <c r="D19" s="33">
        <v>12.397</v>
      </c>
      <c r="E19" s="33">
        <v>4.1950000000000003</v>
      </c>
      <c r="F19" s="33">
        <v>-12.348000000000001</v>
      </c>
      <c r="G19" s="33">
        <v>-13.298</v>
      </c>
      <c r="H19" s="33">
        <v>-7.7119999999999997</v>
      </c>
      <c r="I19" s="210">
        <f>'Balance Sheet'!I29-'Balance Sheet'!H29</f>
        <v>4.4156941983318774</v>
      </c>
      <c r="J19" s="210">
        <f>'Balance Sheet'!J29-'Balance Sheet'!I29</f>
        <v>4.6460023453219179</v>
      </c>
      <c r="K19" s="210">
        <f>'Balance Sheet'!K29-'Balance Sheet'!J29</f>
        <v>4.909347023902356</v>
      </c>
      <c r="L19" s="210">
        <f>'Balance Sheet'!L29-'Balance Sheet'!K29</f>
        <v>5.1878092009509658</v>
      </c>
      <c r="M19" s="210">
        <f>'Balance Sheet'!M29-'Balance Sheet'!L29</f>
        <v>5.4822679004189183</v>
      </c>
      <c r="N19"/>
      <c r="O19" s="4" t="s">
        <v>672</v>
      </c>
    </row>
    <row r="20" spans="2:15" ht="15" x14ac:dyDescent="0.2">
      <c r="B20" s="5" t="s">
        <v>580</v>
      </c>
      <c r="C20" s="81" t="s">
        <v>14</v>
      </c>
      <c r="D20" s="33">
        <v>29.088999999999999</v>
      </c>
      <c r="E20" s="33">
        <v>-18.442</v>
      </c>
      <c r="F20" s="33">
        <v>-2.1579999999999999</v>
      </c>
      <c r="G20" s="33">
        <v>-12.186999999999999</v>
      </c>
      <c r="H20" s="33">
        <v>-6.6319999999999997</v>
      </c>
      <c r="I20" s="210">
        <f>'Balance Sheet'!I30-'Balance Sheet'!H30</f>
        <v>4.1084474291335198</v>
      </c>
      <c r="J20" s="210">
        <f>'Balance Sheet'!J30-'Balance Sheet'!I30</f>
        <v>4.3412189639631436</v>
      </c>
      <c r="K20" s="210">
        <f>'Balance Sheet'!K30-'Balance Sheet'!J30</f>
        <v>4.5873471875704439</v>
      </c>
      <c r="L20" s="210">
        <f>'Balance Sheet'!L30-'Balance Sheet'!K30</f>
        <v>4.847608422472689</v>
      </c>
      <c r="M20" s="210">
        <f>'Balance Sheet'!M30-'Balance Sheet'!L30</f>
        <v>5.1228246946929517</v>
      </c>
      <c r="N20"/>
      <c r="O20" s="4" t="s">
        <v>673</v>
      </c>
    </row>
    <row r="21" spans="2:15" ht="15" x14ac:dyDescent="0.2">
      <c r="B21" s="5" t="s">
        <v>611</v>
      </c>
      <c r="C21" s="81" t="s">
        <v>14</v>
      </c>
      <c r="D21" s="33">
        <v>1.2190000000000001</v>
      </c>
      <c r="E21" s="33">
        <v>-18.673999999999999</v>
      </c>
      <c r="F21" s="33">
        <v>-13.661</v>
      </c>
      <c r="G21" s="33">
        <v>-14.170999999999999</v>
      </c>
      <c r="H21" s="33">
        <v>-0.57099999999999995</v>
      </c>
      <c r="I21" s="210">
        <v>0</v>
      </c>
      <c r="J21" s="210">
        <v>0</v>
      </c>
      <c r="K21" s="210">
        <v>0</v>
      </c>
      <c r="L21" s="210">
        <v>0</v>
      </c>
      <c r="M21" s="210">
        <v>0</v>
      </c>
      <c r="N21"/>
      <c r="O21" s="4" t="s">
        <v>674</v>
      </c>
    </row>
    <row r="22" spans="2:15" ht="15" x14ac:dyDescent="0.2">
      <c r="B22" s="5" t="s">
        <v>622</v>
      </c>
      <c r="C22" s="81" t="s">
        <v>14</v>
      </c>
      <c r="D22" s="33">
        <v>48.222000000000001</v>
      </c>
      <c r="E22" s="33">
        <v>-5.39</v>
      </c>
      <c r="F22" s="33">
        <v>-4.1749999999999998</v>
      </c>
      <c r="G22" s="33">
        <v>-15.516</v>
      </c>
      <c r="H22" s="33">
        <v>14.138999999999999</v>
      </c>
      <c r="I22" s="210">
        <f>('Balance Sheet'!I33-'Balance Sheet'!H33)-('Balance Sheet'!I13-'Balance Sheet'!H13)+('Balance Sheet'!H22-'Balance Sheet'!I22)</f>
        <v>22.621118835136684</v>
      </c>
      <c r="J22" s="210">
        <f>('Balance Sheet'!J33-'Balance Sheet'!I33)-('Balance Sheet'!J13-'Balance Sheet'!I13)+('Balance Sheet'!I22-'Balance Sheet'!J22)</f>
        <v>23.220199592715133</v>
      </c>
      <c r="K22" s="210">
        <f>('Balance Sheet'!K33-'Balance Sheet'!J33)-('Balance Sheet'!K13-'Balance Sheet'!J13)+('Balance Sheet'!J22-'Balance Sheet'!K22)</f>
        <v>23.853656268455126</v>
      </c>
      <c r="L22" s="210">
        <f>('Balance Sheet'!L33-'Balance Sheet'!K33)-('Balance Sheet'!L13-'Balance Sheet'!K13)+('Balance Sheet'!K22-'Balance Sheet'!L22)</f>
        <v>24.523486872474933</v>
      </c>
      <c r="M22" s="210">
        <f>('Balance Sheet'!M33-'Balance Sheet'!L33)-('Balance Sheet'!M13-'Balance Sheet'!L13)+('Balance Sheet'!L22-'Balance Sheet'!M22)</f>
        <v>25.231807041349022</v>
      </c>
      <c r="N22"/>
      <c r="O22" s="4" t="s">
        <v>683</v>
      </c>
    </row>
    <row r="23" spans="2:15" ht="15" x14ac:dyDescent="0.2">
      <c r="B23" s="188" t="s">
        <v>68</v>
      </c>
      <c r="C23" s="212" t="s">
        <v>14</v>
      </c>
      <c r="D23" s="282">
        <f>SUM(D10:D15)+SUM(D17:D22)</f>
        <v>456.87400000000002</v>
      </c>
      <c r="E23" s="282">
        <f t="shared" ref="E23:M23" si="0">SUM(E10:E15)+SUM(E17:E22)</f>
        <v>377.35700000000008</v>
      </c>
      <c r="F23" s="282">
        <f t="shared" si="0"/>
        <v>650.95600000000002</v>
      </c>
      <c r="G23" s="282">
        <f t="shared" si="0"/>
        <v>622.89100000000008</v>
      </c>
      <c r="H23" s="282">
        <f t="shared" si="0"/>
        <v>683.17599999999982</v>
      </c>
      <c r="I23" s="282">
        <f t="shared" si="0"/>
        <v>658.92876700867794</v>
      </c>
      <c r="J23" s="282">
        <f t="shared" ref="J23" si="1">SUM(J10:J15)+SUM(J17:J22)</f>
        <v>682.24104589691819</v>
      </c>
      <c r="K23" s="282">
        <f t="shared" ref="K23" si="2">SUM(K10:K15)+SUM(K17:K22)</f>
        <v>711.05496961871734</v>
      </c>
      <c r="L23" s="282">
        <f t="shared" ref="L23" si="3">SUM(L10:L15)+SUM(L17:L22)</f>
        <v>741.92623928494652</v>
      </c>
      <c r="M23" s="282">
        <f t="shared" ref="M23" si="4">SUM(M10:M15)+SUM(M17:M22)</f>
        <v>774.97449772978939</v>
      </c>
      <c r="N23"/>
    </row>
    <row r="24" spans="2:15" ht="15" x14ac:dyDescent="0.2">
      <c r="N24"/>
    </row>
    <row r="25" spans="2:15" ht="16" thickBot="1" x14ac:dyDescent="0.25">
      <c r="B25" s="127" t="s">
        <v>249</v>
      </c>
      <c r="C25" s="127"/>
      <c r="D25" s="127"/>
      <c r="E25" s="127"/>
      <c r="F25" s="127"/>
      <c r="G25" s="127"/>
      <c r="H25" s="127"/>
      <c r="I25" s="127"/>
      <c r="J25" s="127"/>
      <c r="K25" s="127"/>
      <c r="L25" s="127"/>
      <c r="M25" s="127"/>
      <c r="N25"/>
    </row>
    <row r="26" spans="2:15" ht="15" x14ac:dyDescent="0.2">
      <c r="B26" s="5" t="s">
        <v>612</v>
      </c>
      <c r="C26" s="81" t="s">
        <v>14</v>
      </c>
      <c r="D26" s="10">
        <v>-19.385999999999999</v>
      </c>
      <c r="E26" s="10">
        <v>-25.295999999999999</v>
      </c>
      <c r="F26" s="10">
        <v>0</v>
      </c>
      <c r="G26" s="10">
        <v>-241.767</v>
      </c>
      <c r="H26" s="10">
        <v>-135.262</v>
      </c>
      <c r="I26" s="10">
        <f>-Assumptions!I33</f>
        <v>0</v>
      </c>
      <c r="J26" s="10">
        <f>-Assumptions!J33</f>
        <v>0</v>
      </c>
      <c r="K26" s="10">
        <f>-Assumptions!K33</f>
        <v>0</v>
      </c>
      <c r="L26" s="10">
        <f>-Assumptions!L33</f>
        <v>0</v>
      </c>
      <c r="M26" s="10">
        <f>-Assumptions!M33</f>
        <v>0</v>
      </c>
      <c r="N26"/>
      <c r="O26" s="4" t="s">
        <v>675</v>
      </c>
    </row>
    <row r="27" spans="2:15" ht="15" x14ac:dyDescent="0.2">
      <c r="B27" s="5" t="s">
        <v>157</v>
      </c>
      <c r="C27" s="81" t="s">
        <v>14</v>
      </c>
      <c r="D27" s="10">
        <v>-133.566</v>
      </c>
      <c r="E27" s="10">
        <v>-201.161</v>
      </c>
      <c r="F27" s="10">
        <v>-184.77500000000001</v>
      </c>
      <c r="G27" s="10">
        <v>-106.73699999999999</v>
      </c>
      <c r="H27" s="10">
        <v>-45.668999999999997</v>
      </c>
      <c r="I27" s="10">
        <f>-Assumptions!I81</f>
        <v>-146.42887200000001</v>
      </c>
      <c r="J27" s="10">
        <f>-Assumptions!J81</f>
        <v>-142.15816758</v>
      </c>
      <c r="K27" s="10">
        <f>-Assumptions!K81</f>
        <v>-136.95488071200003</v>
      </c>
      <c r="L27" s="10">
        <f>-Assumptions!L81</f>
        <v>-130.72677915955401</v>
      </c>
      <c r="M27" s="10">
        <f>-Assumptions!M81</f>
        <v>-123.37407172355836</v>
      </c>
      <c r="N27"/>
      <c r="O27" s="4" t="s">
        <v>685</v>
      </c>
    </row>
    <row r="28" spans="2:15" ht="15" x14ac:dyDescent="0.2">
      <c r="B28" s="5" t="s">
        <v>613</v>
      </c>
      <c r="C28" s="81" t="s">
        <v>14</v>
      </c>
      <c r="D28" s="10">
        <v>0</v>
      </c>
      <c r="E28" s="10">
        <v>0</v>
      </c>
      <c r="F28" s="10">
        <v>0</v>
      </c>
      <c r="G28" s="10">
        <v>5.63</v>
      </c>
      <c r="H28" s="10">
        <v>11.182</v>
      </c>
      <c r="I28" s="10">
        <v>0</v>
      </c>
      <c r="J28" s="10">
        <v>0</v>
      </c>
      <c r="K28" s="10">
        <v>0</v>
      </c>
      <c r="L28" s="10">
        <v>0</v>
      </c>
      <c r="M28" s="10">
        <v>0</v>
      </c>
      <c r="N28"/>
      <c r="O28" s="4" t="s">
        <v>676</v>
      </c>
    </row>
    <row r="29" spans="2:15" ht="15" x14ac:dyDescent="0.2">
      <c r="B29" s="5" t="s">
        <v>158</v>
      </c>
      <c r="C29" s="81" t="s">
        <v>14</v>
      </c>
      <c r="D29" s="10">
        <v>-0.34699999999999998</v>
      </c>
      <c r="E29" s="10">
        <v>-0.36199999999999999</v>
      </c>
      <c r="F29" s="10">
        <v>0.499</v>
      </c>
      <c r="G29" s="10">
        <v>-5.6890000000000001</v>
      </c>
      <c r="H29" s="10">
        <v>3.0470000000000002</v>
      </c>
      <c r="I29" s="10">
        <v>0</v>
      </c>
      <c r="J29" s="10">
        <v>0</v>
      </c>
      <c r="K29" s="10">
        <v>0</v>
      </c>
      <c r="L29" s="10">
        <v>0</v>
      </c>
      <c r="M29" s="10">
        <v>0</v>
      </c>
      <c r="N29"/>
      <c r="O29" s="4" t="s">
        <v>686</v>
      </c>
    </row>
    <row r="30" spans="2:15" ht="15" x14ac:dyDescent="0.2">
      <c r="B30" s="188" t="s">
        <v>69</v>
      </c>
      <c r="C30" s="212" t="s">
        <v>14</v>
      </c>
      <c r="D30" s="282">
        <f>SUM(D26:D29)</f>
        <v>-153.29900000000001</v>
      </c>
      <c r="E30" s="282">
        <f t="shared" ref="E30:M30" si="5">SUM(E26:E29)</f>
        <v>-226.81899999999999</v>
      </c>
      <c r="F30" s="282">
        <f t="shared" si="5"/>
        <v>-184.27600000000001</v>
      </c>
      <c r="G30" s="282">
        <f t="shared" si="5"/>
        <v>-348.56300000000005</v>
      </c>
      <c r="H30" s="282">
        <f t="shared" si="5"/>
        <v>-166.702</v>
      </c>
      <c r="I30" s="282">
        <f t="shared" si="5"/>
        <v>-146.42887200000001</v>
      </c>
      <c r="J30" s="282">
        <f>SUM(J26:J29)</f>
        <v>-142.15816758</v>
      </c>
      <c r="K30" s="282">
        <f t="shared" ref="K30" si="6">SUM(K26:K29)</f>
        <v>-136.95488071200003</v>
      </c>
      <c r="L30" s="282">
        <f t="shared" ref="L30" si="7">SUM(L26:L29)</f>
        <v>-130.72677915955401</v>
      </c>
      <c r="M30" s="282">
        <f t="shared" ref="M30" si="8">SUM(M26:M29)</f>
        <v>-123.37407172355836</v>
      </c>
      <c r="N30"/>
    </row>
    <row r="31" spans="2:15" ht="15" x14ac:dyDescent="0.2">
      <c r="N31"/>
    </row>
    <row r="32" spans="2:15" ht="16" thickBot="1" x14ac:dyDescent="0.25">
      <c r="B32" s="147" t="s">
        <v>250</v>
      </c>
      <c r="C32" s="147"/>
      <c r="D32" s="147"/>
      <c r="E32" s="147"/>
      <c r="F32" s="147"/>
      <c r="G32" s="147"/>
      <c r="H32" s="147"/>
      <c r="I32" s="147"/>
      <c r="J32" s="147"/>
      <c r="K32" s="147"/>
      <c r="L32" s="147"/>
      <c r="M32" s="147"/>
      <c r="N32"/>
    </row>
    <row r="33" spans="2:15" ht="15" x14ac:dyDescent="0.2">
      <c r="B33" s="208" t="s">
        <v>614</v>
      </c>
      <c r="C33" s="213" t="s">
        <v>14</v>
      </c>
      <c r="D33" s="211">
        <v>20.497</v>
      </c>
      <c r="E33" s="211">
        <v>-18.251999999999999</v>
      </c>
      <c r="F33" s="211">
        <v>9.7249999999999996</v>
      </c>
      <c r="G33" s="211">
        <v>-0.76600000000000001</v>
      </c>
      <c r="H33" s="211">
        <v>-6.5880000000000001</v>
      </c>
      <c r="I33" s="211">
        <v>0</v>
      </c>
      <c r="J33" s="211">
        <v>0</v>
      </c>
      <c r="K33" s="211">
        <v>0</v>
      </c>
      <c r="L33" s="211">
        <v>0</v>
      </c>
      <c r="M33" s="211">
        <v>0</v>
      </c>
      <c r="N33"/>
      <c r="O33" s="4" t="s">
        <v>687</v>
      </c>
    </row>
    <row r="34" spans="2:15" ht="16" customHeight="1" x14ac:dyDescent="0.2">
      <c r="B34" s="5" t="s">
        <v>615</v>
      </c>
      <c r="C34" s="81" t="s">
        <v>14</v>
      </c>
      <c r="D34" s="10">
        <v>0</v>
      </c>
      <c r="E34" s="10">
        <v>0</v>
      </c>
      <c r="F34" s="10">
        <v>0</v>
      </c>
      <c r="G34" s="10">
        <v>0</v>
      </c>
      <c r="H34" s="10">
        <v>2.5000000000000001E-2</v>
      </c>
      <c r="I34" s="10">
        <v>0</v>
      </c>
      <c r="J34" s="10">
        <v>0</v>
      </c>
      <c r="K34" s="10">
        <v>0</v>
      </c>
      <c r="L34" s="10">
        <v>0</v>
      </c>
      <c r="M34" s="10">
        <v>0</v>
      </c>
      <c r="N34"/>
    </row>
    <row r="35" spans="2:15" ht="15" x14ac:dyDescent="0.2">
      <c r="B35" s="5" t="s">
        <v>616</v>
      </c>
      <c r="C35" s="81" t="s">
        <v>14</v>
      </c>
      <c r="D35" s="10">
        <v>-1.492</v>
      </c>
      <c r="E35" s="10">
        <v>-75</v>
      </c>
      <c r="F35" s="10">
        <v>-76.025000000000006</v>
      </c>
      <c r="G35" s="10">
        <v>-1.7070000000000001</v>
      </c>
      <c r="H35" s="10">
        <v>0</v>
      </c>
      <c r="I35" s="10">
        <v>0</v>
      </c>
      <c r="J35" s="10">
        <v>0</v>
      </c>
      <c r="K35" s="10">
        <v>0</v>
      </c>
      <c r="L35" s="10">
        <v>0</v>
      </c>
      <c r="M35" s="10">
        <v>0</v>
      </c>
      <c r="N35"/>
    </row>
    <row r="36" spans="2:15" ht="15" x14ac:dyDescent="0.2">
      <c r="B36" s="5" t="s">
        <v>617</v>
      </c>
      <c r="C36" s="81" t="s">
        <v>14</v>
      </c>
      <c r="D36" s="10">
        <v>50.963000000000001</v>
      </c>
      <c r="E36" s="10">
        <v>35.619</v>
      </c>
      <c r="F36" s="10">
        <v>60.182000000000002</v>
      </c>
      <c r="G36" s="10">
        <v>70.659000000000006</v>
      </c>
      <c r="H36" s="10">
        <v>43.023000000000003</v>
      </c>
      <c r="I36" s="10">
        <f>AVERAGE($D$36:$H$36)</f>
        <v>52.089200000000005</v>
      </c>
      <c r="J36" s="10">
        <f>AVERAGE($D$36:$H$36)</f>
        <v>52.089200000000005</v>
      </c>
      <c r="K36" s="10">
        <f>AVERAGE($D$36:$H$36)</f>
        <v>52.089200000000005</v>
      </c>
      <c r="L36" s="10">
        <f>AVERAGE($D$36:$H$36)</f>
        <v>52.089200000000005</v>
      </c>
      <c r="M36" s="10">
        <f>AVERAGE($D$36:$H$36)</f>
        <v>52.089200000000005</v>
      </c>
      <c r="N36"/>
      <c r="O36" s="4" t="s">
        <v>689</v>
      </c>
    </row>
    <row r="37" spans="2:15" ht="15" x14ac:dyDescent="0.2">
      <c r="B37" s="5" t="s">
        <v>623</v>
      </c>
      <c r="C37" s="81" t="s">
        <v>14</v>
      </c>
      <c r="D37" s="10">
        <v>0</v>
      </c>
      <c r="E37" s="10">
        <v>-233.42599999999999</v>
      </c>
      <c r="F37" s="10">
        <v>-102.34399999999999</v>
      </c>
      <c r="G37" s="10">
        <v>-31.35</v>
      </c>
      <c r="H37" s="10">
        <v>-423.108</v>
      </c>
      <c r="I37" s="10">
        <f>-Assumptions!I87</f>
        <v>-285.76831826247223</v>
      </c>
      <c r="J37" s="10">
        <f>-Assumptions!J87</f>
        <v>-288.55535735532993</v>
      </c>
      <c r="K37" s="10">
        <f>-Assumptions!K87</f>
        <v>-293.54023602482795</v>
      </c>
      <c r="L37" s="10">
        <f>-Assumptions!L87</f>
        <v>-298.48570974587005</v>
      </c>
      <c r="M37" s="10">
        <f>-Assumptions!M87</f>
        <v>-303.27595924572199</v>
      </c>
      <c r="N37"/>
      <c r="O37" s="4" t="s">
        <v>688</v>
      </c>
    </row>
    <row r="38" spans="2:15" ht="15" x14ac:dyDescent="0.2">
      <c r="B38" s="5" t="s">
        <v>618</v>
      </c>
      <c r="C38" s="81" t="s">
        <v>14</v>
      </c>
      <c r="D38" s="10">
        <v>0</v>
      </c>
      <c r="E38" s="10">
        <v>-1.2190000000000001</v>
      </c>
      <c r="F38" s="10">
        <v>-1.2250000000000001</v>
      </c>
      <c r="G38" s="10">
        <v>-4.6109999999999998</v>
      </c>
      <c r="H38" s="10">
        <v>-6.0549999999999997</v>
      </c>
      <c r="I38" s="10">
        <v>0</v>
      </c>
      <c r="J38" s="10">
        <v>0</v>
      </c>
      <c r="K38" s="10">
        <v>0</v>
      </c>
      <c r="L38" s="10">
        <v>0</v>
      </c>
      <c r="M38" s="10">
        <v>0</v>
      </c>
      <c r="N38"/>
      <c r="O38" s="4" t="s">
        <v>690</v>
      </c>
    </row>
    <row r="39" spans="2:15" ht="15" x14ac:dyDescent="0.2">
      <c r="B39" s="5" t="s">
        <v>63</v>
      </c>
      <c r="C39" s="81" t="s">
        <v>14</v>
      </c>
      <c r="D39" s="10">
        <v>-127.11</v>
      </c>
      <c r="E39" s="10">
        <v>-142.125</v>
      </c>
      <c r="F39" s="10">
        <v>-158.32300000000001</v>
      </c>
      <c r="G39" s="10">
        <v>-172.08799999999999</v>
      </c>
      <c r="H39" s="10">
        <v>-183.352</v>
      </c>
      <c r="I39" s="10">
        <f>-Assumptions!I88</f>
        <v>-192.51960000000003</v>
      </c>
      <c r="J39" s="10">
        <f>-Assumptions!J88</f>
        <v>-202.14558000000002</v>
      </c>
      <c r="K39" s="10">
        <f>-Assumptions!K88</f>
        <v>-212.25285900000003</v>
      </c>
      <c r="L39" s="10">
        <f>-Assumptions!L88</f>
        <v>-222.86550195000004</v>
      </c>
      <c r="M39" s="10">
        <f>-Assumptions!M88</f>
        <v>-234.00877704750005</v>
      </c>
      <c r="N39"/>
      <c r="O39" s="4" t="s">
        <v>691</v>
      </c>
    </row>
    <row r="40" spans="2:15" ht="15" x14ac:dyDescent="0.2">
      <c r="B40" s="5" t="s">
        <v>159</v>
      </c>
      <c r="C40" s="81" t="s">
        <v>14</v>
      </c>
      <c r="D40" s="10">
        <v>0</v>
      </c>
      <c r="E40" s="10">
        <v>0</v>
      </c>
      <c r="F40" s="10">
        <v>0</v>
      </c>
      <c r="G40" s="10">
        <v>0</v>
      </c>
      <c r="H40" s="10">
        <v>0</v>
      </c>
      <c r="I40" s="10">
        <v>0</v>
      </c>
      <c r="J40" s="10">
        <v>0</v>
      </c>
      <c r="K40" s="10">
        <v>0</v>
      </c>
      <c r="L40" s="10">
        <v>0</v>
      </c>
      <c r="M40" s="10">
        <v>0</v>
      </c>
      <c r="N40"/>
    </row>
    <row r="41" spans="2:15" ht="15" x14ac:dyDescent="0.2">
      <c r="B41" s="188" t="s">
        <v>70</v>
      </c>
      <c r="C41" s="212" t="s">
        <v>14</v>
      </c>
      <c r="D41" s="282">
        <f>SUM(D33:D40)</f>
        <v>-57.141999999999996</v>
      </c>
      <c r="E41" s="282">
        <f t="shared" ref="E41:M41" si="9">SUM(E33:E40)</f>
        <v>-434.40299999999996</v>
      </c>
      <c r="F41" s="282">
        <f t="shared" si="9"/>
        <v>-268.01</v>
      </c>
      <c r="G41" s="282">
        <f t="shared" si="9"/>
        <v>-139.863</v>
      </c>
      <c r="H41" s="282">
        <f t="shared" si="9"/>
        <v>-576.05500000000006</v>
      </c>
      <c r="I41" s="282">
        <f t="shared" si="9"/>
        <v>-426.19871826247225</v>
      </c>
      <c r="J41" s="282">
        <f t="shared" ref="J41" si="10">SUM(J33:J40)</f>
        <v>-438.61173735532998</v>
      </c>
      <c r="K41" s="282">
        <f t="shared" ref="K41" si="11">SUM(K33:K40)</f>
        <v>-453.70389502482794</v>
      </c>
      <c r="L41" s="282">
        <f t="shared" ref="L41" si="12">SUM(L33:L40)</f>
        <v>-469.26201169587011</v>
      </c>
      <c r="M41" s="282">
        <f t="shared" ref="M41" si="13">SUM(M33:M40)</f>
        <v>-485.19553629322206</v>
      </c>
      <c r="N41"/>
    </row>
    <row r="42" spans="2:15" ht="15" x14ac:dyDescent="0.2">
      <c r="N42"/>
    </row>
    <row r="43" spans="2:15" ht="15" x14ac:dyDescent="0.2">
      <c r="B43" s="5" t="s">
        <v>624</v>
      </c>
      <c r="C43" s="81" t="s">
        <v>14</v>
      </c>
      <c r="D43" s="664">
        <v>-1.0620000000000001</v>
      </c>
      <c r="E43" s="664">
        <v>-1.278</v>
      </c>
      <c r="F43" s="664">
        <v>1.022</v>
      </c>
      <c r="G43" s="664">
        <v>-1.637</v>
      </c>
      <c r="H43" s="664">
        <v>14.007</v>
      </c>
      <c r="I43" s="5">
        <v>0</v>
      </c>
      <c r="J43" s="5">
        <v>0</v>
      </c>
      <c r="K43" s="5">
        <v>0</v>
      </c>
      <c r="L43" s="5">
        <v>0</v>
      </c>
      <c r="M43" s="5">
        <v>0</v>
      </c>
      <c r="N43"/>
      <c r="O43" s="4" t="s">
        <v>677</v>
      </c>
    </row>
    <row r="44" spans="2:15" ht="15" x14ac:dyDescent="0.2">
      <c r="B44" s="5" t="s">
        <v>160</v>
      </c>
      <c r="C44" s="81" t="s">
        <v>14</v>
      </c>
      <c r="D44" s="33">
        <f>D23+D30+D41+D43</f>
        <v>245.37100000000004</v>
      </c>
      <c r="E44" s="33">
        <f t="shared" ref="E44:M44" si="14">E23+E30+E41+E43</f>
        <v>-285.14299999999992</v>
      </c>
      <c r="F44" s="33">
        <f t="shared" si="14"/>
        <v>199.69200000000001</v>
      </c>
      <c r="G44" s="33">
        <f t="shared" si="14"/>
        <v>132.82800000000003</v>
      </c>
      <c r="H44" s="33">
        <f t="shared" si="14"/>
        <v>-45.574000000000247</v>
      </c>
      <c r="I44" s="33">
        <f t="shared" si="14"/>
        <v>86.301176746205613</v>
      </c>
      <c r="J44" s="33">
        <f t="shared" si="14"/>
        <v>101.47114096158816</v>
      </c>
      <c r="K44" s="33">
        <f t="shared" si="14"/>
        <v>120.3961938818893</v>
      </c>
      <c r="L44" s="33">
        <f t="shared" si="14"/>
        <v>141.93744842952242</v>
      </c>
      <c r="M44" s="33">
        <f>M23+M30+M41+M43</f>
        <v>166.40488971300897</v>
      </c>
      <c r="N44"/>
      <c r="O44" s="4" t="s">
        <v>678</v>
      </c>
    </row>
    <row r="45" spans="2:15" ht="15" x14ac:dyDescent="0.2">
      <c r="B45" s="5" t="s">
        <v>619</v>
      </c>
      <c r="C45" s="81" t="s">
        <v>14</v>
      </c>
      <c r="D45" s="10">
        <v>378.90899999999999</v>
      </c>
      <c r="E45" s="10">
        <f>D46</f>
        <v>624.28</v>
      </c>
      <c r="F45" s="10">
        <f>E46</f>
        <v>339.13700000000006</v>
      </c>
      <c r="G45" s="10">
        <f>F46</f>
        <v>538.82900000000006</v>
      </c>
      <c r="H45" s="10">
        <f>G46</f>
        <v>671.65700000000015</v>
      </c>
      <c r="I45" s="10">
        <f>H46</f>
        <v>626.08299999999986</v>
      </c>
      <c r="J45" s="10">
        <f>I46</f>
        <v>712.38417674620541</v>
      </c>
      <c r="K45" s="10">
        <f>J46</f>
        <v>813.85531770779357</v>
      </c>
      <c r="L45" s="10">
        <f>K46</f>
        <v>934.25151158968288</v>
      </c>
      <c r="M45" s="10">
        <f>L46</f>
        <v>1076.1889600192053</v>
      </c>
      <c r="N45"/>
      <c r="O45" s="4" t="s">
        <v>679</v>
      </c>
    </row>
    <row r="46" spans="2:15" ht="16" customHeight="1" x14ac:dyDescent="0.2">
      <c r="B46" s="188" t="s">
        <v>620</v>
      </c>
      <c r="C46" s="212" t="s">
        <v>14</v>
      </c>
      <c r="D46" s="282">
        <f>D44+D45</f>
        <v>624.28</v>
      </c>
      <c r="E46" s="282">
        <f t="shared" ref="E46:M46" si="15">E44+E45</f>
        <v>339.13700000000006</v>
      </c>
      <c r="F46" s="282">
        <f t="shared" si="15"/>
        <v>538.82900000000006</v>
      </c>
      <c r="G46" s="282">
        <f t="shared" si="15"/>
        <v>671.65700000000015</v>
      </c>
      <c r="H46" s="282">
        <f t="shared" si="15"/>
        <v>626.08299999999986</v>
      </c>
      <c r="I46" s="282">
        <f t="shared" si="15"/>
        <v>712.38417674620541</v>
      </c>
      <c r="J46" s="282">
        <f t="shared" si="15"/>
        <v>813.85531770779357</v>
      </c>
      <c r="K46" s="282">
        <f t="shared" si="15"/>
        <v>934.25151158968288</v>
      </c>
      <c r="L46" s="282">
        <f t="shared" si="15"/>
        <v>1076.1889600192053</v>
      </c>
      <c r="M46" s="282">
        <f t="shared" si="15"/>
        <v>1242.5938497322143</v>
      </c>
      <c r="N46"/>
      <c r="O46" s="4" t="s">
        <v>680</v>
      </c>
    </row>
    <row r="47" spans="2:15" ht="15" x14ac:dyDescent="0.2">
      <c r="C47" s="51"/>
      <c r="N47"/>
    </row>
    <row r="48" spans="2:15" ht="16" thickBot="1" x14ac:dyDescent="0.25">
      <c r="B48" s="147" t="s">
        <v>72</v>
      </c>
      <c r="C48" s="158"/>
      <c r="D48" s="147"/>
      <c r="E48" s="147"/>
      <c r="F48" s="147"/>
      <c r="G48" s="147"/>
      <c r="H48" s="147"/>
      <c r="I48" s="147"/>
      <c r="J48" s="147"/>
      <c r="K48" s="147"/>
      <c r="L48" s="147"/>
      <c r="M48" s="147"/>
      <c r="N48"/>
    </row>
    <row r="49" spans="2:15" ht="15" x14ac:dyDescent="0.2">
      <c r="B49" s="208" t="s">
        <v>71</v>
      </c>
      <c r="C49" s="213" t="s">
        <v>14</v>
      </c>
      <c r="D49" s="287">
        <f>D23</f>
        <v>456.87400000000002</v>
      </c>
      <c r="E49" s="287">
        <f t="shared" ref="E49:M49" si="16">E23</f>
        <v>377.35700000000008</v>
      </c>
      <c r="F49" s="287">
        <f t="shared" si="16"/>
        <v>650.95600000000002</v>
      </c>
      <c r="G49" s="287">
        <f t="shared" si="16"/>
        <v>622.89100000000008</v>
      </c>
      <c r="H49" s="287">
        <f t="shared" si="16"/>
        <v>683.17599999999982</v>
      </c>
      <c r="I49" s="287">
        <f t="shared" si="16"/>
        <v>658.92876700867794</v>
      </c>
      <c r="J49" s="287">
        <f t="shared" si="16"/>
        <v>682.24104589691819</v>
      </c>
      <c r="K49" s="287">
        <f t="shared" si="16"/>
        <v>711.05496961871734</v>
      </c>
      <c r="L49" s="287">
        <f t="shared" si="16"/>
        <v>741.92623928494652</v>
      </c>
      <c r="M49" s="287">
        <f t="shared" si="16"/>
        <v>774.97449772978939</v>
      </c>
      <c r="N49"/>
    </row>
    <row r="50" spans="2:15" ht="15" x14ac:dyDescent="0.2">
      <c r="B50" s="5" t="s">
        <v>157</v>
      </c>
      <c r="C50" s="81" t="s">
        <v>14</v>
      </c>
      <c r="D50" s="33">
        <f>D27</f>
        <v>-133.566</v>
      </c>
      <c r="E50" s="33">
        <f t="shared" ref="E50:M50" si="17">E27</f>
        <v>-201.161</v>
      </c>
      <c r="F50" s="33">
        <f t="shared" si="17"/>
        <v>-184.77500000000001</v>
      </c>
      <c r="G50" s="33">
        <f t="shared" si="17"/>
        <v>-106.73699999999999</v>
      </c>
      <c r="H50" s="33">
        <f t="shared" si="17"/>
        <v>-45.668999999999997</v>
      </c>
      <c r="I50" s="33">
        <f t="shared" si="17"/>
        <v>-146.42887200000001</v>
      </c>
      <c r="J50" s="33">
        <f t="shared" si="17"/>
        <v>-142.15816758</v>
      </c>
      <c r="K50" s="33">
        <f t="shared" si="17"/>
        <v>-136.95488071200003</v>
      </c>
      <c r="L50" s="33">
        <f t="shared" si="17"/>
        <v>-130.72677915955401</v>
      </c>
      <c r="M50" s="33">
        <f t="shared" si="17"/>
        <v>-123.37407172355836</v>
      </c>
      <c r="N50"/>
    </row>
    <row r="51" spans="2:15" ht="15" x14ac:dyDescent="0.2">
      <c r="B51" s="5" t="s">
        <v>625</v>
      </c>
      <c r="C51" s="81" t="s">
        <v>14</v>
      </c>
      <c r="D51" s="210">
        <f>-D13</f>
        <v>-24.9</v>
      </c>
      <c r="E51" s="210">
        <f t="shared" ref="E51:M51" si="18">-E13</f>
        <v>-24.7</v>
      </c>
      <c r="F51" s="210">
        <f t="shared" si="18"/>
        <v>-30.2</v>
      </c>
      <c r="G51" s="210">
        <f t="shared" si="18"/>
        <v>-31.9</v>
      </c>
      <c r="H51" s="210">
        <f t="shared" si="18"/>
        <v>-34.299999999999997</v>
      </c>
      <c r="I51" s="210">
        <f t="shared" si="18"/>
        <v>-36.219364571224183</v>
      </c>
      <c r="J51" s="210">
        <f t="shared" si="18"/>
        <v>-38.247474220692119</v>
      </c>
      <c r="K51" s="210">
        <f t="shared" si="18"/>
        <v>-40.390568861575609</v>
      </c>
      <c r="L51" s="210">
        <f t="shared" si="18"/>
        <v>-42.655251085640081</v>
      </c>
      <c r="M51" s="210">
        <f t="shared" si="18"/>
        <v>-45.048507514787019</v>
      </c>
      <c r="N51"/>
    </row>
    <row r="52" spans="2:15" ht="16" customHeight="1" x14ac:dyDescent="0.2">
      <c r="B52" s="209" t="s">
        <v>72</v>
      </c>
      <c r="C52" s="214" t="s">
        <v>14</v>
      </c>
      <c r="D52" s="308">
        <f>D49+D50+D51</f>
        <v>298.40800000000002</v>
      </c>
      <c r="E52" s="308">
        <f t="shared" ref="E52:M52" si="19">E49+E50+E51</f>
        <v>151.49600000000009</v>
      </c>
      <c r="F52" s="308">
        <f t="shared" si="19"/>
        <v>435.98100000000005</v>
      </c>
      <c r="G52" s="308">
        <f t="shared" si="19"/>
        <v>484.25400000000013</v>
      </c>
      <c r="H52" s="308">
        <f t="shared" si="19"/>
        <v>603.20699999999988</v>
      </c>
      <c r="I52" s="308">
        <f t="shared" si="19"/>
        <v>476.28053043745371</v>
      </c>
      <c r="J52" s="308">
        <f t="shared" si="19"/>
        <v>501.835404096226</v>
      </c>
      <c r="K52" s="308">
        <f t="shared" si="19"/>
        <v>533.70952004514163</v>
      </c>
      <c r="L52" s="308">
        <f t="shared" si="19"/>
        <v>568.54420903975245</v>
      </c>
      <c r="M52" s="308">
        <f t="shared" si="19"/>
        <v>606.55191849144398</v>
      </c>
      <c r="N52"/>
    </row>
    <row r="53" spans="2:15" ht="15" x14ac:dyDescent="0.2">
      <c r="B53" s="5" t="s">
        <v>161</v>
      </c>
      <c r="C53" s="81" t="s">
        <v>2</v>
      </c>
      <c r="D53" s="259">
        <f>D52/'Income Statement'!D12</f>
        <v>0.15013483598309518</v>
      </c>
      <c r="E53" s="259">
        <f>E52/'Income Statement'!E12</f>
        <v>7.06769302542571E-2</v>
      </c>
      <c r="F53" s="259">
        <f>F52/'Income Statement'!F12</f>
        <v>0.19857032246310807</v>
      </c>
      <c r="G53" s="259">
        <f>G52/'Income Statement'!G12</f>
        <v>0.22914588558179155</v>
      </c>
      <c r="H53" s="259">
        <f>H52/'Income Statement'!H12</f>
        <v>0.26969820262899041</v>
      </c>
      <c r="I53" s="259">
        <f>I52/'Income Statement'!I12</f>
        <v>0.20166373259449902</v>
      </c>
      <c r="J53" s="259">
        <f>J52/'Income Statement'!J12</f>
        <v>0.20121684543652785</v>
      </c>
      <c r="K53" s="259">
        <f>K52/'Income Statement'!K12</f>
        <v>0.20264261410813414</v>
      </c>
      <c r="L53" s="259">
        <f>L52/'Income Statement'!L12</f>
        <v>0.20440783439064367</v>
      </c>
      <c r="M53" s="259">
        <f>M52/'Income Statement'!M12</f>
        <v>0.20648731310191609</v>
      </c>
      <c r="N53" s="314"/>
      <c r="O53" s="319" t="s">
        <v>692</v>
      </c>
    </row>
    <row r="54" spans="2:15" ht="15" x14ac:dyDescent="0.2">
      <c r="B54" s="5" t="s">
        <v>162</v>
      </c>
      <c r="C54" s="81" t="s">
        <v>36</v>
      </c>
      <c r="D54" s="210">
        <f>D52/'Income Statement'!D42</f>
        <v>1.7098197403252238</v>
      </c>
      <c r="E54" s="210">
        <f>E52/'Income Statement'!E42</f>
        <v>0.87624137472309516</v>
      </c>
      <c r="F54" s="210">
        <f>F52/'Income Statement'!F42</f>
        <v>2.5318439712193452</v>
      </c>
      <c r="G54" s="210">
        <f>G52/'Income Statement'!G42</f>
        <v>2.8088164496389325</v>
      </c>
      <c r="H54" s="210">
        <f>H52/'Income Statement'!H42</f>
        <v>3.5646529054066027</v>
      </c>
      <c r="I54" s="210">
        <f>I52/'Income Statement'!I42</f>
        <v>2.8669320232660405</v>
      </c>
      <c r="J54" s="210">
        <f>J52/'Income Statement'!J42</f>
        <v>3.0781860357045017</v>
      </c>
      <c r="K54" s="210">
        <f>K52/'Income Statement'!K42</f>
        <v>3.3378750489760325</v>
      </c>
      <c r="L54" s="210">
        <f>L52/'Income Statement'!L42</f>
        <v>3.6276037143823987</v>
      </c>
      <c r="M54" s="210">
        <f>M52/'Income Statement'!M42</f>
        <v>3.9507127907056958</v>
      </c>
      <c r="N54"/>
    </row>
    <row r="55" spans="2:15" ht="15" x14ac:dyDescent="0.2">
      <c r="B55"/>
      <c r="C55"/>
      <c r="D55"/>
      <c r="E55"/>
      <c r="F55"/>
      <c r="G55"/>
      <c r="H55"/>
      <c r="I55"/>
      <c r="J55"/>
      <c r="K55"/>
      <c r="L55"/>
      <c r="M55"/>
      <c r="N55"/>
    </row>
    <row r="56" spans="2:15" ht="15" x14ac:dyDescent="0.2">
      <c r="B56"/>
      <c r="C56"/>
      <c r="D56"/>
      <c r="E56"/>
      <c r="F56"/>
      <c r="G56"/>
      <c r="H56"/>
      <c r="I56"/>
      <c r="J56"/>
      <c r="K56"/>
      <c r="L56"/>
      <c r="M56"/>
      <c r="N56"/>
    </row>
    <row r="57" spans="2:15" ht="15" x14ac:dyDescent="0.2">
      <c r="B57"/>
      <c r="C57"/>
      <c r="D57"/>
      <c r="E57"/>
      <c r="F57"/>
      <c r="G57"/>
      <c r="H57"/>
      <c r="I57"/>
      <c r="J57"/>
      <c r="K57"/>
      <c r="L57"/>
      <c r="M57"/>
      <c r="N57"/>
    </row>
    <row r="58" spans="2:15" ht="15" x14ac:dyDescent="0.2">
      <c r="B58"/>
      <c r="C58"/>
      <c r="D58"/>
      <c r="E58"/>
      <c r="F58"/>
      <c r="G58"/>
      <c r="H58"/>
      <c r="I58"/>
      <c r="J58"/>
      <c r="K58"/>
      <c r="L58"/>
      <c r="M58"/>
      <c r="N58"/>
    </row>
    <row r="59" spans="2:15" ht="15" x14ac:dyDescent="0.2">
      <c r="B59"/>
      <c r="C59"/>
      <c r="D59"/>
      <c r="E59"/>
      <c r="F59"/>
      <c r="G59"/>
      <c r="H59"/>
      <c r="I59"/>
      <c r="J59"/>
      <c r="K59"/>
      <c r="L59"/>
      <c r="M59"/>
      <c r="N59"/>
      <c r="O59" s="1"/>
    </row>
    <row r="60" spans="2:15" ht="15" x14ac:dyDescent="0.2">
      <c r="B60"/>
      <c r="C60"/>
      <c r="D60"/>
      <c r="E60"/>
      <c r="F60"/>
      <c r="G60"/>
      <c r="H60"/>
      <c r="I60"/>
      <c r="J60"/>
      <c r="K60"/>
      <c r="L60"/>
      <c r="M60"/>
      <c r="N60"/>
    </row>
    <row r="61" spans="2:15" ht="15" x14ac:dyDescent="0.2">
      <c r="B61"/>
      <c r="C61"/>
      <c r="D61"/>
      <c r="E61"/>
      <c r="F61"/>
      <c r="G61"/>
      <c r="H61"/>
      <c r="I61"/>
      <c r="J61"/>
      <c r="K61"/>
      <c r="L61"/>
      <c r="M61"/>
      <c r="N61"/>
    </row>
    <row r="62" spans="2:15" ht="15" x14ac:dyDescent="0.2">
      <c r="B62"/>
      <c r="C62"/>
      <c r="D62"/>
      <c r="E62"/>
      <c r="F62"/>
      <c r="G62"/>
      <c r="H62"/>
      <c r="I62"/>
      <c r="J62"/>
      <c r="K62"/>
      <c r="L62"/>
      <c r="M62"/>
      <c r="N62"/>
    </row>
    <row r="63" spans="2:15" ht="15" x14ac:dyDescent="0.2">
      <c r="B63"/>
      <c r="C63"/>
      <c r="D63"/>
      <c r="E63"/>
      <c r="F63"/>
      <c r="G63"/>
      <c r="H63"/>
      <c r="I63"/>
      <c r="J63"/>
      <c r="K63"/>
      <c r="L63"/>
      <c r="M63"/>
      <c r="N63"/>
    </row>
    <row r="64" spans="2:15" ht="15" x14ac:dyDescent="0.2">
      <c r="B64"/>
      <c r="C64"/>
      <c r="D64"/>
      <c r="E64"/>
      <c r="F64"/>
      <c r="G64"/>
      <c r="H64"/>
      <c r="I64"/>
      <c r="J64"/>
      <c r="K64"/>
      <c r="L64"/>
      <c r="M64"/>
      <c r="N64"/>
    </row>
    <row r="65" spans="2:14" ht="15" x14ac:dyDescent="0.2">
      <c r="B65"/>
      <c r="C65"/>
      <c r="D65"/>
      <c r="E65"/>
      <c r="F65"/>
      <c r="G65"/>
      <c r="H65"/>
      <c r="I65"/>
      <c r="J65"/>
      <c r="K65"/>
      <c r="L65"/>
      <c r="M65"/>
      <c r="N65"/>
    </row>
    <row r="66" spans="2:14" ht="15" x14ac:dyDescent="0.2">
      <c r="B66"/>
      <c r="C66"/>
      <c r="D66"/>
      <c r="E66"/>
      <c r="F66"/>
      <c r="G66"/>
      <c r="H66"/>
      <c r="I66"/>
      <c r="J66"/>
      <c r="K66"/>
      <c r="L66"/>
      <c r="M66"/>
      <c r="N66"/>
    </row>
    <row r="67" spans="2:14" ht="15" x14ac:dyDescent="0.2">
      <c r="B67"/>
      <c r="C67"/>
      <c r="D67"/>
      <c r="E67"/>
      <c r="F67"/>
      <c r="G67"/>
      <c r="H67"/>
      <c r="I67"/>
      <c r="J67"/>
      <c r="K67"/>
      <c r="L67"/>
      <c r="M67"/>
      <c r="N6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79998168889431442"/>
  </sheetPr>
  <dimension ref="A2:O81"/>
  <sheetViews>
    <sheetView showGridLines="0" zoomScaleNormal="100" workbookViewId="0"/>
  </sheetViews>
  <sheetFormatPr baseColWidth="10" defaultColWidth="8.83203125" defaultRowHeight="14" outlineLevelRow="1" x14ac:dyDescent="0.2"/>
  <cols>
    <col min="1" max="1" width="2.33203125" style="3" customWidth="1"/>
    <col min="2" max="2" width="35" style="3" customWidth="1"/>
    <col min="3" max="13" width="10.83203125" style="3" customWidth="1"/>
    <col min="14" max="14" width="8.83203125" style="3" customWidth="1"/>
    <col min="15" max="15" width="53.33203125" style="3" customWidth="1"/>
    <col min="16" max="17" width="8.83203125" style="3" customWidth="1"/>
    <col min="18" max="16384" width="8.83203125" style="3"/>
  </cols>
  <sheetData>
    <row r="2" spans="2:15" ht="19" customHeight="1" x14ac:dyDescent="0.2">
      <c r="B2" s="20" t="s">
        <v>251</v>
      </c>
    </row>
    <row r="3" spans="2:15" x14ac:dyDescent="0.2">
      <c r="B3" s="2" t="s">
        <v>589</v>
      </c>
    </row>
    <row r="4" spans="2:15" x14ac:dyDescent="0.2">
      <c r="B4" s="2" t="s">
        <v>0</v>
      </c>
    </row>
    <row r="5" spans="2:15" x14ac:dyDescent="0.2">
      <c r="B5" s="2"/>
    </row>
    <row r="6" spans="2:15" ht="16" customHeight="1" thickBot="1" x14ac:dyDescent="0.25">
      <c r="B6" s="216" t="s">
        <v>257</v>
      </c>
      <c r="C6" s="34" t="s">
        <v>12</v>
      </c>
      <c r="D6" s="46"/>
      <c r="E6" s="46"/>
      <c r="F6" s="46"/>
      <c r="G6" s="46"/>
      <c r="H6" s="46"/>
      <c r="I6" s="46"/>
      <c r="J6" s="46"/>
      <c r="K6" s="46"/>
      <c r="L6" s="46"/>
      <c r="M6" s="46"/>
      <c r="O6" s="227" t="s">
        <v>60</v>
      </c>
    </row>
    <row r="7" spans="2:15" x14ac:dyDescent="0.2">
      <c r="B7" s="8" t="s">
        <v>1</v>
      </c>
      <c r="C7" s="21" t="s">
        <v>2</v>
      </c>
      <c r="D7" s="339">
        <f>Assumptions!D94</f>
        <v>4.3099999999999999E-2</v>
      </c>
      <c r="E7" s="340"/>
      <c r="F7" s="340"/>
      <c r="G7" s="340"/>
      <c r="H7" s="340"/>
      <c r="I7" s="340"/>
      <c r="J7" s="340"/>
      <c r="K7" s="340"/>
      <c r="L7" s="340"/>
      <c r="M7" s="340"/>
      <c r="N7" s="341"/>
      <c r="O7" s="627" t="s">
        <v>693</v>
      </c>
    </row>
    <row r="8" spans="2:15" x14ac:dyDescent="0.2">
      <c r="B8" s="7" t="s">
        <v>3</v>
      </c>
      <c r="C8" s="22" t="s">
        <v>2</v>
      </c>
      <c r="D8" s="342">
        <f>Assumptions!D95</f>
        <v>5.5E-2</v>
      </c>
      <c r="E8" s="229"/>
      <c r="F8" s="229"/>
      <c r="G8" s="229"/>
      <c r="H8" s="229"/>
      <c r="I8" s="229"/>
      <c r="J8" s="229"/>
      <c r="K8" s="229"/>
      <c r="L8" s="229"/>
      <c r="M8" s="229"/>
      <c r="N8" s="341"/>
      <c r="O8" s="627"/>
    </row>
    <row r="9" spans="2:15" x14ac:dyDescent="0.2">
      <c r="B9" s="7" t="s">
        <v>97</v>
      </c>
      <c r="C9" s="22" t="s">
        <v>4</v>
      </c>
      <c r="D9" s="217">
        <f>Assumptions!D97</f>
        <v>1.1675</v>
      </c>
      <c r="E9" s="5"/>
      <c r="F9" s="5"/>
      <c r="G9" s="5"/>
      <c r="H9" s="5"/>
      <c r="I9" s="5"/>
      <c r="J9" s="5"/>
      <c r="K9" s="5"/>
      <c r="L9" s="5"/>
      <c r="M9" s="5"/>
      <c r="O9" s="588"/>
    </row>
    <row r="10" spans="2:15" x14ac:dyDescent="0.2">
      <c r="B10" s="7" t="s">
        <v>5</v>
      </c>
      <c r="C10" s="22" t="s">
        <v>2</v>
      </c>
      <c r="D10" s="259">
        <f>Assumptions!D98</f>
        <v>0.10731250000000001</v>
      </c>
      <c r="E10" s="229"/>
      <c r="F10" s="229"/>
      <c r="G10" s="229"/>
      <c r="H10" s="229"/>
      <c r="I10" s="229"/>
      <c r="J10" s="229"/>
      <c r="K10" s="229"/>
      <c r="L10" s="229"/>
      <c r="M10" s="229"/>
      <c r="N10" s="341"/>
      <c r="O10" s="627"/>
    </row>
    <row r="11" spans="2:15" x14ac:dyDescent="0.2">
      <c r="B11" s="7" t="s">
        <v>6</v>
      </c>
      <c r="C11" s="22" t="s">
        <v>2</v>
      </c>
      <c r="D11" s="342">
        <f>Assumptions!D99</f>
        <v>2.7050202429149798E-2</v>
      </c>
      <c r="E11" s="229"/>
      <c r="F11" s="229"/>
      <c r="G11" s="229"/>
      <c r="H11" s="229"/>
      <c r="I11" s="229"/>
      <c r="J11" s="229"/>
      <c r="K11" s="229"/>
      <c r="L11" s="229"/>
      <c r="M11" s="229"/>
      <c r="N11" s="341"/>
      <c r="O11" s="627"/>
    </row>
    <row r="12" spans="2:15" x14ac:dyDescent="0.2">
      <c r="B12" s="7" t="s">
        <v>7</v>
      </c>
      <c r="C12" s="22" t="s">
        <v>2</v>
      </c>
      <c r="D12" s="259">
        <f>Assumptions!M72</f>
        <v>0.19</v>
      </c>
      <c r="E12" s="229"/>
      <c r="F12" s="229"/>
      <c r="G12" s="229"/>
      <c r="H12" s="229"/>
      <c r="I12" s="229"/>
      <c r="J12" s="229"/>
      <c r="K12" s="229"/>
      <c r="L12" s="229"/>
      <c r="M12" s="229"/>
      <c r="N12" s="341"/>
      <c r="O12" s="627"/>
    </row>
    <row r="13" spans="2:15" x14ac:dyDescent="0.2">
      <c r="B13" s="7" t="s">
        <v>8</v>
      </c>
      <c r="C13" s="22" t="s">
        <v>2</v>
      </c>
      <c r="D13" s="270">
        <f>D11*(1-D12)</f>
        <v>2.1910663967611339E-2</v>
      </c>
      <c r="E13" s="229"/>
      <c r="F13" s="229"/>
      <c r="G13" s="229"/>
      <c r="H13" s="229"/>
      <c r="I13" s="229"/>
      <c r="J13" s="229"/>
      <c r="K13" s="229"/>
      <c r="L13" s="229"/>
      <c r="M13" s="229"/>
      <c r="N13" s="341"/>
      <c r="O13" s="627"/>
    </row>
    <row r="14" spans="2:15" x14ac:dyDescent="0.2">
      <c r="B14" s="7" t="s">
        <v>9</v>
      </c>
      <c r="C14" s="22" t="s">
        <v>2</v>
      </c>
      <c r="D14" s="342">
        <f>Assumptions!D102</f>
        <v>1.8041277572429734E-3</v>
      </c>
      <c r="E14" s="229"/>
      <c r="F14" s="229"/>
      <c r="G14" s="229"/>
      <c r="H14" s="229"/>
      <c r="I14" s="229"/>
      <c r="J14" s="229"/>
      <c r="K14" s="229"/>
      <c r="L14" s="229"/>
      <c r="M14" s="229"/>
      <c r="N14" s="341"/>
      <c r="O14" s="627"/>
    </row>
    <row r="15" spans="2:15" x14ac:dyDescent="0.2">
      <c r="B15" s="7" t="s">
        <v>10</v>
      </c>
      <c r="C15" s="22" t="s">
        <v>2</v>
      </c>
      <c r="D15" s="270">
        <f>1-D14</f>
        <v>0.99819587224275708</v>
      </c>
      <c r="E15" s="229"/>
      <c r="F15" s="229"/>
      <c r="G15" s="229"/>
      <c r="H15" s="229"/>
      <c r="I15" s="229"/>
      <c r="J15" s="229"/>
      <c r="K15" s="229"/>
      <c r="L15" s="229"/>
      <c r="M15" s="229"/>
      <c r="N15" s="341"/>
      <c r="O15" s="627"/>
    </row>
    <row r="16" spans="2:15" x14ac:dyDescent="0.2">
      <c r="B16" s="215" t="s">
        <v>11</v>
      </c>
      <c r="C16" s="100" t="s">
        <v>2</v>
      </c>
      <c r="D16" s="343">
        <f>Assumptions!D104</f>
        <v>0.08</v>
      </c>
      <c r="E16" s="229"/>
      <c r="F16" s="229"/>
      <c r="G16" s="229"/>
      <c r="H16" s="229"/>
      <c r="I16" s="229"/>
      <c r="J16" s="229"/>
      <c r="K16" s="229"/>
      <c r="L16" s="229"/>
      <c r="M16" s="229"/>
      <c r="N16" s="341"/>
      <c r="O16" s="627"/>
    </row>
    <row r="17" spans="2:15" x14ac:dyDescent="0.2">
      <c r="C17" s="218"/>
    </row>
    <row r="18" spans="2:15" ht="16" customHeight="1" thickBot="1" x14ac:dyDescent="0.25">
      <c r="B18" s="216" t="s">
        <v>258</v>
      </c>
      <c r="C18" s="34" t="s">
        <v>12</v>
      </c>
      <c r="D18" s="219" t="str">
        <f>IF('Cover Page'!$C$63+0&lt;'Cover Page'!$C$64,"FY"&amp;TEXT(MOD('Cover Page'!$C$63+0,100),"00")&amp;"A","FY"&amp;TEXT(MOD('Cover Page'!$C$63+0,100),"00")&amp;"E")</f>
        <v>FY21A</v>
      </c>
      <c r="E18" s="219" t="str">
        <f>IF('Cover Page'!$C$63+1&lt;'Cover Page'!$C$64,"FY"&amp;TEXT(MOD('Cover Page'!$C$63+1,100),"00")&amp;"A","FY"&amp;TEXT(MOD('Cover Page'!$C$63+1,100),"00")&amp;"E")</f>
        <v>FY22A</v>
      </c>
      <c r="F18" s="219" t="str">
        <f>IF('Cover Page'!$C$63+2&lt;'Cover Page'!$C$64,"FY"&amp;TEXT(MOD('Cover Page'!$C$63+2,100),"00")&amp;"A","FY"&amp;TEXT(MOD('Cover Page'!$C$63+2,100),"00")&amp;"E")</f>
        <v>FY23A</v>
      </c>
      <c r="G18" s="219" t="str">
        <f>IF('Cover Page'!$C$63+3&lt;'Cover Page'!$C$64,"FY"&amp;TEXT(MOD('Cover Page'!$C$63+3,100),"00")&amp;"A","FY"&amp;TEXT(MOD('Cover Page'!$C$63+3,100),"00")&amp;"E")</f>
        <v>FY24A</v>
      </c>
      <c r="H18" s="219" t="str">
        <f>IF('Cover Page'!$C$63+4&lt;'Cover Page'!$C$64,"FY"&amp;TEXT(MOD('Cover Page'!$C$63+4,100),"00")&amp;"A","FY"&amp;TEXT(MOD('Cover Page'!$C$63+4,100),"00")&amp;"E")</f>
        <v>FY25A</v>
      </c>
      <c r="I18" s="220" t="str">
        <f>IF('Cover Page'!$C$63+5&lt;'Cover Page'!$C$64,"FY"&amp;TEXT(MOD('Cover Page'!$C$63+5,100),"00")&amp;"A","FY"&amp;TEXT(MOD('Cover Page'!$C$63+5,100),"00")&amp;"E")</f>
        <v>FY26E</v>
      </c>
      <c r="J18" s="220" t="str">
        <f>IF('Cover Page'!$C$63+6&lt;'Cover Page'!$C$64,"FY"&amp;TEXT(MOD('Cover Page'!$C$63+6,100),"00")&amp;"A","FY"&amp;TEXT(MOD('Cover Page'!$C$63+6,100),"00")&amp;"E")</f>
        <v>FY27E</v>
      </c>
      <c r="K18" s="220" t="str">
        <f>IF('Cover Page'!$C$63+7&lt;'Cover Page'!$C$64,"FY"&amp;TEXT(MOD('Cover Page'!$C$63+7,100),"00")&amp;"A","FY"&amp;TEXT(MOD('Cover Page'!$C$63+7,100),"00")&amp;"E")</f>
        <v>FY28E</v>
      </c>
      <c r="L18" s="220" t="str">
        <f>IF('Cover Page'!$C$63+8&lt;'Cover Page'!$C$64,"FY"&amp;TEXT(MOD('Cover Page'!$C$63+8,100),"00")&amp;"A","FY"&amp;TEXT(MOD('Cover Page'!$C$63+8,100),"00")&amp;"E")</f>
        <v>FY29E</v>
      </c>
      <c r="M18" s="220" t="str">
        <f>IF('Cover Page'!$C$63+9&lt;'Cover Page'!$C$64,"FY"&amp;TEXT(MOD('Cover Page'!$C$63+9,100),"00")&amp;"A","FY"&amp;TEXT(MOD('Cover Page'!$C$63+9,100),"00")&amp;"E")</f>
        <v>FY30E</v>
      </c>
    </row>
    <row r="19" spans="2:15" x14ac:dyDescent="0.2">
      <c r="B19" s="8" t="s">
        <v>13</v>
      </c>
      <c r="C19" s="8" t="s">
        <v>14</v>
      </c>
      <c r="D19" s="221"/>
      <c r="E19" s="221"/>
      <c r="F19" s="221"/>
      <c r="G19" s="221"/>
      <c r="H19" s="221"/>
      <c r="I19" s="9">
        <f>'Cash Flow'!I52+'Cash Flow'!I26</f>
        <v>476.28053043745371</v>
      </c>
      <c r="J19" s="9">
        <f>'Cash Flow'!J52+'Cash Flow'!J26</f>
        <v>501.835404096226</v>
      </c>
      <c r="K19" s="9">
        <f>'Cash Flow'!K52+'Cash Flow'!K26</f>
        <v>533.70952004514163</v>
      </c>
      <c r="L19" s="9">
        <f>'Cash Flow'!L52+'Cash Flow'!L26</f>
        <v>568.54420903975245</v>
      </c>
      <c r="M19" s="9">
        <f>'Cash Flow'!M52+'Cash Flow'!M26</f>
        <v>606.55191849144398</v>
      </c>
      <c r="O19" s="588" t="s">
        <v>694</v>
      </c>
    </row>
    <row r="20" spans="2:15" x14ac:dyDescent="0.2">
      <c r="B20" s="7" t="s">
        <v>15</v>
      </c>
      <c r="C20" s="7" t="s">
        <v>16</v>
      </c>
      <c r="D20" s="222"/>
      <c r="E20" s="222"/>
      <c r="F20" s="222"/>
      <c r="G20" s="222"/>
      <c r="H20" s="222"/>
      <c r="I20" s="10">
        <v>1</v>
      </c>
      <c r="J20" s="10">
        <v>2</v>
      </c>
      <c r="K20" s="10">
        <v>3</v>
      </c>
      <c r="L20" s="10">
        <v>4</v>
      </c>
      <c r="M20" s="10">
        <v>5</v>
      </c>
      <c r="O20" s="588"/>
    </row>
    <row r="21" spans="2:15" x14ac:dyDescent="0.2">
      <c r="B21" s="7" t="s">
        <v>17</v>
      </c>
      <c r="C21" s="7" t="s">
        <v>4</v>
      </c>
      <c r="D21" s="222"/>
      <c r="E21" s="222"/>
      <c r="F21" s="222"/>
      <c r="G21" s="222"/>
      <c r="H21" s="222"/>
      <c r="I21" s="733">
        <f>1/(1+$D$16)^I20</f>
        <v>0.92592592592592582</v>
      </c>
      <c r="J21" s="733">
        <f>1/(1+$D$16)^J20</f>
        <v>0.85733882030178321</v>
      </c>
      <c r="K21" s="733">
        <f>1/(1+$D$16)^K20</f>
        <v>0.79383224102016958</v>
      </c>
      <c r="L21" s="733">
        <f>1/(1+$D$16)^L20</f>
        <v>0.73502985279645328</v>
      </c>
      <c r="M21" s="733">
        <f>1/(1+$D$16)^M20</f>
        <v>0.68058319703375303</v>
      </c>
      <c r="O21" s="588"/>
    </row>
    <row r="22" spans="2:15" x14ac:dyDescent="0.2">
      <c r="B22" s="7" t="s">
        <v>18</v>
      </c>
      <c r="C22" s="7" t="s">
        <v>14</v>
      </c>
      <c r="D22" s="222"/>
      <c r="E22" s="222"/>
      <c r="F22" s="222"/>
      <c r="G22" s="222"/>
      <c r="H22" s="222"/>
      <c r="I22" s="33">
        <f>I19*I21</f>
        <v>441.00049114579042</v>
      </c>
      <c r="J22" s="33">
        <f>J19*J21</f>
        <v>430.24297333352706</v>
      </c>
      <c r="K22" s="33">
        <f>K19*K21</f>
        <v>423.67582435123393</v>
      </c>
      <c r="L22" s="33">
        <f>L19*L21</f>
        <v>417.89696627876521</v>
      </c>
      <c r="M22" s="33">
        <f>M19*M21</f>
        <v>412.80904385386333</v>
      </c>
      <c r="O22" s="588"/>
    </row>
    <row r="24" spans="2:15" ht="16" customHeight="1" thickBot="1" x14ac:dyDescent="0.25">
      <c r="B24" s="216" t="s">
        <v>21</v>
      </c>
      <c r="C24" s="34" t="s">
        <v>12</v>
      </c>
      <c r="D24" s="50" t="s">
        <v>225</v>
      </c>
      <c r="O24" s="628" t="s">
        <v>748</v>
      </c>
    </row>
    <row r="25" spans="2:15" x14ac:dyDescent="0.2">
      <c r="B25" s="41" t="s">
        <v>259</v>
      </c>
      <c r="C25" s="28"/>
      <c r="D25" s="28"/>
      <c r="O25" s="628"/>
    </row>
    <row r="26" spans="2:15" x14ac:dyDescent="0.2">
      <c r="B26" s="7" t="s">
        <v>19</v>
      </c>
      <c r="C26" s="7" t="s">
        <v>2</v>
      </c>
      <c r="D26" s="342">
        <f>Assumptions!D105</f>
        <v>2.5000000000000001E-2</v>
      </c>
      <c r="E26" s="341"/>
      <c r="F26" s="341"/>
      <c r="G26" s="341"/>
      <c r="H26" s="341"/>
      <c r="I26" s="341"/>
      <c r="J26" s="341"/>
      <c r="K26" s="341"/>
      <c r="L26" s="341"/>
      <c r="M26" s="341"/>
      <c r="N26" s="341"/>
      <c r="O26" s="629"/>
    </row>
    <row r="27" spans="2:15" x14ac:dyDescent="0.2">
      <c r="B27" s="7" t="s">
        <v>20</v>
      </c>
      <c r="C27" s="6" t="s">
        <v>14</v>
      </c>
      <c r="D27" s="37">
        <f>M19</f>
        <v>606.55191849144398</v>
      </c>
      <c r="O27" s="628"/>
    </row>
    <row r="28" spans="2:15" x14ac:dyDescent="0.2">
      <c r="B28" s="7" t="s">
        <v>21</v>
      </c>
      <c r="C28" s="7" t="s">
        <v>14</v>
      </c>
      <c r="D28" s="37">
        <f>D27*(1+D26)/(D16-D26)</f>
        <v>11303.922117340546</v>
      </c>
      <c r="O28" s="628"/>
    </row>
    <row r="29" spans="2:15" x14ac:dyDescent="0.2">
      <c r="B29" s="7" t="s">
        <v>22</v>
      </c>
      <c r="C29" s="7" t="s">
        <v>14</v>
      </c>
      <c r="D29" s="37">
        <f>D28*M21</f>
        <v>7693.2594536401793</v>
      </c>
    </row>
    <row r="30" spans="2:15" x14ac:dyDescent="0.2">
      <c r="D30" s="32"/>
    </row>
    <row r="31" spans="2:15" ht="15" customHeight="1" x14ac:dyDescent="0.2">
      <c r="B31" s="29" t="s">
        <v>260</v>
      </c>
      <c r="D31" s="32"/>
      <c r="O31" s="588" t="s">
        <v>695</v>
      </c>
    </row>
    <row r="32" spans="2:15" x14ac:dyDescent="0.2">
      <c r="B32" s="7" t="s">
        <v>23</v>
      </c>
      <c r="C32" s="7" t="s">
        <v>14</v>
      </c>
      <c r="D32" s="38">
        <f>'Income Statement'!M51</f>
        <v>903.18084735216814</v>
      </c>
      <c r="O32" s="588"/>
    </row>
    <row r="33" spans="2:15" x14ac:dyDescent="0.2">
      <c r="B33" s="7" t="s">
        <v>24</v>
      </c>
      <c r="C33" s="7" t="s">
        <v>4</v>
      </c>
      <c r="D33" s="11">
        <f>Assumptions!D106</f>
        <v>15</v>
      </c>
      <c r="O33" s="588"/>
    </row>
    <row r="34" spans="2:15" x14ac:dyDescent="0.2">
      <c r="B34" s="7" t="s">
        <v>21</v>
      </c>
      <c r="C34" s="6" t="s">
        <v>14</v>
      </c>
      <c r="D34" s="37">
        <f>D32*D33</f>
        <v>13547.712710282522</v>
      </c>
      <c r="O34" s="588"/>
    </row>
    <row r="35" spans="2:15" x14ac:dyDescent="0.2">
      <c r="B35" s="7" t="s">
        <v>22</v>
      </c>
      <c r="C35" s="7" t="s">
        <v>14</v>
      </c>
      <c r="D35" s="37">
        <f>D34*M21</f>
        <v>9220.3456288588895</v>
      </c>
      <c r="O35" s="588"/>
    </row>
    <row r="36" spans="2:15" x14ac:dyDescent="0.2">
      <c r="D36" s="32"/>
    </row>
    <row r="37" spans="2:15" ht="15" thickBot="1" x14ac:dyDescent="0.25">
      <c r="B37" s="216" t="s">
        <v>261</v>
      </c>
      <c r="C37" s="34" t="s">
        <v>12</v>
      </c>
      <c r="D37" s="50" t="s">
        <v>225</v>
      </c>
    </row>
    <row r="38" spans="2:15" x14ac:dyDescent="0.2">
      <c r="B38" s="8" t="s">
        <v>25</v>
      </c>
      <c r="C38" s="8" t="s">
        <v>14</v>
      </c>
      <c r="D38" s="40">
        <f>SUM(I22:M22)</f>
        <v>2125.6252989631798</v>
      </c>
      <c r="O38" s="588" t="s">
        <v>696</v>
      </c>
    </row>
    <row r="39" spans="2:15" x14ac:dyDescent="0.2">
      <c r="B39" s="7" t="s">
        <v>26</v>
      </c>
      <c r="C39" s="7" t="s">
        <v>14</v>
      </c>
      <c r="D39" s="37">
        <f>D29</f>
        <v>7693.2594536401793</v>
      </c>
      <c r="O39" s="588"/>
    </row>
    <row r="40" spans="2:15" x14ac:dyDescent="0.2">
      <c r="B40" s="7" t="s">
        <v>27</v>
      </c>
      <c r="C40" s="7" t="s">
        <v>14</v>
      </c>
      <c r="D40" s="37">
        <f>D38+D39</f>
        <v>9818.8847526033587</v>
      </c>
      <c r="O40" s="588"/>
    </row>
    <row r="41" spans="2:15" x14ac:dyDescent="0.2">
      <c r="B41" s="7" t="s">
        <v>28</v>
      </c>
      <c r="C41" s="7" t="s">
        <v>14</v>
      </c>
      <c r="D41" s="37">
        <f>D35</f>
        <v>9220.3456288588895</v>
      </c>
      <c r="O41" s="588"/>
    </row>
    <row r="42" spans="2:15" x14ac:dyDescent="0.2">
      <c r="B42" s="7" t="s">
        <v>29</v>
      </c>
      <c r="C42" s="7" t="s">
        <v>14</v>
      </c>
      <c r="D42" s="37">
        <f>D38+D41</f>
        <v>11345.970927822069</v>
      </c>
      <c r="O42" s="588"/>
    </row>
    <row r="43" spans="2:15" x14ac:dyDescent="0.2">
      <c r="D43" s="32"/>
      <c r="O43" s="588"/>
    </row>
    <row r="44" spans="2:15" x14ac:dyDescent="0.2">
      <c r="B44" s="7" t="s">
        <v>30</v>
      </c>
      <c r="C44" s="7" t="s">
        <v>14</v>
      </c>
      <c r="D44" s="38">
        <f>'Balance Sheet'!H37-'Balance Sheet'!H10</f>
        <v>-624.08299999999997</v>
      </c>
      <c r="O44" s="588"/>
    </row>
    <row r="45" spans="2:15" x14ac:dyDescent="0.2">
      <c r="B45" s="7" t="s">
        <v>31</v>
      </c>
      <c r="C45" s="7" t="s">
        <v>14</v>
      </c>
      <c r="D45" s="37">
        <f>D40-D44</f>
        <v>10442.967752603359</v>
      </c>
      <c r="O45" s="588"/>
    </row>
    <row r="46" spans="2:15" x14ac:dyDescent="0.2">
      <c r="B46" s="7" t="s">
        <v>32</v>
      </c>
      <c r="C46" s="7" t="s">
        <v>14</v>
      </c>
      <c r="D46" s="37">
        <f>D42-D44</f>
        <v>11970.053927822069</v>
      </c>
      <c r="O46" s="588"/>
    </row>
    <row r="47" spans="2:15" x14ac:dyDescent="0.2">
      <c r="B47" s="7" t="s">
        <v>33</v>
      </c>
      <c r="C47" s="7" t="s">
        <v>34</v>
      </c>
      <c r="D47" s="38">
        <f>Assumptions!H89</f>
        <v>169.21899999999999</v>
      </c>
      <c r="O47" s="588"/>
    </row>
    <row r="48" spans="2:15" x14ac:dyDescent="0.2">
      <c r="C48" s="218"/>
      <c r="D48" s="32"/>
      <c r="O48" s="588"/>
    </row>
    <row r="49" spans="2:15" ht="13" customHeight="1" x14ac:dyDescent="0.2">
      <c r="B49" s="7" t="s">
        <v>35</v>
      </c>
      <c r="C49" s="7" t="s">
        <v>36</v>
      </c>
      <c r="D49" s="37">
        <f>D45/D47</f>
        <v>61.712737651229233</v>
      </c>
      <c r="O49" s="588"/>
    </row>
    <row r="50" spans="2:15" ht="16" customHeight="1" x14ac:dyDescent="0.2">
      <c r="B50" s="7" t="s">
        <v>37</v>
      </c>
      <c r="C50" s="7" t="s">
        <v>36</v>
      </c>
      <c r="D50" s="37">
        <f>D46/D47</f>
        <v>70.737056286954001</v>
      </c>
      <c r="O50" s="588"/>
    </row>
    <row r="51" spans="2:15" x14ac:dyDescent="0.2">
      <c r="B51" s="7" t="s">
        <v>38</v>
      </c>
      <c r="C51" s="7" t="s">
        <v>36</v>
      </c>
      <c r="D51" s="39">
        <v>80.760000000000005</v>
      </c>
      <c r="O51" s="588"/>
    </row>
    <row r="52" spans="2:15" x14ac:dyDescent="0.2">
      <c r="B52" s="7" t="s">
        <v>39</v>
      </c>
      <c r="C52" s="7" t="s">
        <v>2</v>
      </c>
      <c r="D52" s="270">
        <f>D49/D51-1</f>
        <v>-0.23585020243648802</v>
      </c>
      <c r="E52" s="341"/>
      <c r="F52" s="341"/>
      <c r="G52" s="341"/>
      <c r="H52" s="341"/>
      <c r="I52" s="341"/>
      <c r="J52" s="341"/>
      <c r="K52" s="341"/>
      <c r="L52" s="341"/>
      <c r="M52" s="341"/>
      <c r="N52" s="341"/>
      <c r="O52" s="627"/>
    </row>
    <row r="53" spans="2:15" x14ac:dyDescent="0.2">
      <c r="B53" s="7" t="s">
        <v>40</v>
      </c>
      <c r="C53" s="7" t="s">
        <v>2</v>
      </c>
      <c r="D53" s="270">
        <f>D50/D51-1</f>
        <v>-0.1241077725736256</v>
      </c>
      <c r="E53" s="341"/>
      <c r="F53" s="341"/>
      <c r="G53" s="341"/>
      <c r="H53" s="341"/>
      <c r="I53" s="341"/>
      <c r="J53" s="341"/>
      <c r="K53" s="341"/>
      <c r="L53" s="341"/>
      <c r="M53" s="341"/>
      <c r="N53" s="341"/>
      <c r="O53" s="627"/>
    </row>
    <row r="54" spans="2:15" x14ac:dyDescent="0.2">
      <c r="D54" s="32"/>
      <c r="O54" s="588"/>
    </row>
    <row r="55" spans="2:15" x14ac:dyDescent="0.2">
      <c r="B55" s="7" t="s">
        <v>41</v>
      </c>
      <c r="C55" s="7" t="s">
        <v>2</v>
      </c>
      <c r="D55" s="270">
        <f>D39/D40</f>
        <v>0.78351662612196404</v>
      </c>
      <c r="E55" s="341"/>
      <c r="F55" s="341"/>
      <c r="G55" s="341"/>
      <c r="H55" s="341"/>
      <c r="I55" s="341"/>
      <c r="J55" s="341"/>
      <c r="K55" s="341"/>
      <c r="L55" s="341"/>
      <c r="M55" s="341"/>
      <c r="N55" s="341"/>
      <c r="O55" s="627"/>
    </row>
    <row r="56" spans="2:15" x14ac:dyDescent="0.2">
      <c r="B56" s="7" t="s">
        <v>42</v>
      </c>
      <c r="C56" s="7" t="s">
        <v>2</v>
      </c>
      <c r="D56" s="270">
        <f>D41/D42</f>
        <v>0.81265373298720356</v>
      </c>
      <c r="E56" s="341"/>
      <c r="F56" s="341"/>
      <c r="G56" s="341"/>
      <c r="H56" s="341"/>
      <c r="I56" s="341"/>
      <c r="J56" s="341"/>
      <c r="K56" s="341"/>
      <c r="L56" s="341"/>
      <c r="M56" s="341"/>
      <c r="N56" s="341"/>
      <c r="O56" s="627"/>
    </row>
    <row r="60" spans="2:15" ht="15" thickBot="1" x14ac:dyDescent="0.25">
      <c r="B60" s="223" t="s">
        <v>262</v>
      </c>
      <c r="C60" s="224"/>
      <c r="D60" s="224"/>
      <c r="E60" s="224"/>
      <c r="F60" s="224"/>
      <c r="G60" s="224"/>
      <c r="H60" s="224"/>
      <c r="I60" s="224"/>
      <c r="O60" s="588" t="s">
        <v>697</v>
      </c>
    </row>
    <row r="61" spans="2:15" x14ac:dyDescent="0.2">
      <c r="B61" s="4" t="s">
        <v>163</v>
      </c>
      <c r="O61" s="588"/>
    </row>
    <row r="62" spans="2:15" x14ac:dyDescent="0.2">
      <c r="B62" s="225" t="s">
        <v>164</v>
      </c>
      <c r="C62" s="288">
        <v>1.4999999999999999E-2</v>
      </c>
      <c r="D62" s="288">
        <v>0.02</v>
      </c>
      <c r="E62" s="288">
        <v>2.5000000000000001E-2</v>
      </c>
      <c r="F62" s="288">
        <v>0.03</v>
      </c>
      <c r="G62" s="288">
        <v>3.5000000000000003E-2</v>
      </c>
      <c r="H62" s="288">
        <v>0.04</v>
      </c>
      <c r="I62" s="288">
        <v>4.4999999999999998E-2</v>
      </c>
      <c r="O62" s="588"/>
    </row>
    <row r="63" spans="2:15" x14ac:dyDescent="0.2">
      <c r="B63" s="289">
        <v>7.0000000000000007E-2</v>
      </c>
      <c r="C63" s="290">
        <f>($I$19/(1+$B63)^1+$J$19/(1+$B63)^2+$K$19/(1+$B63)^3+$L$19/(1+$B63)^4+$M$19/(1+$B63)^5+$M$19*(1+C$62)/($B63-C$62)/(1+$B63)^5-$D$44)/$D$47</f>
        <v>63.765338342362618</v>
      </c>
      <c r="D63" s="290">
        <f t="shared" ref="D63:I69" si="0">($I$19/(1+$B63)^1+$J$19/(1+$B63)^2+$K$19/(1+$B63)^3+$L$19/(1+$B63)^4+$M$19/(1+$B63)^5+$M$19*(1+D$62)/($B63-D$62)/(1+$B63)^5-$D$44)/$D$47</f>
        <v>68.737223129374627</v>
      </c>
      <c r="E63" s="290">
        <f t="shared" si="0"/>
        <v>74.813971202389325</v>
      </c>
      <c r="F63" s="290">
        <f t="shared" si="0"/>
        <v>82.409906293657713</v>
      </c>
      <c r="G63" s="290">
        <f t="shared" si="0"/>
        <v>92.176108553859905</v>
      </c>
      <c r="H63" s="290">
        <f t="shared" si="0"/>
        <v>105.1977115674628</v>
      </c>
      <c r="I63" s="290">
        <f t="shared" si="0"/>
        <v>123.4279557865069</v>
      </c>
      <c r="O63" s="588"/>
    </row>
    <row r="64" spans="2:15" x14ac:dyDescent="0.2">
      <c r="B64" s="289">
        <v>0.08</v>
      </c>
      <c r="C64" s="290">
        <f t="shared" ref="C64:C69" si="1">($I$19/(1+$B64)^1+$J$19/(1+$B64)^2+$K$19/(1+$B64)^3+$L$19/(1+$B64)^4+$M$19/(1+$B64)^5+$M$19*(1+C$62)/($B64-C$62)/(1+$B64)^5-$D$44)/$D$47</f>
        <v>54.343071944937797</v>
      </c>
      <c r="D64" s="290">
        <f t="shared" si="0"/>
        <v>57.720835393654724</v>
      </c>
      <c r="E64" s="290">
        <f t="shared" si="0"/>
        <v>61.712737651229233</v>
      </c>
      <c r="F64" s="290">
        <f t="shared" si="0"/>
        <v>66.503020360318672</v>
      </c>
      <c r="G64" s="290">
        <f t="shared" si="0"/>
        <v>72.357810338094637</v>
      </c>
      <c r="H64" s="290">
        <f t="shared" si="0"/>
        <v>79.676297810314608</v>
      </c>
      <c r="I64" s="290">
        <f t="shared" si="0"/>
        <v>89.085781703168834</v>
      </c>
      <c r="O64" s="588"/>
    </row>
    <row r="65" spans="1:15" x14ac:dyDescent="0.2">
      <c r="B65" s="289">
        <v>0.09</v>
      </c>
      <c r="C65" s="290">
        <f t="shared" si="1"/>
        <v>47.439141618241862</v>
      </c>
      <c r="D65" s="290">
        <f t="shared" si="0"/>
        <v>49.85751617811372</v>
      </c>
      <c r="E65" s="290">
        <f t="shared" si="0"/>
        <v>52.647948362581232</v>
      </c>
      <c r="F65" s="290">
        <f t="shared" si="0"/>
        <v>55.903452577793331</v>
      </c>
      <c r="G65" s="290">
        <f t="shared" si="0"/>
        <v>59.750866650316709</v>
      </c>
      <c r="H65" s="290">
        <f t="shared" si="0"/>
        <v>64.367763537344786</v>
      </c>
      <c r="I65" s="290">
        <f t="shared" si="0"/>
        <v>70.010637510379084</v>
      </c>
      <c r="O65" s="588"/>
    </row>
    <row r="66" spans="1:15" x14ac:dyDescent="0.2">
      <c r="B66" s="289">
        <v>0.1</v>
      </c>
      <c r="C66" s="290">
        <f t="shared" si="1"/>
        <v>42.164482648087507</v>
      </c>
      <c r="D66" s="290">
        <f t="shared" si="0"/>
        <v>43.96463477303643</v>
      </c>
      <c r="E66" s="290">
        <f t="shared" si="0"/>
        <v>46.004807181311861</v>
      </c>
      <c r="F66" s="290">
        <f t="shared" si="0"/>
        <v>48.336432790769507</v>
      </c>
      <c r="G66" s="290">
        <f t="shared" si="0"/>
        <v>51.026770032451417</v>
      </c>
      <c r="H66" s="290">
        <f t="shared" si="0"/>
        <v>54.165496814413636</v>
      </c>
      <c r="I66" s="290">
        <f t="shared" si="0"/>
        <v>57.874901193096242</v>
      </c>
      <c r="O66" s="588"/>
    </row>
    <row r="67" spans="1:15" x14ac:dyDescent="0.2">
      <c r="B67" s="289">
        <v>0.11</v>
      </c>
      <c r="C67" s="290">
        <f t="shared" si="1"/>
        <v>38.004385648494541</v>
      </c>
      <c r="D67" s="290">
        <f t="shared" si="0"/>
        <v>39.38518581556891</v>
      </c>
      <c r="E67" s="290">
        <f t="shared" si="0"/>
        <v>40.928433061122604</v>
      </c>
      <c r="F67" s="290">
        <f t="shared" si="0"/>
        <v>42.664586212370523</v>
      </c>
      <c r="G67" s="290">
        <f t="shared" si="0"/>
        <v>44.632226450451483</v>
      </c>
      <c r="H67" s="290">
        <f t="shared" si="0"/>
        <v>46.880958151115451</v>
      </c>
      <c r="I67" s="290">
        <f t="shared" si="0"/>
        <v>49.475648574958477</v>
      </c>
      <c r="O67" s="588"/>
    </row>
    <row r="68" spans="1:15" x14ac:dyDescent="0.2">
      <c r="B68" s="289">
        <v>0.12</v>
      </c>
      <c r="C68" s="290">
        <f t="shared" si="1"/>
        <v>34.640231382413319</v>
      </c>
      <c r="D68" s="290">
        <f t="shared" si="0"/>
        <v>35.724975918002301</v>
      </c>
      <c r="E68" s="290">
        <f t="shared" si="0"/>
        <v>36.92390408891643</v>
      </c>
      <c r="F68" s="290">
        <f t="shared" si="0"/>
        <v>38.256046501043251</v>
      </c>
      <c r="G68" s="290">
        <f t="shared" si="0"/>
        <v>39.744911549890872</v>
      </c>
      <c r="H68" s="290">
        <f t="shared" si="0"/>
        <v>41.419884729844448</v>
      </c>
      <c r="I68" s="290">
        <f t="shared" si="0"/>
        <v>43.318187667125159</v>
      </c>
    </row>
    <row r="69" spans="1:15" hidden="1" outlineLevel="1" x14ac:dyDescent="0.2">
      <c r="B69" s="291">
        <v>0.12</v>
      </c>
      <c r="C69" s="292">
        <f t="shared" si="1"/>
        <v>34.640231382413319</v>
      </c>
      <c r="D69" s="292">
        <f t="shared" si="0"/>
        <v>35.724975918002301</v>
      </c>
      <c r="E69" s="292">
        <f t="shared" si="0"/>
        <v>36.92390408891643</v>
      </c>
      <c r="F69" s="292">
        <f t="shared" si="0"/>
        <v>38.256046501043251</v>
      </c>
      <c r="G69" s="292">
        <f t="shared" si="0"/>
        <v>39.744911549890872</v>
      </c>
      <c r="H69" s="292">
        <f t="shared" si="0"/>
        <v>41.419884729844448</v>
      </c>
      <c r="I69" s="292">
        <f t="shared" si="0"/>
        <v>43.318187667125159</v>
      </c>
    </row>
    <row r="70" spans="1:15" collapsed="1" x14ac:dyDescent="0.2"/>
    <row r="71" spans="1:15" ht="15" thickBot="1" x14ac:dyDescent="0.25">
      <c r="B71" s="223" t="s">
        <v>263</v>
      </c>
      <c r="C71" s="224"/>
      <c r="D71" s="224"/>
      <c r="E71" s="224"/>
      <c r="F71" s="224"/>
      <c r="G71" s="224"/>
      <c r="H71" s="224"/>
      <c r="I71" s="224"/>
      <c r="O71" s="588" t="s">
        <v>698</v>
      </c>
    </row>
    <row r="72" spans="1:15" x14ac:dyDescent="0.2">
      <c r="B72" s="4" t="s">
        <v>163</v>
      </c>
      <c r="O72" s="588"/>
    </row>
    <row r="73" spans="1:15" x14ac:dyDescent="0.2">
      <c r="B73" s="225" t="s">
        <v>165</v>
      </c>
      <c r="C73" s="293">
        <v>12</v>
      </c>
      <c r="D73" s="293">
        <v>13</v>
      </c>
      <c r="E73" s="293">
        <v>14</v>
      </c>
      <c r="F73" s="293">
        <v>15</v>
      </c>
      <c r="G73" s="293">
        <v>16</v>
      </c>
      <c r="H73" s="293">
        <v>17</v>
      </c>
      <c r="I73" s="293">
        <v>18</v>
      </c>
      <c r="O73" s="588"/>
    </row>
    <row r="74" spans="1:15" x14ac:dyDescent="0.2">
      <c r="B74" s="289">
        <v>7.0000000000000007E-2</v>
      </c>
      <c r="C74" s="290">
        <f>($I$19/(1+$B74)^1+$J$19/(1+$B74)^2+$K$19/(1+$B74)^3+$L$19/(1+$B74)^4+$M$19/(1+$B74)^5+$D$32*C$73/(1+$B74)^5-$D$44)/$D$47</f>
        <v>62.267604388889083</v>
      </c>
      <c r="D74" s="290">
        <f t="shared" ref="D74:I80" si="2">($I$19/(1+$B74)^1+$J$19/(1+$B74)^2+$K$19/(1+$B74)^3+$L$19/(1+$B74)^4+$M$19/(1+$B74)^5+$D$32*D$73/(1+$B74)^5-$D$44)/$D$47</f>
        <v>66.073060405863785</v>
      </c>
      <c r="E74" s="290">
        <f t="shared" si="2"/>
        <v>69.878516422838516</v>
      </c>
      <c r="F74" s="290">
        <f t="shared" si="2"/>
        <v>73.683972439813232</v>
      </c>
      <c r="G74" s="290">
        <f t="shared" si="2"/>
        <v>77.489428456787948</v>
      </c>
      <c r="H74" s="290">
        <f t="shared" si="2"/>
        <v>81.294884473762664</v>
      </c>
      <c r="I74" s="290">
        <f t="shared" si="2"/>
        <v>85.100340490737381</v>
      </c>
      <c r="O74" s="588"/>
    </row>
    <row r="75" spans="1:15" x14ac:dyDescent="0.2">
      <c r="B75" s="289">
        <v>0.08</v>
      </c>
      <c r="C75" s="290">
        <f t="shared" ref="C75:C80" si="3">($I$19/(1+$B75)^1+$J$19/(1+$B75)^2+$K$19/(1+$B75)^3+$L$19/(1+$B75)^4+$M$19/(1+$B75)^5+$D$32*C$73/(1+$B75)^5-$D$44)/$D$47</f>
        <v>59.83952630644486</v>
      </c>
      <c r="D75" s="290">
        <f t="shared" si="2"/>
        <v>63.472036299947909</v>
      </c>
      <c r="E75" s="290">
        <f t="shared" si="2"/>
        <v>67.104546293450966</v>
      </c>
      <c r="F75" s="290">
        <f t="shared" si="2"/>
        <v>70.737056286954001</v>
      </c>
      <c r="G75" s="290">
        <f t="shared" si="2"/>
        <v>74.369566280457065</v>
      </c>
      <c r="H75" s="290">
        <f t="shared" si="2"/>
        <v>78.002076273960114</v>
      </c>
      <c r="I75" s="290">
        <f t="shared" si="2"/>
        <v>81.634586267463149</v>
      </c>
      <c r="O75" s="588"/>
    </row>
    <row r="76" spans="1:15" x14ac:dyDescent="0.2">
      <c r="B76" s="289">
        <v>0.09</v>
      </c>
      <c r="C76" s="290">
        <f t="shared" si="3"/>
        <v>57.538451663580894</v>
      </c>
      <c r="D76" s="290">
        <f t="shared" si="2"/>
        <v>61.007362248076198</v>
      </c>
      <c r="E76" s="290">
        <f t="shared" si="2"/>
        <v>64.476272832571496</v>
      </c>
      <c r="F76" s="290">
        <f t="shared" si="2"/>
        <v>67.945183417066787</v>
      </c>
      <c r="G76" s="290">
        <f t="shared" si="2"/>
        <v>71.414094001562077</v>
      </c>
      <c r="H76" s="290">
        <f t="shared" si="2"/>
        <v>74.883004586057368</v>
      </c>
      <c r="I76" s="290">
        <f t="shared" si="2"/>
        <v>78.351915170552658</v>
      </c>
      <c r="O76" s="588"/>
    </row>
    <row r="77" spans="1:15" x14ac:dyDescent="0.2">
      <c r="B77" s="289">
        <v>0.1</v>
      </c>
      <c r="C77" s="290">
        <f t="shared" si="3"/>
        <v>55.356576332728423</v>
      </c>
      <c r="D77" s="290">
        <f t="shared" si="2"/>
        <v>58.670650087446255</v>
      </c>
      <c r="E77" s="290">
        <f t="shared" si="2"/>
        <v>61.98472384216408</v>
      </c>
      <c r="F77" s="290">
        <f t="shared" si="2"/>
        <v>65.298797596881911</v>
      </c>
      <c r="G77" s="290">
        <f t="shared" si="2"/>
        <v>68.61287135159975</v>
      </c>
      <c r="H77" s="290">
        <f t="shared" si="2"/>
        <v>71.926945106317575</v>
      </c>
      <c r="I77" s="290">
        <f t="shared" si="2"/>
        <v>75.241018861035414</v>
      </c>
      <c r="O77" s="588"/>
    </row>
    <row r="78" spans="1:15" x14ac:dyDescent="0.2">
      <c r="B78" s="289">
        <v>0.11</v>
      </c>
      <c r="C78" s="290">
        <f t="shared" si="3"/>
        <v>53.28664295485364</v>
      </c>
      <c r="D78" s="290">
        <f t="shared" si="2"/>
        <v>56.454099761348175</v>
      </c>
      <c r="E78" s="290">
        <f t="shared" si="2"/>
        <v>59.621556567842717</v>
      </c>
      <c r="F78" s="290">
        <f t="shared" si="2"/>
        <v>62.789013374337244</v>
      </c>
      <c r="G78" s="290">
        <f t="shared" si="2"/>
        <v>65.956470180831772</v>
      </c>
      <c r="H78" s="290">
        <f t="shared" si="2"/>
        <v>69.123926987326314</v>
      </c>
      <c r="I78" s="290">
        <f t="shared" si="2"/>
        <v>72.291383793820842</v>
      </c>
      <c r="O78" s="588"/>
    </row>
    <row r="79" spans="1:15" x14ac:dyDescent="0.2">
      <c r="B79" s="289">
        <v>0.12</v>
      </c>
      <c r="C79" s="290">
        <f t="shared" si="3"/>
        <v>51.321898079903931</v>
      </c>
      <c r="D79" s="290">
        <f t="shared" si="2"/>
        <v>54.350453196990678</v>
      </c>
      <c r="E79" s="290">
        <f t="shared" si="2"/>
        <v>57.379008314077424</v>
      </c>
      <c r="F79" s="290">
        <f t="shared" si="2"/>
        <v>60.407563431164156</v>
      </c>
      <c r="G79" s="290">
        <f t="shared" si="2"/>
        <v>63.436118548250896</v>
      </c>
      <c r="H79" s="290">
        <f t="shared" si="2"/>
        <v>66.464673665337628</v>
      </c>
      <c r="I79" s="290">
        <f t="shared" si="2"/>
        <v>69.493228782424367</v>
      </c>
      <c r="O79" s="588"/>
    </row>
    <row r="80" spans="1:15" x14ac:dyDescent="0.2">
      <c r="A80" s="506"/>
      <c r="B80" s="289">
        <v>0.13</v>
      </c>
      <c r="C80" s="290">
        <f t="shared" si="3"/>
        <v>49.456053014775655</v>
      </c>
      <c r="D80" s="290">
        <f t="shared" si="2"/>
        <v>52.352952174472804</v>
      </c>
      <c r="E80" s="290">
        <f t="shared" si="2"/>
        <v>55.249851334169946</v>
      </c>
      <c r="F80" s="290">
        <f t="shared" si="2"/>
        <v>58.146750493867081</v>
      </c>
      <c r="G80" s="290">
        <f t="shared" si="2"/>
        <v>61.043649653564231</v>
      </c>
      <c r="H80" s="290">
        <f t="shared" si="2"/>
        <v>63.940548813261373</v>
      </c>
      <c r="I80" s="290">
        <f t="shared" si="2"/>
        <v>66.837447972958515</v>
      </c>
      <c r="O80" s="588"/>
    </row>
    <row r="81" spans="15:15" x14ac:dyDescent="0.2">
      <c r="O81" s="588"/>
    </row>
  </sheetData>
  <mergeCells count="7">
    <mergeCell ref="O38:O56"/>
    <mergeCell ref="O60:O67"/>
    <mergeCell ref="O71:O81"/>
    <mergeCell ref="O7:O16"/>
    <mergeCell ref="O19:O22"/>
    <mergeCell ref="O24:O28"/>
    <mergeCell ref="O31:O35"/>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B2:V55"/>
  <sheetViews>
    <sheetView showGridLines="0" workbookViewId="0"/>
  </sheetViews>
  <sheetFormatPr baseColWidth="10" defaultColWidth="8.83203125" defaultRowHeight="14" x14ac:dyDescent="0.2"/>
  <cols>
    <col min="1" max="1" width="2" style="16" customWidth="1"/>
    <col min="2" max="2" width="30" style="16" customWidth="1"/>
    <col min="3" max="11" width="14.83203125" style="16" customWidth="1"/>
    <col min="12" max="15" width="14.83203125" style="42" customWidth="1"/>
    <col min="16" max="19" width="14.83203125" style="16" customWidth="1"/>
    <col min="20" max="20" width="12.1640625" style="16" customWidth="1"/>
    <col min="21" max="21" width="11.83203125" style="16" customWidth="1"/>
    <col min="22" max="16384" width="8.83203125" style="16"/>
  </cols>
  <sheetData>
    <row r="2" spans="2:22" ht="13" customHeight="1" x14ac:dyDescent="0.2">
      <c r="B2" s="57" t="s">
        <v>252</v>
      </c>
      <c r="C2" s="3"/>
      <c r="D2" s="3"/>
      <c r="E2" s="3"/>
      <c r="F2" s="3"/>
      <c r="G2" s="3"/>
      <c r="H2" s="3"/>
      <c r="I2" s="3"/>
      <c r="J2" s="3"/>
      <c r="K2" s="3"/>
      <c r="L2" s="3"/>
      <c r="M2" s="3"/>
      <c r="N2" s="3"/>
      <c r="O2" s="3"/>
      <c r="P2" s="3"/>
      <c r="Q2" s="3"/>
    </row>
    <row r="3" spans="2:22" x14ac:dyDescent="0.2">
      <c r="B3" s="3" t="s">
        <v>589</v>
      </c>
      <c r="C3" s="3"/>
      <c r="D3" s="3"/>
      <c r="E3" s="3"/>
      <c r="F3" s="3"/>
      <c r="G3" s="3"/>
      <c r="H3" s="3"/>
      <c r="I3" s="3"/>
      <c r="J3" s="3"/>
      <c r="K3" s="3"/>
      <c r="L3" s="3"/>
      <c r="M3" s="3"/>
      <c r="N3" s="3"/>
      <c r="O3" s="3"/>
      <c r="P3" s="3"/>
      <c r="Q3" s="3"/>
    </row>
    <row r="4" spans="2:22" x14ac:dyDescent="0.2">
      <c r="B4" s="3" t="s">
        <v>728</v>
      </c>
      <c r="C4" s="3"/>
      <c r="D4" s="3"/>
      <c r="E4" s="3"/>
      <c r="F4" s="3"/>
      <c r="G4" s="3"/>
      <c r="H4" s="3"/>
      <c r="I4" s="3"/>
      <c r="J4" s="3"/>
      <c r="K4" s="3"/>
      <c r="L4" s="3"/>
      <c r="M4" s="3"/>
      <c r="N4" s="3"/>
      <c r="O4" s="3"/>
      <c r="P4" s="3"/>
      <c r="Q4" s="3"/>
    </row>
    <row r="5" spans="2:22" x14ac:dyDescent="0.2">
      <c r="B5" s="3"/>
      <c r="C5" s="3"/>
      <c r="D5" s="3"/>
      <c r="E5" s="3"/>
      <c r="F5" s="3"/>
      <c r="G5" s="3"/>
      <c r="H5" s="3"/>
      <c r="I5" s="3"/>
      <c r="J5" s="3"/>
      <c r="K5" s="3"/>
      <c r="L5" s="3"/>
      <c r="M5" s="3"/>
      <c r="N5" s="3"/>
      <c r="O5" s="3"/>
      <c r="P5" s="3"/>
      <c r="Q5" s="3"/>
    </row>
    <row r="6" spans="2:22" x14ac:dyDescent="0.2">
      <c r="B6" s="678" t="s">
        <v>73</v>
      </c>
      <c r="C6" s="678" t="s">
        <v>74</v>
      </c>
      <c r="D6" s="679" t="s">
        <v>253</v>
      </c>
      <c r="E6" s="679" t="s">
        <v>254</v>
      </c>
      <c r="F6" s="679" t="s">
        <v>93</v>
      </c>
      <c r="G6" s="679" t="s">
        <v>255</v>
      </c>
      <c r="H6" s="679" t="s">
        <v>256</v>
      </c>
      <c r="I6" s="679" t="s">
        <v>314</v>
      </c>
      <c r="J6" s="679" t="s">
        <v>743</v>
      </c>
      <c r="K6" s="679" t="s">
        <v>711</v>
      </c>
      <c r="L6" s="679" t="s">
        <v>739</v>
      </c>
      <c r="M6" s="679" t="s">
        <v>744</v>
      </c>
      <c r="N6" s="679" t="s">
        <v>729</v>
      </c>
      <c r="O6" s="679" t="s">
        <v>730</v>
      </c>
      <c r="P6" s="679" t="s">
        <v>731</v>
      </c>
      <c r="Q6" s="679" t="s">
        <v>745</v>
      </c>
      <c r="R6" s="679" t="s">
        <v>167</v>
      </c>
      <c r="S6" s="679" t="s">
        <v>75</v>
      </c>
      <c r="T6" s="679" t="s">
        <v>725</v>
      </c>
      <c r="U6" s="677" t="s">
        <v>76</v>
      </c>
      <c r="V6" s="677" t="s">
        <v>732</v>
      </c>
    </row>
    <row r="7" spans="2:22" x14ac:dyDescent="0.2">
      <c r="B7" s="228" t="s">
        <v>713</v>
      </c>
      <c r="C7" s="680" t="s">
        <v>699</v>
      </c>
      <c r="D7" s="729">
        <f>'DCF &amp; Sensitivity'!D51</f>
        <v>80.760000000000005</v>
      </c>
      <c r="E7" s="729">
        <f>Assumptions!D101</f>
        <v>13666.12644</v>
      </c>
      <c r="F7" s="729">
        <f>'DCF &amp; Sensitivity'!D44</f>
        <v>-624.08299999999997</v>
      </c>
      <c r="G7" s="730">
        <f>E7+F7</f>
        <v>13042.043439999999</v>
      </c>
      <c r="H7" s="729">
        <f>'Income Statement'!H12</f>
        <v>2236.6</v>
      </c>
      <c r="I7" s="729">
        <f>'Income Statement'!H51</f>
        <v>746.39999999999986</v>
      </c>
      <c r="J7" s="729">
        <f>'Cash Flow'!H49+'Cash Flow'!H50</f>
        <v>637.50699999999983</v>
      </c>
      <c r="K7" s="729">
        <f>'Income Statement'!H54</f>
        <v>34.299999999999997</v>
      </c>
      <c r="L7" s="730">
        <f>I7-K7</f>
        <v>712.09999999999991</v>
      </c>
      <c r="M7" s="730">
        <f>J7-K7</f>
        <v>603.20699999999988</v>
      </c>
      <c r="N7" s="729">
        <f>'Income Statement'!H43</f>
        <v>3.0841690353920059</v>
      </c>
      <c r="O7" s="729">
        <f>M7/'Income Statement'!H42</f>
        <v>3.5646529054066027</v>
      </c>
      <c r="P7" s="696">
        <f>L7/H7</f>
        <v>0.31838504873468654</v>
      </c>
      <c r="Q7" s="696">
        <f>M7/H7</f>
        <v>0.26969820262899041</v>
      </c>
      <c r="R7" s="697">
        <f>G7/H7</f>
        <v>5.8311917374586422</v>
      </c>
      <c r="S7" s="697">
        <f>G7/I7</f>
        <v>17.473262915326906</v>
      </c>
      <c r="T7" s="697">
        <f>G7/L7</f>
        <v>18.314904423536021</v>
      </c>
      <c r="U7" s="698">
        <f>D7/N7</f>
        <v>26.185335198313862</v>
      </c>
      <c r="V7" s="698">
        <f>D7/O7</f>
        <v>22.655782243906327</v>
      </c>
    </row>
    <row r="8" spans="2:22" x14ac:dyDescent="0.2">
      <c r="B8" s="3"/>
      <c r="C8" s="3"/>
      <c r="D8" s="665"/>
      <c r="E8" s="668"/>
      <c r="F8" s="668"/>
      <c r="G8" s="668"/>
      <c r="H8" s="668"/>
      <c r="I8" s="668"/>
      <c r="J8" s="668"/>
      <c r="K8" s="668"/>
      <c r="L8" s="668"/>
      <c r="M8" s="668"/>
      <c r="N8" s="665"/>
      <c r="O8" s="665"/>
      <c r="P8" s="341"/>
      <c r="Q8" s="731"/>
      <c r="R8" s="681"/>
      <c r="S8" s="681"/>
      <c r="T8" s="681"/>
      <c r="U8" s="42"/>
      <c r="V8" s="42"/>
    </row>
    <row r="9" spans="2:22" ht="15" thickBot="1" x14ac:dyDescent="0.25">
      <c r="B9" s="223" t="s">
        <v>740</v>
      </c>
      <c r="C9" s="224"/>
      <c r="D9" s="666"/>
      <c r="E9" s="669"/>
      <c r="F9" s="669"/>
      <c r="G9" s="669"/>
      <c r="H9" s="669"/>
      <c r="I9" s="669"/>
      <c r="J9" s="669"/>
      <c r="K9" s="669"/>
      <c r="L9" s="669"/>
      <c r="M9" s="669"/>
      <c r="N9" s="666"/>
      <c r="O9" s="666"/>
      <c r="P9" s="671"/>
      <c r="Q9" s="732"/>
      <c r="R9" s="686"/>
      <c r="S9" s="686"/>
      <c r="T9" s="686"/>
      <c r="U9" s="687"/>
      <c r="V9" s="687"/>
    </row>
    <row r="10" spans="2:22" x14ac:dyDescent="0.2">
      <c r="B10" s="682" t="s">
        <v>733</v>
      </c>
      <c r="C10" s="208"/>
      <c r="D10" s="667"/>
      <c r="E10" s="670"/>
      <c r="F10" s="670"/>
      <c r="G10" s="699"/>
      <c r="H10" s="670"/>
      <c r="I10" s="670"/>
      <c r="J10" s="670"/>
      <c r="K10" s="670"/>
      <c r="L10" s="699"/>
      <c r="M10" s="699"/>
      <c r="N10" s="667"/>
      <c r="O10" s="667"/>
      <c r="P10" s="294"/>
      <c r="Q10" s="294"/>
      <c r="R10" s="700"/>
      <c r="S10" s="700"/>
      <c r="T10" s="700"/>
      <c r="U10" s="701"/>
      <c r="V10" s="701"/>
    </row>
    <row r="11" spans="2:22" x14ac:dyDescent="0.2">
      <c r="B11" s="5" t="s">
        <v>714</v>
      </c>
      <c r="C11" s="5" t="s">
        <v>700</v>
      </c>
      <c r="D11" s="726">
        <v>215</v>
      </c>
      <c r="E11" s="726">
        <v>12200</v>
      </c>
      <c r="F11" s="726">
        <v>1200</v>
      </c>
      <c r="G11" s="727">
        <f>E11+F11</f>
        <v>13400</v>
      </c>
      <c r="H11" s="726">
        <v>2850</v>
      </c>
      <c r="I11" s="726">
        <v>916</v>
      </c>
      <c r="J11" s="726">
        <v>600</v>
      </c>
      <c r="K11" s="726">
        <v>30</v>
      </c>
      <c r="L11" s="727">
        <f>I11-K11</f>
        <v>886</v>
      </c>
      <c r="M11" s="727">
        <f>J11-K11</f>
        <v>570</v>
      </c>
      <c r="N11" s="726">
        <v>9.34</v>
      </c>
      <c r="O11" s="726">
        <f>M11*(D11/E11)</f>
        <v>10.045081967213115</v>
      </c>
      <c r="P11" s="270">
        <f>L11/H11</f>
        <v>0.31087719298245614</v>
      </c>
      <c r="Q11" s="270">
        <f>M11/H11</f>
        <v>0.2</v>
      </c>
      <c r="R11" s="703">
        <f>G11/H11</f>
        <v>4.7017543859649127</v>
      </c>
      <c r="S11" s="703">
        <f>G11/I11</f>
        <v>14.62882096069869</v>
      </c>
      <c r="T11" s="703">
        <f>G11/L11</f>
        <v>15.124153498871332</v>
      </c>
      <c r="U11" s="704">
        <f>D11/N11</f>
        <v>23.019271948608136</v>
      </c>
      <c r="V11" s="704">
        <f>D11/O11</f>
        <v>21.403508771929825</v>
      </c>
    </row>
    <row r="12" spans="2:22" x14ac:dyDescent="0.2">
      <c r="B12" s="5" t="s">
        <v>715</v>
      </c>
      <c r="C12" s="5" t="s">
        <v>701</v>
      </c>
      <c r="D12" s="726">
        <v>200</v>
      </c>
      <c r="E12" s="726">
        <v>15000</v>
      </c>
      <c r="F12" s="726">
        <v>1000</v>
      </c>
      <c r="G12" s="728">
        <f>E12+F12</f>
        <v>16000</v>
      </c>
      <c r="H12" s="726">
        <v>3266</v>
      </c>
      <c r="I12" s="726">
        <v>875</v>
      </c>
      <c r="J12" s="726">
        <v>590</v>
      </c>
      <c r="K12" s="726">
        <v>25</v>
      </c>
      <c r="L12" s="728">
        <f>I12-K12</f>
        <v>850</v>
      </c>
      <c r="M12" s="728">
        <f>J12-K12</f>
        <v>565</v>
      </c>
      <c r="N12" s="726">
        <v>7.85</v>
      </c>
      <c r="O12" s="726">
        <f>M12*(D12/E12)</f>
        <v>7.5333333333333341</v>
      </c>
      <c r="P12" s="270">
        <f t="shared" ref="P12:P19" si="0">L12/H12</f>
        <v>0.26025719534598896</v>
      </c>
      <c r="Q12" s="270">
        <f>M12/H12</f>
        <v>0.17299448867115738</v>
      </c>
      <c r="R12" s="683">
        <f>G12/H12</f>
        <v>4.8989589712186161</v>
      </c>
      <c r="S12" s="683">
        <f>G12/I12</f>
        <v>18.285714285714285</v>
      </c>
      <c r="T12" s="683">
        <f>G12/L12</f>
        <v>18.823529411764707</v>
      </c>
      <c r="U12" s="684">
        <f>D12/N12</f>
        <v>25.477707006369428</v>
      </c>
      <c r="V12" s="684">
        <f>D12/O12</f>
        <v>26.548672566371678</v>
      </c>
    </row>
    <row r="13" spans="2:22" ht="16" customHeight="1" x14ac:dyDescent="0.2">
      <c r="B13" s="685" t="s">
        <v>734</v>
      </c>
      <c r="C13" s="5"/>
      <c r="D13" s="726"/>
      <c r="E13" s="726"/>
      <c r="F13" s="726"/>
      <c r="G13" s="728"/>
      <c r="H13" s="726"/>
      <c r="I13" s="726"/>
      <c r="J13" s="726"/>
      <c r="K13" s="726"/>
      <c r="L13" s="728"/>
      <c r="M13" s="728"/>
      <c r="N13" s="726"/>
      <c r="O13" s="726"/>
      <c r="P13" s="270"/>
      <c r="Q13" s="270"/>
      <c r="R13" s="683"/>
      <c r="S13" s="683"/>
      <c r="T13" s="683"/>
      <c r="U13" s="684"/>
      <c r="V13" s="684"/>
    </row>
    <row r="14" spans="2:22" x14ac:dyDescent="0.2">
      <c r="B14" s="5" t="s">
        <v>716</v>
      </c>
      <c r="C14" s="5" t="s">
        <v>702</v>
      </c>
      <c r="D14" s="726">
        <v>555</v>
      </c>
      <c r="E14" s="726">
        <v>60000</v>
      </c>
      <c r="F14" s="726">
        <v>5800</v>
      </c>
      <c r="G14" s="727">
        <f>E14+F14</f>
        <v>65800</v>
      </c>
      <c r="H14" s="726">
        <v>7000</v>
      </c>
      <c r="I14" s="726">
        <v>2950</v>
      </c>
      <c r="J14" s="726">
        <v>2400</v>
      </c>
      <c r="K14" s="726">
        <v>130</v>
      </c>
      <c r="L14" s="727">
        <f>I14-K14</f>
        <v>2820</v>
      </c>
      <c r="M14" s="727">
        <f>J14-K14</f>
        <v>2270</v>
      </c>
      <c r="N14" s="726">
        <v>18.5</v>
      </c>
      <c r="O14" s="726">
        <f>M14*(D14/E14)</f>
        <v>20.997499999999999</v>
      </c>
      <c r="P14" s="270">
        <f t="shared" si="0"/>
        <v>0.40285714285714286</v>
      </c>
      <c r="Q14" s="270">
        <f>M14/H14</f>
        <v>0.32428571428571429</v>
      </c>
      <c r="R14" s="703">
        <f>G14/H14</f>
        <v>9.4</v>
      </c>
      <c r="S14" s="703">
        <f>G14/I14</f>
        <v>22.305084745762713</v>
      </c>
      <c r="T14" s="703">
        <f>G14/L14</f>
        <v>23.333333333333332</v>
      </c>
      <c r="U14" s="704">
        <f>D14/N14</f>
        <v>30</v>
      </c>
      <c r="V14" s="704">
        <f>D14/O14</f>
        <v>26.431718061674012</v>
      </c>
    </row>
    <row r="15" spans="2:22" x14ac:dyDescent="0.2">
      <c r="B15" s="5" t="s">
        <v>717</v>
      </c>
      <c r="C15" s="5" t="s">
        <v>703</v>
      </c>
      <c r="D15" s="726">
        <v>215</v>
      </c>
      <c r="E15" s="726">
        <v>7000</v>
      </c>
      <c r="F15" s="726">
        <v>100</v>
      </c>
      <c r="G15" s="727">
        <f>E15+F15</f>
        <v>7100</v>
      </c>
      <c r="H15" s="726">
        <v>2150</v>
      </c>
      <c r="I15" s="726">
        <v>470</v>
      </c>
      <c r="J15" s="726">
        <v>320</v>
      </c>
      <c r="K15" s="726">
        <v>18</v>
      </c>
      <c r="L15" s="727">
        <f>I15-K15</f>
        <v>452</v>
      </c>
      <c r="M15" s="727">
        <f>J15-K15</f>
        <v>302</v>
      </c>
      <c r="N15" s="726">
        <v>8.27</v>
      </c>
      <c r="O15" s="726">
        <f>M15*(D15/E15)</f>
        <v>9.2757142857142867</v>
      </c>
      <c r="P15" s="270">
        <f t="shared" si="0"/>
        <v>0.2102325581395349</v>
      </c>
      <c r="Q15" s="270">
        <f>M15/H15</f>
        <v>0.14046511627906977</v>
      </c>
      <c r="R15" s="703">
        <f>G15/H15</f>
        <v>3.3023255813953489</v>
      </c>
      <c r="S15" s="703">
        <f>G15/I15</f>
        <v>15.106382978723405</v>
      </c>
      <c r="T15" s="703">
        <f>G15/L15</f>
        <v>15.707964601769911</v>
      </c>
      <c r="U15" s="704">
        <f>D15/N15</f>
        <v>25.997581620314392</v>
      </c>
      <c r="V15" s="704">
        <f>D15/O15</f>
        <v>23.178807947019866</v>
      </c>
    </row>
    <row r="16" spans="2:22" x14ac:dyDescent="0.2">
      <c r="B16" s="685" t="s">
        <v>735</v>
      </c>
      <c r="C16" s="5"/>
      <c r="D16" s="726"/>
      <c r="E16" s="726"/>
      <c r="F16" s="726"/>
      <c r="G16" s="728"/>
      <c r="H16" s="726"/>
      <c r="I16" s="726"/>
      <c r="J16" s="726"/>
      <c r="K16" s="726"/>
      <c r="L16" s="728"/>
      <c r="M16" s="728"/>
      <c r="N16" s="726"/>
      <c r="O16" s="726"/>
      <c r="P16" s="270"/>
      <c r="Q16" s="270"/>
      <c r="R16" s="683"/>
      <c r="S16" s="683"/>
      <c r="T16" s="683"/>
      <c r="U16" s="684"/>
      <c r="V16" s="684"/>
    </row>
    <row r="17" spans="2:22" x14ac:dyDescent="0.2">
      <c r="B17" s="5" t="s">
        <v>718</v>
      </c>
      <c r="C17" s="5" t="s">
        <v>704</v>
      </c>
      <c r="D17" s="726">
        <v>220</v>
      </c>
      <c r="E17" s="726">
        <v>12500</v>
      </c>
      <c r="F17" s="726">
        <v>1400</v>
      </c>
      <c r="G17" s="728">
        <f>E17+F17</f>
        <v>13900</v>
      </c>
      <c r="H17" s="726">
        <v>4000</v>
      </c>
      <c r="I17" s="726">
        <v>750</v>
      </c>
      <c r="J17" s="726">
        <v>530</v>
      </c>
      <c r="K17" s="726">
        <v>25</v>
      </c>
      <c r="L17" s="728">
        <f>I17-K17</f>
        <v>725</v>
      </c>
      <c r="M17" s="728">
        <f>J17-K17</f>
        <v>505</v>
      </c>
      <c r="N17" s="726">
        <v>9.41</v>
      </c>
      <c r="O17" s="726">
        <f>M17*(D17/E17)</f>
        <v>8.8879999999999999</v>
      </c>
      <c r="P17" s="270">
        <f t="shared" si="0"/>
        <v>0.18124999999999999</v>
      </c>
      <c r="Q17" s="270">
        <f>M17/H17</f>
        <v>0.12625</v>
      </c>
      <c r="R17" s="683">
        <f>G17/H17</f>
        <v>3.4750000000000001</v>
      </c>
      <c r="S17" s="683">
        <f>G17/I17</f>
        <v>18.533333333333335</v>
      </c>
      <c r="T17" s="683">
        <f>G17/L17</f>
        <v>19.172413793103448</v>
      </c>
      <c r="U17" s="684">
        <f>D17/N17</f>
        <v>23.379383634431456</v>
      </c>
      <c r="V17" s="684">
        <f>D17/O17</f>
        <v>24.752475247524753</v>
      </c>
    </row>
    <row r="18" spans="2:22" x14ac:dyDescent="0.2">
      <c r="B18" s="5" t="s">
        <v>719</v>
      </c>
      <c r="C18" s="5" t="s">
        <v>705</v>
      </c>
      <c r="D18" s="726">
        <v>70</v>
      </c>
      <c r="E18" s="726">
        <v>8500</v>
      </c>
      <c r="F18" s="726">
        <v>600</v>
      </c>
      <c r="G18" s="727">
        <f>E18+F18</f>
        <v>9100</v>
      </c>
      <c r="H18" s="726">
        <v>3580</v>
      </c>
      <c r="I18" s="726">
        <v>700</v>
      </c>
      <c r="J18" s="726">
        <v>470</v>
      </c>
      <c r="K18" s="726">
        <v>22</v>
      </c>
      <c r="L18" s="727">
        <f>I18-K18</f>
        <v>678</v>
      </c>
      <c r="M18" s="727">
        <f>J18-K18</f>
        <v>448</v>
      </c>
      <c r="N18" s="726">
        <v>3.4</v>
      </c>
      <c r="O18" s="726">
        <f>M18*(D18/E18)</f>
        <v>3.6894117647058824</v>
      </c>
      <c r="P18" s="270">
        <f t="shared" si="0"/>
        <v>0.18938547486033519</v>
      </c>
      <c r="Q18" s="270">
        <f>M18/H18</f>
        <v>0.12513966480446928</v>
      </c>
      <c r="R18" s="703">
        <f>G18/H18</f>
        <v>2.5418994413407821</v>
      </c>
      <c r="S18" s="703">
        <f>G18/I18</f>
        <v>13</v>
      </c>
      <c r="T18" s="703">
        <f>G18/L18</f>
        <v>13.421828908554572</v>
      </c>
      <c r="U18" s="704">
        <f>D18/N18</f>
        <v>20.588235294117649</v>
      </c>
      <c r="V18" s="704">
        <f>D18/O18</f>
        <v>18.973214285714285</v>
      </c>
    </row>
    <row r="19" spans="2:22" x14ac:dyDescent="0.2">
      <c r="B19" s="5" t="s">
        <v>720</v>
      </c>
      <c r="C19" s="5" t="s">
        <v>706</v>
      </c>
      <c r="D19" s="726">
        <v>70</v>
      </c>
      <c r="E19" s="726">
        <v>10000</v>
      </c>
      <c r="F19" s="726">
        <v>0</v>
      </c>
      <c r="G19" s="727">
        <f>E19+F19</f>
        <v>10000</v>
      </c>
      <c r="H19" s="726">
        <v>3820</v>
      </c>
      <c r="I19" s="726">
        <v>800</v>
      </c>
      <c r="J19" s="726">
        <v>540</v>
      </c>
      <c r="K19" s="726">
        <v>22</v>
      </c>
      <c r="L19" s="727">
        <f>I19-K19</f>
        <v>778</v>
      </c>
      <c r="M19" s="727">
        <f>J19-K19</f>
        <v>518</v>
      </c>
      <c r="N19" s="726">
        <v>3.75</v>
      </c>
      <c r="O19" s="726">
        <f>M19*(D19/E19)</f>
        <v>3.6259999999999999</v>
      </c>
      <c r="P19" s="270">
        <f t="shared" si="0"/>
        <v>0.2036649214659686</v>
      </c>
      <c r="Q19" s="270">
        <f>M19/H19</f>
        <v>0.13560209424083769</v>
      </c>
      <c r="R19" s="703">
        <f>G19/H19</f>
        <v>2.6178010471204187</v>
      </c>
      <c r="S19" s="703">
        <f>G19/I19</f>
        <v>12.5</v>
      </c>
      <c r="T19" s="703">
        <f>G19/L19</f>
        <v>12.853470437017995</v>
      </c>
      <c r="U19" s="704">
        <f>D19/N19</f>
        <v>18.666666666666668</v>
      </c>
      <c r="V19" s="704">
        <f>D19/O19</f>
        <v>19.305019305019307</v>
      </c>
    </row>
    <row r="20" spans="2:22" x14ac:dyDescent="0.2">
      <c r="B20" s="3"/>
      <c r="C20" s="3"/>
      <c r="D20" s="705"/>
      <c r="E20" s="705"/>
      <c r="F20" s="705"/>
      <c r="G20" s="30"/>
      <c r="H20" s="705"/>
      <c r="I20" s="705"/>
      <c r="J20" s="705"/>
      <c r="K20" s="30"/>
      <c r="L20" s="705"/>
      <c r="M20" s="705"/>
      <c r="N20" s="30"/>
      <c r="O20" s="30"/>
      <c r="P20" s="30"/>
      <c r="Q20" s="30"/>
      <c r="R20" s="30"/>
      <c r="S20" s="24"/>
      <c r="T20" s="24"/>
    </row>
    <row r="21" spans="2:22" s="672" customFormat="1" x14ac:dyDescent="0.2">
      <c r="B21" s="693" t="s">
        <v>707</v>
      </c>
      <c r="C21" s="694"/>
      <c r="D21" s="694"/>
      <c r="E21" s="694"/>
      <c r="F21" s="694"/>
      <c r="G21" s="694"/>
      <c r="H21" s="694"/>
      <c r="I21" s="694"/>
      <c r="J21" s="694"/>
      <c r="K21" s="694"/>
      <c r="L21" s="694"/>
      <c r="M21" s="694"/>
      <c r="N21" s="694"/>
      <c r="O21" s="694"/>
      <c r="P21" s="694"/>
      <c r="Q21" s="694"/>
      <c r="R21" s="694"/>
      <c r="S21" s="694"/>
      <c r="T21" s="694"/>
      <c r="U21" s="695"/>
      <c r="V21" s="695"/>
    </row>
    <row r="22" spans="2:22" s="672" customFormat="1" x14ac:dyDescent="0.2">
      <c r="B22" s="688" t="s">
        <v>726</v>
      </c>
      <c r="C22" s="688"/>
      <c r="D22" s="688"/>
      <c r="E22" s="688"/>
      <c r="F22" s="688"/>
      <c r="G22" s="688"/>
      <c r="H22" s="688"/>
      <c r="I22" s="688"/>
      <c r="J22" s="688"/>
      <c r="K22" s="688"/>
      <c r="L22" s="688"/>
      <c r="M22" s="688"/>
      <c r="N22" s="688"/>
      <c r="O22" s="688"/>
      <c r="P22" s="689">
        <f>AVERAGE(P11:P12)</f>
        <v>0.28556719416422255</v>
      </c>
      <c r="Q22" s="689">
        <f>AVERAGE(Q11:Q12)</f>
        <v>0.18649724433557868</v>
      </c>
      <c r="R22" s="690">
        <f>AVERAGE(R11:R12)</f>
        <v>4.8003566785917648</v>
      </c>
      <c r="S22" s="690">
        <f>AVERAGE(S11:S12)</f>
        <v>16.457267623206487</v>
      </c>
      <c r="T22" s="690">
        <f>AVERAGE(T11:T12)</f>
        <v>16.97384145531802</v>
      </c>
      <c r="U22" s="691">
        <f>AVERAGE(U11:U12)</f>
        <v>24.248489477488782</v>
      </c>
      <c r="V22" s="691">
        <f>AVERAGE(V11:V12)</f>
        <v>23.97609066915075</v>
      </c>
    </row>
    <row r="23" spans="2:22" x14ac:dyDescent="0.2">
      <c r="B23" s="5" t="s">
        <v>727</v>
      </c>
      <c r="C23" s="230"/>
      <c r="D23" s="230"/>
      <c r="E23" s="230"/>
      <c r="F23" s="230"/>
      <c r="G23" s="230"/>
      <c r="H23" s="230"/>
      <c r="I23" s="230"/>
      <c r="J23" s="230"/>
      <c r="K23" s="230"/>
      <c r="L23" s="230"/>
      <c r="M23" s="230"/>
      <c r="N23" s="230"/>
      <c r="O23" s="230"/>
      <c r="P23" s="270">
        <f>MEDIAN(P11:P12,P14:P15)</f>
        <v>0.28556719416422255</v>
      </c>
      <c r="Q23" s="270">
        <f>MEDIAN(Q11:Q12,Q14:Q15)</f>
        <v>0.18649724433557868</v>
      </c>
      <c r="R23" s="703">
        <f>MEDIAN(R11:R12,R14:R15)</f>
        <v>4.8003566785917648</v>
      </c>
      <c r="S23" s="703">
        <f>MEDIAN(S11:S12,S14:S15)</f>
        <v>16.696048632218844</v>
      </c>
      <c r="T23" s="703">
        <f>MEDIAN(T11:T12,T14:T15)</f>
        <v>17.26574700676731</v>
      </c>
      <c r="U23" s="704">
        <f>MEDIAN(U11:U12,U14:U15)</f>
        <v>25.73764431334191</v>
      </c>
      <c r="V23" s="704">
        <f>MEDIAN(V11:V12,V14:V15)</f>
        <v>24.805263004346941</v>
      </c>
    </row>
    <row r="24" spans="2:22" x14ac:dyDescent="0.2">
      <c r="B24" s="5" t="s">
        <v>708</v>
      </c>
      <c r="C24" s="5"/>
      <c r="D24" s="5"/>
      <c r="E24" s="5"/>
      <c r="F24" s="5"/>
      <c r="G24" s="5"/>
      <c r="H24" s="5"/>
      <c r="I24" s="5"/>
      <c r="J24" s="5"/>
      <c r="K24" s="5"/>
      <c r="L24" s="5"/>
      <c r="M24" s="5"/>
      <c r="N24" s="5"/>
      <c r="O24" s="5"/>
      <c r="P24" s="270">
        <f>AVERAGE(P11:P12,P14:P15,P17:P19)</f>
        <v>0.25121778366448949</v>
      </c>
      <c r="Q24" s="270">
        <f>AVERAGE(Q11:Q12,Q14:Q15,Q17:Q19)</f>
        <v>0.17496243975446404</v>
      </c>
      <c r="R24" s="703">
        <f>AVERAGE(R11:R12,R14:R15,R17:R19)</f>
        <v>4.4196770610057259</v>
      </c>
      <c r="S24" s="703">
        <f>AVERAGE(S11:S12,S14:S15,S17:S19)</f>
        <v>16.337048043461774</v>
      </c>
      <c r="T24" s="703">
        <f>AVERAGE(T11:T12,T14:T15,T17:T19)</f>
        <v>16.919527712059327</v>
      </c>
      <c r="U24" s="704">
        <f>AVERAGE(U11:U12,U14:U15,U17:U19)</f>
        <v>23.875549452929675</v>
      </c>
      <c r="V24" s="704">
        <f>AVERAGE(V11:V12,V14:V15,V17:V19)</f>
        <v>22.941916597893389</v>
      </c>
    </row>
    <row r="25" spans="2:22" x14ac:dyDescent="0.2">
      <c r="B25" s="5" t="s">
        <v>709</v>
      </c>
      <c r="C25" s="5"/>
      <c r="D25" s="5"/>
      <c r="E25" s="5"/>
      <c r="F25" s="5"/>
      <c r="G25" s="5"/>
      <c r="H25" s="5"/>
      <c r="I25" s="5"/>
      <c r="J25" s="5"/>
      <c r="K25" s="5"/>
      <c r="L25" s="5"/>
      <c r="M25" s="5"/>
      <c r="N25" s="5"/>
      <c r="O25" s="5"/>
      <c r="P25" s="270">
        <f>MEDIAN(P11:P12,P14:P15,P17:P19)</f>
        <v>0.2102325581395349</v>
      </c>
      <c r="Q25" s="270">
        <f>MEDIAN(Q11:Q12,Q14:Q15,Q17:Q19)</f>
        <v>0.14046511627906977</v>
      </c>
      <c r="R25" s="703">
        <f>MEDIAN(R11:R12,R14:R15,R17:R19)</f>
        <v>3.4750000000000001</v>
      </c>
      <c r="S25" s="703">
        <f>MEDIAN(S11:S12,S14:S15,S17:S19)</f>
        <v>15.106382978723405</v>
      </c>
      <c r="T25" s="703">
        <f>MEDIAN(T11:T12,T14:T15,T17:T19)</f>
        <v>15.707964601769911</v>
      </c>
      <c r="U25" s="704">
        <f>MEDIAN(U11:U12,U14:U15,U17:U19)</f>
        <v>23.379383634431456</v>
      </c>
      <c r="V25" s="704">
        <f>MEDIAN(V11:V12,V14:V15,V17:V19)</f>
        <v>23.178807947019866</v>
      </c>
    </row>
    <row r="26" spans="2:22" x14ac:dyDescent="0.2">
      <c r="B26" s="5" t="s">
        <v>169</v>
      </c>
      <c r="C26" s="5"/>
      <c r="D26" s="5"/>
      <c r="E26" s="5"/>
      <c r="F26" s="5"/>
      <c r="G26" s="5"/>
      <c r="H26" s="5"/>
      <c r="I26" s="5"/>
      <c r="J26" s="5"/>
      <c r="K26" s="5"/>
      <c r="L26" s="5"/>
      <c r="M26" s="5"/>
      <c r="N26" s="5"/>
      <c r="O26" s="5"/>
      <c r="P26" s="270">
        <f>MAX(P11:P12,P14:P15,P17:P19)</f>
        <v>0.40285714285714286</v>
      </c>
      <c r="Q26" s="270">
        <f>MAX(Q11:Q12,Q14:Q15,Q17:Q19)</f>
        <v>0.32428571428571429</v>
      </c>
      <c r="R26" s="703">
        <f>MAX(R11:R12,R14:R15,R17:R19)</f>
        <v>9.4</v>
      </c>
      <c r="S26" s="703">
        <f>MAX(S11:S12,S14:S15,S17:S19)</f>
        <v>22.305084745762713</v>
      </c>
      <c r="T26" s="703">
        <f>MAX(T11:T12,T14:T15,T17:T19)</f>
        <v>23.333333333333332</v>
      </c>
      <c r="U26" s="704">
        <f>MAX(U11:U12,U14:U15,U17:U19)</f>
        <v>30</v>
      </c>
      <c r="V26" s="704">
        <f>MAX(V11:V12,V14:V15,V17:V19)</f>
        <v>26.548672566371678</v>
      </c>
    </row>
    <row r="27" spans="2:22" x14ac:dyDescent="0.2">
      <c r="B27" s="692" t="s">
        <v>170</v>
      </c>
      <c r="C27" s="692"/>
      <c r="D27" s="692"/>
      <c r="E27" s="692"/>
      <c r="F27" s="692"/>
      <c r="G27" s="692"/>
      <c r="H27" s="692"/>
      <c r="I27" s="692"/>
      <c r="J27" s="692"/>
      <c r="K27" s="692"/>
      <c r="L27" s="692"/>
      <c r="M27" s="692"/>
      <c r="N27" s="692"/>
      <c r="O27" s="692"/>
      <c r="P27" s="706">
        <f>MIN(P11:P12,P14:P15,P17:P19)</f>
        <v>0.18124999999999999</v>
      </c>
      <c r="Q27" s="706">
        <f>MIN(Q11:Q12,Q14:Q15,Q17:Q19)</f>
        <v>0.12513966480446928</v>
      </c>
      <c r="R27" s="707">
        <f>MIN(R11:R12,R14:R15,R17:R19)</f>
        <v>2.5418994413407821</v>
      </c>
      <c r="S27" s="707">
        <f>MIN(S11:S12,S14:S15,S17:S19)</f>
        <v>12.5</v>
      </c>
      <c r="T27" s="707">
        <f>MIN(T11:T12,T14:T15,T17:T19)</f>
        <v>12.853470437017995</v>
      </c>
      <c r="U27" s="708">
        <f>MIN(U11:U12,U14:U15,U17:U19)</f>
        <v>18.666666666666668</v>
      </c>
      <c r="V27" s="708">
        <f>MIN(V11:V12,V14:V15,V17:V19)</f>
        <v>18.973214285714285</v>
      </c>
    </row>
    <row r="28" spans="2:22" x14ac:dyDescent="0.2">
      <c r="B28" s="3"/>
      <c r="C28" s="3"/>
      <c r="D28" s="3"/>
      <c r="E28" s="3"/>
      <c r="F28" s="3"/>
      <c r="G28" s="3"/>
      <c r="H28" s="3"/>
      <c r="I28" s="3"/>
      <c r="J28" s="3"/>
      <c r="K28" s="3"/>
      <c r="L28" s="3"/>
      <c r="M28" s="3"/>
      <c r="N28" s="30"/>
      <c r="O28" s="30"/>
      <c r="P28" s="709"/>
      <c r="Q28" s="30"/>
      <c r="R28" s="24"/>
      <c r="S28" s="24"/>
    </row>
    <row r="29" spans="2:22" x14ac:dyDescent="0.2">
      <c r="B29" s="693" t="s">
        <v>710</v>
      </c>
      <c r="C29" s="694"/>
      <c r="D29" s="694"/>
      <c r="E29" s="694"/>
      <c r="F29" s="694"/>
      <c r="G29" s="694"/>
      <c r="H29" s="694"/>
      <c r="I29" s="694"/>
      <c r="J29" s="694"/>
      <c r="K29" s="3"/>
      <c r="L29" s="3"/>
      <c r="M29" s="3"/>
      <c r="N29" s="3"/>
      <c r="O29" s="3"/>
      <c r="P29" s="638"/>
      <c r="Q29" s="3"/>
    </row>
    <row r="30" spans="2:22" x14ac:dyDescent="0.2">
      <c r="B30" s="719" t="s">
        <v>722</v>
      </c>
      <c r="C30" s="720" t="s">
        <v>168</v>
      </c>
      <c r="D30" s="720" t="s">
        <v>723</v>
      </c>
      <c r="E30" s="720" t="s">
        <v>172</v>
      </c>
      <c r="F30" s="720" t="s">
        <v>741</v>
      </c>
      <c r="G30" s="720" t="s">
        <v>742</v>
      </c>
      <c r="H30" s="720" t="s">
        <v>724</v>
      </c>
      <c r="I30" s="720" t="s">
        <v>721</v>
      </c>
      <c r="J30" s="720" t="s">
        <v>746</v>
      </c>
      <c r="K30" s="3"/>
      <c r="L30" s="3"/>
      <c r="M30" s="3"/>
      <c r="N30" s="3"/>
      <c r="O30" s="3"/>
      <c r="P30" s="638"/>
      <c r="Q30" s="3"/>
    </row>
    <row r="31" spans="2:22" ht="15" customHeight="1" x14ac:dyDescent="0.2">
      <c r="B31" s="49" t="s">
        <v>173</v>
      </c>
      <c r="C31" s="715">
        <f>R23</f>
        <v>4.8003566785917648</v>
      </c>
      <c r="D31" s="716">
        <f>H7</f>
        <v>2236.6</v>
      </c>
      <c r="E31" s="716">
        <f>C31*D31</f>
        <v>10736.47774733834</v>
      </c>
      <c r="F31" s="716">
        <f>F7</f>
        <v>-624.08299999999997</v>
      </c>
      <c r="G31" s="716">
        <f>E31-F31</f>
        <v>11360.560747338341</v>
      </c>
      <c r="H31" s="38">
        <f>Assumptions!$H$89</f>
        <v>169.21899999999999</v>
      </c>
      <c r="I31" s="717">
        <f>G31/H31</f>
        <v>67.135255186109958</v>
      </c>
      <c r="J31" s="718">
        <f>I31/D7-1</f>
        <v>-0.16870659749740025</v>
      </c>
      <c r="K31" s="3"/>
      <c r="L31" s="3"/>
      <c r="M31" s="3"/>
      <c r="N31" s="3"/>
      <c r="O31" s="3"/>
      <c r="P31" s="638"/>
      <c r="Q31" s="3"/>
    </row>
    <row r="32" spans="2:22" x14ac:dyDescent="0.2">
      <c r="B32" s="5" t="s">
        <v>174</v>
      </c>
      <c r="C32" s="703">
        <f>S23</f>
        <v>16.696048632218844</v>
      </c>
      <c r="D32" s="702">
        <f>I7</f>
        <v>746.39999999999986</v>
      </c>
      <c r="E32" s="702">
        <f>C32*D32</f>
        <v>12461.930699088143</v>
      </c>
      <c r="F32" s="702">
        <f>F7</f>
        <v>-624.08299999999997</v>
      </c>
      <c r="G32" s="702">
        <f>E32-F32</f>
        <v>13086.013699088144</v>
      </c>
      <c r="H32" s="38">
        <f>Assumptions!H89</f>
        <v>169.21899999999999</v>
      </c>
      <c r="I32" s="267">
        <f>G32/H32</f>
        <v>77.331822662278725</v>
      </c>
      <c r="J32" s="710">
        <f>I32/D7-1</f>
        <v>-4.2448951680550739E-2</v>
      </c>
      <c r="K32" s="3"/>
      <c r="L32" s="3"/>
      <c r="M32" s="3"/>
      <c r="N32" s="3"/>
      <c r="O32" s="3"/>
      <c r="P32" s="638"/>
      <c r="Q32" s="3"/>
    </row>
    <row r="33" spans="2:17" x14ac:dyDescent="0.2">
      <c r="B33" s="5" t="s">
        <v>712</v>
      </c>
      <c r="C33" s="703">
        <f>T23</f>
        <v>17.26574700676731</v>
      </c>
      <c r="D33" s="702">
        <f>L7</f>
        <v>712.09999999999991</v>
      </c>
      <c r="E33" s="702">
        <f>C33*D33</f>
        <v>12294.938443519</v>
      </c>
      <c r="F33" s="702">
        <f>F7</f>
        <v>-624.08299999999997</v>
      </c>
      <c r="G33" s="702">
        <f>E33-F33</f>
        <v>12919.021443519001</v>
      </c>
      <c r="H33" s="38">
        <f>Assumptions!H89</f>
        <v>169.21899999999999</v>
      </c>
      <c r="I33" s="712">
        <f>G33/H33</f>
        <v>76.344981612697168</v>
      </c>
      <c r="J33" s="713">
        <f>I33/D7-1</f>
        <v>-5.4668380229108915E-2</v>
      </c>
      <c r="K33" s="3"/>
      <c r="L33" s="3"/>
      <c r="M33" s="3"/>
      <c r="N33" s="3"/>
      <c r="O33" s="3"/>
      <c r="P33" s="638"/>
      <c r="Q33" s="3"/>
    </row>
    <row r="34" spans="2:17" x14ac:dyDescent="0.2">
      <c r="B34" s="5" t="s">
        <v>736</v>
      </c>
      <c r="C34" s="703">
        <f>U23</f>
        <v>25.73764431334191</v>
      </c>
      <c r="D34" s="267">
        <f>N7</f>
        <v>3.0841690353920059</v>
      </c>
      <c r="E34" s="7"/>
      <c r="F34" s="7"/>
      <c r="G34" s="702">
        <f>C34*D34*H34</f>
        <v>13432.476567133139</v>
      </c>
      <c r="H34" s="38">
        <f>Assumptions!H89</f>
        <v>169.21899999999999</v>
      </c>
      <c r="I34" s="267">
        <f>C34*D34</f>
        <v>79.379245635142269</v>
      </c>
      <c r="J34" s="710">
        <f>I34/D7-1</f>
        <v>-1.7097007984865464E-2</v>
      </c>
      <c r="K34" s="3"/>
      <c r="L34" s="3"/>
      <c r="M34" s="3"/>
      <c r="N34" s="3"/>
      <c r="O34" s="3"/>
      <c r="P34" s="638"/>
      <c r="Q34" s="3"/>
    </row>
    <row r="35" spans="2:17" x14ac:dyDescent="0.2">
      <c r="B35" s="692" t="s">
        <v>737</v>
      </c>
      <c r="C35" s="707">
        <f>V23</f>
        <v>24.805263004346941</v>
      </c>
      <c r="D35" s="714">
        <f>O7</f>
        <v>3.5646529054066027</v>
      </c>
      <c r="E35" s="711"/>
      <c r="F35" s="711"/>
      <c r="G35" s="721">
        <f>C35*D35*H35</f>
        <v>14962.708281063102</v>
      </c>
      <c r="H35" s="722">
        <f>Assumptions!H89</f>
        <v>169.21899999999999</v>
      </c>
      <c r="I35" s="723">
        <f>C35*D35</f>
        <v>88.422152837820235</v>
      </c>
      <c r="J35" s="724">
        <f>I35/D7-1</f>
        <v>9.4875592345470938E-2</v>
      </c>
      <c r="K35" s="3"/>
      <c r="L35" s="3"/>
      <c r="M35" s="3"/>
      <c r="N35" s="3"/>
      <c r="O35" s="3"/>
      <c r="P35" s="638"/>
      <c r="Q35" s="3"/>
    </row>
    <row r="36" spans="2:17" x14ac:dyDescent="0.2">
      <c r="B36" s="3"/>
      <c r="C36" s="30"/>
      <c r="D36" s="30"/>
      <c r="E36" s="30"/>
      <c r="F36" s="30"/>
      <c r="G36" s="30"/>
      <c r="H36" s="725"/>
      <c r="I36" s="30"/>
      <c r="J36" s="30"/>
      <c r="K36" s="3"/>
      <c r="L36" s="3"/>
      <c r="M36" s="3"/>
      <c r="N36" s="3"/>
      <c r="O36" s="3"/>
      <c r="P36" s="638"/>
      <c r="Q36" s="3"/>
    </row>
    <row r="37" spans="2:17" x14ac:dyDescent="0.2">
      <c r="B37" s="130" t="s">
        <v>176</v>
      </c>
      <c r="C37" s="3"/>
      <c r="D37" s="3"/>
      <c r="E37" s="3"/>
      <c r="F37" s="3"/>
      <c r="G37" s="3"/>
      <c r="H37" s="3"/>
      <c r="I37" s="3"/>
      <c r="J37" s="3"/>
      <c r="K37" s="3"/>
      <c r="L37" s="3"/>
      <c r="M37" s="3"/>
      <c r="N37" s="3"/>
      <c r="O37" s="3"/>
      <c r="P37" s="638"/>
      <c r="Q37" s="3"/>
    </row>
    <row r="38" spans="2:17" ht="14" customHeight="1" x14ac:dyDescent="0.2">
      <c r="B38" s="584" t="s">
        <v>747</v>
      </c>
      <c r="C38" s="584"/>
      <c r="D38" s="584"/>
      <c r="E38" s="584"/>
      <c r="F38" s="584"/>
      <c r="G38" s="584"/>
      <c r="H38" s="584"/>
      <c r="I38" s="584"/>
      <c r="J38" s="584"/>
      <c r="K38" s="3"/>
      <c r="L38" s="3"/>
      <c r="M38" s="3"/>
      <c r="N38" s="3"/>
      <c r="O38" s="3"/>
      <c r="P38" s="3"/>
      <c r="Q38" s="3"/>
    </row>
    <row r="39" spans="2:17" x14ac:dyDescent="0.2">
      <c r="B39" s="584"/>
      <c r="C39" s="584"/>
      <c r="D39" s="584"/>
      <c r="E39" s="584"/>
      <c r="F39" s="584"/>
      <c r="G39" s="584"/>
      <c r="H39" s="584"/>
      <c r="I39" s="584"/>
      <c r="J39" s="584"/>
      <c r="K39" s="3"/>
      <c r="L39" s="3"/>
      <c r="M39" s="3"/>
      <c r="N39" s="3"/>
      <c r="O39" s="3"/>
      <c r="P39" s="3"/>
      <c r="Q39" s="3"/>
    </row>
    <row r="40" spans="2:17" ht="16" customHeight="1" x14ac:dyDescent="0.2">
      <c r="B40" s="584"/>
      <c r="C40" s="584"/>
      <c r="D40" s="584"/>
      <c r="E40" s="584"/>
      <c r="F40" s="584"/>
      <c r="G40" s="584"/>
      <c r="H40" s="584"/>
      <c r="I40" s="584"/>
      <c r="J40" s="584"/>
      <c r="K40" s="3"/>
      <c r="L40" s="3"/>
      <c r="M40" s="3"/>
      <c r="N40" s="3"/>
      <c r="O40" s="3"/>
      <c r="P40" s="3"/>
      <c r="Q40" s="3"/>
    </row>
    <row r="41" spans="2:17" x14ac:dyDescent="0.2">
      <c r="B41" s="584"/>
      <c r="C41" s="584"/>
      <c r="D41" s="584"/>
      <c r="E41" s="584"/>
      <c r="F41" s="584"/>
      <c r="G41" s="584"/>
      <c r="H41" s="584"/>
      <c r="I41" s="584"/>
      <c r="J41" s="584"/>
      <c r="K41" s="3"/>
      <c r="L41" s="3"/>
      <c r="M41" s="3"/>
      <c r="N41" s="3"/>
      <c r="O41" s="3"/>
      <c r="P41" s="3"/>
      <c r="Q41" s="3"/>
    </row>
    <row r="42" spans="2:17" x14ac:dyDescent="0.2">
      <c r="B42" s="253"/>
      <c r="C42" s="253"/>
      <c r="D42" s="253"/>
      <c r="E42" s="253"/>
      <c r="F42" s="253"/>
      <c r="G42" s="253"/>
      <c r="H42" s="253"/>
      <c r="I42" s="253"/>
      <c r="J42" s="3"/>
      <c r="K42" s="3"/>
      <c r="L42" s="3"/>
      <c r="M42" s="3"/>
      <c r="N42" s="3"/>
      <c r="O42" s="3"/>
      <c r="P42" s="3"/>
      <c r="Q42" s="3"/>
    </row>
    <row r="43" spans="2:17" x14ac:dyDescent="0.2">
      <c r="B43" s="3"/>
      <c r="C43" s="3"/>
      <c r="D43" s="3"/>
      <c r="E43" s="3"/>
      <c r="F43" s="3"/>
      <c r="G43" s="3"/>
      <c r="H43" s="3"/>
      <c r="I43" s="3"/>
      <c r="J43" s="3"/>
      <c r="K43" s="3"/>
      <c r="L43" s="3"/>
      <c r="M43" s="3"/>
      <c r="N43" s="3"/>
      <c r="O43" s="3"/>
      <c r="P43" s="3"/>
      <c r="Q43" s="3"/>
    </row>
    <row r="44" spans="2:17" x14ac:dyDescent="0.2">
      <c r="B44" s="3"/>
      <c r="C44" s="3"/>
      <c r="D44" s="3"/>
      <c r="E44" s="3"/>
      <c r="F44" s="3"/>
      <c r="G44" s="3"/>
      <c r="H44" s="3"/>
      <c r="I44" s="3"/>
      <c r="J44" s="3"/>
      <c r="K44" s="3"/>
      <c r="L44" s="3"/>
      <c r="M44" s="3"/>
      <c r="N44" s="3"/>
      <c r="O44" s="3"/>
      <c r="P44" s="3"/>
      <c r="Q44" s="3"/>
    </row>
    <row r="45" spans="2:17" x14ac:dyDescent="0.2">
      <c r="B45" s="3"/>
      <c r="C45" s="3"/>
      <c r="D45" s="3"/>
      <c r="E45" s="3"/>
      <c r="F45" s="3"/>
      <c r="G45" s="3"/>
      <c r="H45" s="3"/>
      <c r="I45" s="3"/>
      <c r="J45" s="3"/>
      <c r="K45" s="3"/>
      <c r="L45" s="3"/>
      <c r="M45" s="3"/>
      <c r="N45" s="3"/>
      <c r="O45" s="3"/>
      <c r="P45" s="3"/>
      <c r="Q45" s="3"/>
    </row>
    <row r="46" spans="2:17" x14ac:dyDescent="0.2">
      <c r="B46" s="3"/>
      <c r="C46" s="3"/>
      <c r="D46" s="3"/>
      <c r="E46" s="3"/>
      <c r="F46" s="3"/>
      <c r="G46" s="3"/>
      <c r="H46" s="3"/>
      <c r="I46" s="3"/>
      <c r="J46" s="3"/>
      <c r="K46" s="3"/>
      <c r="L46" s="3"/>
      <c r="M46" s="3"/>
      <c r="N46" s="3"/>
      <c r="O46" s="3"/>
      <c r="P46" s="3"/>
      <c r="Q46" s="3"/>
    </row>
    <row r="47" spans="2:17" x14ac:dyDescent="0.2">
      <c r="B47" s="3"/>
      <c r="C47" s="3"/>
      <c r="D47" s="3"/>
      <c r="E47" s="3"/>
      <c r="F47" s="3"/>
      <c r="G47" s="3"/>
      <c r="H47" s="3"/>
      <c r="I47" s="3"/>
      <c r="J47" s="3"/>
      <c r="K47" s="3"/>
      <c r="L47" s="3"/>
      <c r="M47" s="3"/>
      <c r="N47" s="3"/>
      <c r="O47" s="3"/>
      <c r="P47" s="3"/>
      <c r="Q47" s="3"/>
    </row>
    <row r="48" spans="2:17" x14ac:dyDescent="0.2">
      <c r="B48" s="3"/>
      <c r="C48" s="3"/>
      <c r="D48" s="3"/>
      <c r="E48" s="3"/>
      <c r="F48" s="3"/>
      <c r="G48" s="3"/>
      <c r="H48" s="3"/>
      <c r="I48" s="3"/>
      <c r="J48" s="3"/>
      <c r="K48" s="3"/>
      <c r="L48" s="3"/>
      <c r="M48" s="3"/>
      <c r="N48" s="3"/>
      <c r="O48" s="3"/>
      <c r="P48" s="3"/>
      <c r="Q48" s="3"/>
    </row>
    <row r="49" spans="2:17" x14ac:dyDescent="0.2">
      <c r="B49" s="3"/>
      <c r="C49" s="3"/>
      <c r="D49" s="3"/>
      <c r="E49" s="3"/>
      <c r="F49" s="3"/>
      <c r="G49" s="3"/>
      <c r="H49" s="3"/>
      <c r="I49" s="3"/>
      <c r="J49" s="3"/>
      <c r="K49" s="3"/>
      <c r="L49" s="3"/>
      <c r="M49" s="3"/>
      <c r="N49" s="3"/>
      <c r="O49" s="3"/>
      <c r="P49" s="3"/>
      <c r="Q49" s="3"/>
    </row>
    <row r="50" spans="2:17" x14ac:dyDescent="0.2">
      <c r="B50" s="3"/>
      <c r="C50" s="3"/>
      <c r="D50" s="3"/>
      <c r="E50" s="3"/>
      <c r="F50" s="3"/>
      <c r="G50" s="3"/>
      <c r="H50" s="3"/>
      <c r="I50" s="3"/>
      <c r="J50" s="3"/>
      <c r="K50" s="3"/>
      <c r="L50" s="3"/>
      <c r="M50" s="3"/>
      <c r="N50" s="3"/>
      <c r="O50" s="3"/>
      <c r="P50" s="3"/>
      <c r="Q50" s="3"/>
    </row>
    <row r="51" spans="2:17" x14ac:dyDescent="0.2">
      <c r="B51" s="3"/>
      <c r="C51" s="3"/>
      <c r="D51" s="3"/>
      <c r="E51" s="3"/>
      <c r="F51" s="3"/>
      <c r="G51" s="3"/>
      <c r="H51" s="3"/>
      <c r="I51" s="3"/>
      <c r="J51" s="3"/>
      <c r="K51" s="3"/>
      <c r="L51" s="3"/>
      <c r="M51" s="3"/>
      <c r="N51" s="3"/>
      <c r="O51" s="3"/>
      <c r="P51" s="3"/>
      <c r="Q51" s="3"/>
    </row>
    <row r="52" spans="2:17" x14ac:dyDescent="0.2">
      <c r="B52" s="3"/>
      <c r="C52" s="3"/>
      <c r="D52" s="3"/>
      <c r="E52" s="3"/>
      <c r="F52" s="3"/>
      <c r="G52" s="3"/>
      <c r="H52" s="3"/>
      <c r="I52" s="3"/>
      <c r="J52" s="3"/>
      <c r="K52" s="3"/>
      <c r="L52" s="3"/>
      <c r="M52" s="3"/>
      <c r="N52" s="3"/>
      <c r="O52" s="3"/>
      <c r="P52" s="3"/>
      <c r="Q52" s="3"/>
    </row>
    <row r="53" spans="2:17" x14ac:dyDescent="0.2">
      <c r="B53" s="3"/>
      <c r="C53" s="3"/>
      <c r="D53" s="3"/>
      <c r="E53" s="3"/>
      <c r="F53" s="3"/>
      <c r="G53" s="3"/>
      <c r="H53" s="3"/>
      <c r="I53" s="3"/>
      <c r="J53" s="3"/>
      <c r="K53" s="3"/>
      <c r="L53" s="3"/>
      <c r="M53" s="3"/>
      <c r="N53" s="3"/>
      <c r="O53" s="3"/>
      <c r="P53" s="3"/>
      <c r="Q53" s="3"/>
    </row>
    <row r="54" spans="2:17" x14ac:dyDescent="0.2">
      <c r="B54" s="3"/>
      <c r="C54" s="3"/>
      <c r="D54" s="3"/>
      <c r="E54" s="3"/>
      <c r="F54" s="3"/>
      <c r="G54" s="3"/>
      <c r="H54" s="3"/>
      <c r="I54" s="3"/>
      <c r="J54" s="3"/>
      <c r="K54" s="3"/>
      <c r="L54" s="3"/>
      <c r="M54" s="3"/>
      <c r="N54" s="3"/>
      <c r="O54" s="3"/>
      <c r="P54" s="3"/>
      <c r="Q54" s="3"/>
    </row>
    <row r="55" spans="2:17" x14ac:dyDescent="0.2">
      <c r="B55" s="3"/>
      <c r="C55" s="3"/>
      <c r="D55" s="3"/>
      <c r="E55" s="3"/>
      <c r="F55" s="3"/>
      <c r="G55" s="3"/>
      <c r="H55" s="3"/>
      <c r="I55" s="3"/>
      <c r="J55" s="3"/>
      <c r="K55" s="3"/>
      <c r="L55" s="3"/>
      <c r="M55" s="3"/>
      <c r="N55" s="3"/>
      <c r="O55" s="3"/>
      <c r="P55" s="3"/>
      <c r="Q55" s="3"/>
    </row>
  </sheetData>
  <mergeCells count="1">
    <mergeCell ref="B38:J41"/>
  </mergeCell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7E6C1-07FA-6C43-BC73-E61656822B59}">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44" t="s">
        <v>553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7560-E12D-6149-AAB9-00C0040E5E0C}">
  <sheetPr>
    <tabColor theme="9" tint="0.79998168889431442"/>
  </sheetPr>
  <dimension ref="B2:J52"/>
  <sheetViews>
    <sheetView showGridLines="0" workbookViewId="0"/>
  </sheetViews>
  <sheetFormatPr baseColWidth="10" defaultRowHeight="15" x14ac:dyDescent="0.2"/>
  <cols>
    <col min="1" max="1" width="2.5" customWidth="1"/>
    <col min="2" max="2" width="53.33203125" customWidth="1"/>
    <col min="9" max="9" width="2.5" customWidth="1"/>
    <col min="10" max="10" width="50" customWidth="1"/>
  </cols>
  <sheetData>
    <row r="2" spans="2:10" x14ac:dyDescent="0.2">
      <c r="B2" s="460" t="s">
        <v>546</v>
      </c>
    </row>
    <row r="3" spans="2:10" x14ac:dyDescent="0.2">
      <c r="B3" s="466"/>
    </row>
    <row r="4" spans="2:10" ht="14" customHeight="1" x14ac:dyDescent="0.2">
      <c r="B4" s="630" t="s">
        <v>547</v>
      </c>
      <c r="C4" s="630"/>
      <c r="D4" s="630"/>
      <c r="E4" s="630"/>
      <c r="F4" s="630"/>
      <c r="G4" s="630"/>
      <c r="H4" s="630"/>
    </row>
    <row r="5" spans="2:10" x14ac:dyDescent="0.2">
      <c r="B5" s="630"/>
      <c r="C5" s="630"/>
      <c r="D5" s="630"/>
      <c r="E5" s="630"/>
      <c r="F5" s="630"/>
      <c r="G5" s="630"/>
      <c r="H5" s="630"/>
    </row>
    <row r="6" spans="2:10" x14ac:dyDescent="0.2">
      <c r="B6" s="630"/>
      <c r="C6" s="630"/>
      <c r="D6" s="630"/>
      <c r="E6" s="630"/>
      <c r="F6" s="630"/>
      <c r="G6" s="630"/>
      <c r="H6" s="630"/>
    </row>
    <row r="7" spans="2:10" x14ac:dyDescent="0.2">
      <c r="B7" s="630"/>
      <c r="C7" s="630"/>
      <c r="D7" s="630"/>
      <c r="E7" s="630"/>
      <c r="F7" s="630"/>
      <c r="G7" s="630"/>
      <c r="H7" s="630"/>
    </row>
    <row r="8" spans="2:10" x14ac:dyDescent="0.2">
      <c r="B8" s="630"/>
      <c r="C8" s="630"/>
      <c r="D8" s="630"/>
      <c r="E8" s="630"/>
      <c r="F8" s="630"/>
      <c r="G8" s="630"/>
      <c r="H8" s="630"/>
    </row>
    <row r="9" spans="2:10" x14ac:dyDescent="0.2">
      <c r="B9" s="630"/>
      <c r="C9" s="630"/>
      <c r="D9" s="630"/>
      <c r="E9" s="630"/>
      <c r="F9" s="630"/>
      <c r="G9" s="630"/>
      <c r="H9" s="630"/>
    </row>
    <row r="10" spans="2:10" x14ac:dyDescent="0.2">
      <c r="B10" s="630"/>
      <c r="C10" s="630"/>
      <c r="D10" s="630"/>
      <c r="E10" s="630"/>
      <c r="F10" s="630"/>
      <c r="G10" s="630"/>
      <c r="H10" s="630"/>
    </row>
    <row r="11" spans="2:10" x14ac:dyDescent="0.2">
      <c r="B11" s="630"/>
      <c r="C11" s="630"/>
      <c r="D11" s="630"/>
      <c r="E11" s="630"/>
      <c r="F11" s="630"/>
      <c r="G11" s="630"/>
      <c r="H11" s="630"/>
    </row>
    <row r="13" spans="2:10" x14ac:dyDescent="0.2">
      <c r="C13" s="97" t="s">
        <v>104</v>
      </c>
      <c r="D13" s="98" t="s">
        <v>105</v>
      </c>
      <c r="E13" s="98" t="s">
        <v>106</v>
      </c>
      <c r="F13" s="98" t="s">
        <v>107</v>
      </c>
      <c r="G13" s="98" t="s">
        <v>108</v>
      </c>
      <c r="H13" s="98" t="s">
        <v>109</v>
      </c>
    </row>
    <row r="15" spans="2:10" ht="16" thickBot="1" x14ac:dyDescent="0.25">
      <c r="B15" s="128" t="s">
        <v>548</v>
      </c>
      <c r="C15" s="508"/>
      <c r="D15" s="508"/>
      <c r="E15" s="508"/>
      <c r="F15" s="508"/>
      <c r="G15" s="508"/>
      <c r="H15" s="508"/>
      <c r="J15" s="384" t="s">
        <v>60</v>
      </c>
    </row>
    <row r="16" spans="2:10" x14ac:dyDescent="0.2">
      <c r="B16" s="3" t="s">
        <v>524</v>
      </c>
      <c r="C16" s="529">
        <f>'Rev Build - PF1 - Airless Spray'!C58</f>
        <v>725.38512000000003</v>
      </c>
      <c r="D16" s="529">
        <f>'Rev Build - PF1 - Airless Spray'!D58</f>
        <v>754.34308512500002</v>
      </c>
      <c r="E16" s="529">
        <f>'Rev Build - PF1 - Airless Spray'!E58</f>
        <v>788.30640017440192</v>
      </c>
      <c r="F16" s="529">
        <f>'Rev Build - PF1 - Airless Spray'!F58</f>
        <v>827.32613087614004</v>
      </c>
      <c r="G16" s="529">
        <f>'Rev Build - PF1 - Airless Spray'!G58</f>
        <v>848.20262524911379</v>
      </c>
      <c r="H16" s="529">
        <f>'Rev Build - PF1 - Airless Spray'!H58</f>
        <v>892.09988968509799</v>
      </c>
      <c r="J16" s="4" t="s">
        <v>527</v>
      </c>
    </row>
    <row r="17" spans="2:10" x14ac:dyDescent="0.2">
      <c r="B17" s="226" t="s">
        <v>468</v>
      </c>
      <c r="C17" s="3"/>
      <c r="D17" s="468">
        <f>D16/C16-1</f>
        <v>3.9920814925180625E-2</v>
      </c>
      <c r="E17" s="468">
        <f t="shared" ref="E17:H17" si="0">E16/D16-1</f>
        <v>4.5023697730024237E-2</v>
      </c>
      <c r="F17" s="468">
        <f t="shared" si="0"/>
        <v>4.9498178237682211E-2</v>
      </c>
      <c r="G17" s="468">
        <f t="shared" si="0"/>
        <v>2.5233693937438462E-2</v>
      </c>
      <c r="H17" s="468">
        <f t="shared" si="0"/>
        <v>5.1753275843837043E-2</v>
      </c>
    </row>
    <row r="18" spans="2:10" x14ac:dyDescent="0.2">
      <c r="B18" s="3" t="s">
        <v>525</v>
      </c>
      <c r="C18" s="529">
        <f>'Rev Build - PF2  - Powder Coat'!C70</f>
        <v>187.27495920000001</v>
      </c>
      <c r="D18" s="529">
        <f>'Rev Build - PF2  - Powder Coat'!D70</f>
        <v>201.0198799904</v>
      </c>
      <c r="E18" s="529">
        <f>'Rev Build - PF2  - Powder Coat'!E70</f>
        <v>215.9953740297517</v>
      </c>
      <c r="F18" s="529">
        <f>'Rev Build - PF2  - Powder Coat'!F70</f>
        <v>234.2144868521963</v>
      </c>
      <c r="G18" s="529">
        <f>'Rev Build - PF2  - Powder Coat'!G70</f>
        <v>248.27635469784266</v>
      </c>
      <c r="H18" s="529">
        <f>'Rev Build - PF2  - Powder Coat'!H70</f>
        <v>266.4034321963876</v>
      </c>
      <c r="J18" s="4" t="s">
        <v>528</v>
      </c>
    </row>
    <row r="19" spans="2:10" x14ac:dyDescent="0.2">
      <c r="B19" s="226" t="s">
        <v>468</v>
      </c>
      <c r="C19" s="3"/>
      <c r="D19" s="468">
        <f>D18/C18-1</f>
        <v>7.3394333386136879E-2</v>
      </c>
      <c r="E19" s="468">
        <f t="shared" ref="E19:H19" si="1">E18/D18-1</f>
        <v>7.449757725488082E-2</v>
      </c>
      <c r="F19" s="468">
        <f t="shared" si="1"/>
        <v>8.4349551022954161E-2</v>
      </c>
      <c r="G19" s="468">
        <f t="shared" si="1"/>
        <v>6.0038420486433264E-2</v>
      </c>
      <c r="H19" s="468">
        <f t="shared" si="1"/>
        <v>7.301169505491556E-2</v>
      </c>
    </row>
    <row r="20" spans="2:10" x14ac:dyDescent="0.2">
      <c r="B20" s="532" t="s">
        <v>549</v>
      </c>
      <c r="C20" s="360"/>
      <c r="D20" s="533"/>
      <c r="E20" s="533"/>
      <c r="F20" s="533"/>
      <c r="G20" s="533"/>
      <c r="H20" s="533"/>
    </row>
    <row r="21" spans="2:10" x14ac:dyDescent="0.2">
      <c r="B21" s="530" t="s">
        <v>526</v>
      </c>
      <c r="C21" s="510">
        <f>C16+C18</f>
        <v>912.66007920000004</v>
      </c>
      <c r="D21" s="510">
        <f>D16+D18</f>
        <v>955.36296511540002</v>
      </c>
      <c r="E21" s="510">
        <f t="shared" ref="E21:H21" si="2">E16+E18</f>
        <v>1004.3017742041536</v>
      </c>
      <c r="F21" s="510">
        <f t="shared" si="2"/>
        <v>1061.5406177283364</v>
      </c>
      <c r="G21" s="510">
        <f t="shared" si="2"/>
        <v>1096.4789799469565</v>
      </c>
      <c r="H21" s="510">
        <f t="shared" si="2"/>
        <v>1158.5033218814856</v>
      </c>
    </row>
    <row r="22" spans="2:10" x14ac:dyDescent="0.2">
      <c r="B22" s="3"/>
      <c r="C22" s="3"/>
      <c r="D22" s="3"/>
      <c r="E22" s="3"/>
      <c r="F22" s="3"/>
      <c r="G22" s="3"/>
      <c r="H22" s="3"/>
    </row>
    <row r="23" spans="2:10" ht="16" thickBot="1" x14ac:dyDescent="0.25">
      <c r="B23" s="128" t="s">
        <v>550</v>
      </c>
      <c r="C23" s="508"/>
      <c r="D23" s="508"/>
      <c r="E23" s="508"/>
      <c r="F23" s="508"/>
      <c r="G23" s="508"/>
      <c r="H23" s="508"/>
    </row>
    <row r="24" spans="2:10" x14ac:dyDescent="0.2">
      <c r="B24" s="3" t="s">
        <v>485</v>
      </c>
      <c r="C24" s="529">
        <f>'Rev Build - PF1 - Airless Spray'!C55+'Rev Build - PF2  - Powder Coat'!C66</f>
        <v>648.65</v>
      </c>
      <c r="D24" s="529">
        <f>'Rev Build - PF1 - Airless Spray'!D55+'Rev Build - PF2  - Powder Coat'!D66</f>
        <v>676.81878749999998</v>
      </c>
      <c r="E24" s="529">
        <f>'Rev Build - PF1 - Airless Spray'!E55+'Rev Build - PF2  - Powder Coat'!E66</f>
        <v>710.92177600125001</v>
      </c>
      <c r="F24" s="529">
        <f>'Rev Build - PF1 - Airless Spray'!F55+'Rev Build - PF2  - Powder Coat'!F66</f>
        <v>746.43502313223803</v>
      </c>
      <c r="G24" s="529">
        <f>'Rev Build - PF1 - Airless Spray'!G55+'Rev Build - PF2  - Powder Coat'!G66</f>
        <v>778.21273359458485</v>
      </c>
      <c r="H24" s="529">
        <f>'Rev Build - PF1 - Airless Spray'!H55+'Rev Build - PF2  - Powder Coat'!H66</f>
        <v>806.93460122831311</v>
      </c>
    </row>
    <row r="25" spans="2:10" x14ac:dyDescent="0.2">
      <c r="B25" s="3" t="s">
        <v>486</v>
      </c>
      <c r="C25" s="529">
        <f>'Rev Build - PF1 - Airless Spray'!C56+'Rev Build - PF2  - Powder Coat'!C67</f>
        <v>223.65000000000003</v>
      </c>
      <c r="D25" s="529">
        <f>'Rev Build - PF1 - Airless Spray'!D56+'Rev Build - PF2  - Powder Coat'!D67</f>
        <v>236.34611749999999</v>
      </c>
      <c r="E25" s="529">
        <f>'Rev Build - PF1 - Airless Spray'!E56+'Rev Build - PF2  - Powder Coat'!E67</f>
        <v>249.03444540493746</v>
      </c>
      <c r="F25" s="529">
        <f>'Rev Build - PF1 - Airless Spray'!F56+'Rev Build - PF2  - Powder Coat'!F67</f>
        <v>262.15420126976966</v>
      </c>
      <c r="G25" s="529">
        <f>'Rev Build - PF1 - Airless Spray'!G56+'Rev Build - PF2  - Powder Coat'!G67</f>
        <v>273.55927314282849</v>
      </c>
      <c r="H25" s="529">
        <f>'Rev Build - PF1 - Airless Spray'!H56+'Rev Build - PF2  - Powder Coat'!H67</f>
        <v>284.89660963154029</v>
      </c>
    </row>
    <row r="26" spans="2:10" x14ac:dyDescent="0.2">
      <c r="B26" s="3" t="s">
        <v>522</v>
      </c>
      <c r="C26" s="529">
        <f>'Rev Build - PF2  - Powder Coat'!C68</f>
        <v>32.173999999999992</v>
      </c>
      <c r="D26" s="529">
        <f>'Rev Build - PF2  - Powder Coat'!D68</f>
        <v>36.688907999999998</v>
      </c>
      <c r="E26" s="529">
        <f>'Rev Build - PF2  - Powder Coat'!E68</f>
        <v>42.215734770299996</v>
      </c>
      <c r="F26" s="529">
        <f>'Rev Build - PF2  - Powder Coat'!F68</f>
        <v>47.835663109919366</v>
      </c>
      <c r="G26" s="529">
        <f>'Rev Build - PF2  - Powder Coat'!G68</f>
        <v>54.179024222722688</v>
      </c>
      <c r="H26" s="529">
        <f>'Rev Build - PF2  - Powder Coat'!H68</f>
        <v>60.325770291106537</v>
      </c>
      <c r="J26" s="4" t="s">
        <v>530</v>
      </c>
    </row>
    <row r="27" spans="2:10" x14ac:dyDescent="0.2">
      <c r="B27" s="3" t="s">
        <v>487</v>
      </c>
      <c r="C27" s="529">
        <f>'Rev Build - PF1 - Airless Spray'!C57+'Rev Build - PF2  - Powder Coat'!C69</f>
        <v>8.1860792000000018</v>
      </c>
      <c r="D27" s="529">
        <f>'Rev Build - PF1 - Airless Spray'!D57+'Rev Build - PF2  - Powder Coat'!D69</f>
        <v>5.5091521153999992</v>
      </c>
      <c r="E27" s="529">
        <f>'Rev Build - PF1 - Airless Spray'!E57+'Rev Build - PF2  - Powder Coat'!E69</f>
        <v>2.1298180276661887</v>
      </c>
      <c r="F27" s="529">
        <f>'Rev Build - PF1 - Airless Spray'!F57+'Rev Build - PF2  - Powder Coat'!F69</f>
        <v>5.115730216409311</v>
      </c>
      <c r="G27" s="529">
        <f>'Rev Build - PF1 - Airless Spray'!G57+'Rev Build - PF2  - Powder Coat'!G69</f>
        <v>-9.4720510131795379</v>
      </c>
      <c r="H27" s="529">
        <f>'Rev Build - PF1 - Airless Spray'!H57+'Rev Build - PF2  - Powder Coat'!H69</f>
        <v>6.3463407305257089</v>
      </c>
    </row>
    <row r="28" spans="2:10" x14ac:dyDescent="0.2">
      <c r="B28" s="532" t="s">
        <v>549</v>
      </c>
      <c r="C28" s="534"/>
      <c r="D28" s="534"/>
      <c r="E28" s="534"/>
      <c r="F28" s="534"/>
      <c r="G28" s="534"/>
      <c r="H28" s="534"/>
    </row>
    <row r="29" spans="2:10" x14ac:dyDescent="0.2">
      <c r="B29" s="530" t="s">
        <v>529</v>
      </c>
      <c r="C29" s="510">
        <f>SUM(C24:C27)</f>
        <v>912.66007919999993</v>
      </c>
      <c r="D29" s="510">
        <f>SUM(D24:D27)</f>
        <v>955.3629651153999</v>
      </c>
      <c r="E29" s="510">
        <f t="shared" ref="E29:H29" si="3">SUM(E24:E27)</f>
        <v>1004.3017742041536</v>
      </c>
      <c r="F29" s="510">
        <f t="shared" si="3"/>
        <v>1061.5406177283362</v>
      </c>
      <c r="G29" s="510">
        <f t="shared" si="3"/>
        <v>1096.4789799469568</v>
      </c>
      <c r="H29" s="510">
        <f t="shared" si="3"/>
        <v>1158.5033218814856</v>
      </c>
    </row>
    <row r="30" spans="2:10" x14ac:dyDescent="0.2">
      <c r="B30" s="3"/>
      <c r="C30" s="3"/>
      <c r="D30" s="3"/>
      <c r="E30" s="3"/>
      <c r="F30" s="3"/>
      <c r="G30" s="3"/>
      <c r="H30" s="3"/>
    </row>
    <row r="31" spans="2:10" ht="16" thickBot="1" x14ac:dyDescent="0.25">
      <c r="B31" s="128" t="s">
        <v>551</v>
      </c>
      <c r="C31" s="508"/>
      <c r="D31" s="508"/>
      <c r="E31" s="508"/>
      <c r="F31" s="508"/>
      <c r="G31" s="508"/>
      <c r="H31" s="508"/>
    </row>
    <row r="32" spans="2:10" x14ac:dyDescent="0.2">
      <c r="B32" s="3" t="s">
        <v>531</v>
      </c>
      <c r="C32" s="531">
        <v>32</v>
      </c>
      <c r="D32" s="531">
        <v>48</v>
      </c>
      <c r="E32" s="531">
        <v>52</v>
      </c>
      <c r="F32" s="531">
        <v>56</v>
      </c>
      <c r="G32" s="531">
        <v>60</v>
      </c>
      <c r="H32" s="531">
        <v>63</v>
      </c>
      <c r="J32" s="4" t="s">
        <v>535</v>
      </c>
    </row>
    <row r="33" spans="2:10" x14ac:dyDescent="0.2">
      <c r="B33" s="3" t="s">
        <v>532</v>
      </c>
      <c r="C33" s="531">
        <v>8</v>
      </c>
      <c r="D33" s="531">
        <v>22</v>
      </c>
      <c r="E33" s="531">
        <v>24</v>
      </c>
      <c r="F33" s="531">
        <v>26</v>
      </c>
      <c r="G33" s="531">
        <v>28</v>
      </c>
      <c r="H33" s="531">
        <v>30</v>
      </c>
      <c r="J33" s="4" t="s">
        <v>536</v>
      </c>
    </row>
    <row r="34" spans="2:10" x14ac:dyDescent="0.2">
      <c r="B34" s="3" t="s">
        <v>533</v>
      </c>
      <c r="C34" s="531">
        <v>0</v>
      </c>
      <c r="D34" s="531">
        <v>0</v>
      </c>
      <c r="E34" s="531">
        <v>15</v>
      </c>
      <c r="F34" s="531">
        <v>35</v>
      </c>
      <c r="G34" s="531">
        <v>45</v>
      </c>
      <c r="H34" s="531">
        <v>55</v>
      </c>
      <c r="J34" s="4" t="s">
        <v>466</v>
      </c>
    </row>
    <row r="35" spans="2:10" x14ac:dyDescent="0.2">
      <c r="B35" s="532" t="s">
        <v>549</v>
      </c>
      <c r="C35" s="534"/>
      <c r="D35" s="534"/>
      <c r="E35" s="534"/>
      <c r="F35" s="534"/>
      <c r="G35" s="534"/>
      <c r="H35" s="534"/>
      <c r="J35" s="226"/>
    </row>
    <row r="36" spans="2:10" x14ac:dyDescent="0.2">
      <c r="B36" s="530" t="s">
        <v>534</v>
      </c>
      <c r="C36" s="510">
        <f t="shared" ref="C36:H36" si="4">SUM(C32:C34)</f>
        <v>40</v>
      </c>
      <c r="D36" s="510">
        <f t="shared" si="4"/>
        <v>70</v>
      </c>
      <c r="E36" s="510">
        <f t="shared" si="4"/>
        <v>91</v>
      </c>
      <c r="F36" s="510">
        <f t="shared" si="4"/>
        <v>117</v>
      </c>
      <c r="G36" s="510">
        <f t="shared" si="4"/>
        <v>133</v>
      </c>
      <c r="H36" s="510">
        <f t="shared" si="4"/>
        <v>148</v>
      </c>
    </row>
    <row r="37" spans="2:10" x14ac:dyDescent="0.2">
      <c r="B37" s="3"/>
      <c r="C37" s="3"/>
      <c r="D37" s="3"/>
      <c r="E37" s="3"/>
      <c r="F37" s="3"/>
      <c r="G37" s="3"/>
      <c r="H37" s="3"/>
    </row>
    <row r="38" spans="2:10" ht="16" thickBot="1" x14ac:dyDescent="0.25">
      <c r="B38" s="128" t="s">
        <v>552</v>
      </c>
      <c r="C38" s="508"/>
      <c r="D38" s="508"/>
      <c r="E38" s="508"/>
      <c r="F38" s="508"/>
      <c r="G38" s="508"/>
      <c r="H38" s="508"/>
    </row>
    <row r="39" spans="2:10" x14ac:dyDescent="0.2">
      <c r="B39" s="3" t="s">
        <v>537</v>
      </c>
      <c r="C39" s="477">
        <f t="shared" ref="C39:H39" si="5">C29</f>
        <v>912.66007919999993</v>
      </c>
      <c r="D39" s="477">
        <f t="shared" si="5"/>
        <v>955.3629651153999</v>
      </c>
      <c r="E39" s="477">
        <f t="shared" si="5"/>
        <v>1004.3017742041536</v>
      </c>
      <c r="F39" s="477">
        <f t="shared" si="5"/>
        <v>1061.5406177283362</v>
      </c>
      <c r="G39" s="477">
        <f t="shared" si="5"/>
        <v>1096.4789799469568</v>
      </c>
      <c r="H39" s="477">
        <f t="shared" si="5"/>
        <v>1158.5033218814856</v>
      </c>
    </row>
    <row r="40" spans="2:10" x14ac:dyDescent="0.2">
      <c r="B40" s="3" t="s">
        <v>538</v>
      </c>
      <c r="C40" s="477">
        <f t="shared" ref="C40:H40" si="6">C36</f>
        <v>40</v>
      </c>
      <c r="D40" s="477">
        <f t="shared" si="6"/>
        <v>70</v>
      </c>
      <c r="E40" s="477">
        <f t="shared" si="6"/>
        <v>91</v>
      </c>
      <c r="F40" s="477">
        <f t="shared" si="6"/>
        <v>117</v>
      </c>
      <c r="G40" s="477">
        <f t="shared" si="6"/>
        <v>133</v>
      </c>
      <c r="H40" s="477">
        <f t="shared" si="6"/>
        <v>148</v>
      </c>
    </row>
    <row r="41" spans="2:10" x14ac:dyDescent="0.2">
      <c r="B41" s="532" t="s">
        <v>549</v>
      </c>
      <c r="C41" s="534"/>
      <c r="D41" s="534"/>
      <c r="E41" s="534"/>
      <c r="F41" s="534"/>
      <c r="G41" s="534"/>
      <c r="H41" s="534"/>
    </row>
    <row r="42" spans="2:10" x14ac:dyDescent="0.2">
      <c r="B42" s="478" t="s">
        <v>539</v>
      </c>
      <c r="C42" s="479">
        <f t="shared" ref="C42:H42" si="7">C39+C40</f>
        <v>952.66007919999993</v>
      </c>
      <c r="D42" s="479">
        <f t="shared" si="7"/>
        <v>1025.3629651153999</v>
      </c>
      <c r="E42" s="479">
        <f t="shared" si="7"/>
        <v>1095.3017742041536</v>
      </c>
      <c r="F42" s="479">
        <f t="shared" si="7"/>
        <v>1178.5406177283362</v>
      </c>
      <c r="G42" s="479">
        <f t="shared" si="7"/>
        <v>1229.4789799469568</v>
      </c>
      <c r="H42" s="479">
        <f t="shared" si="7"/>
        <v>1306.5033218814856</v>
      </c>
    </row>
    <row r="43" spans="2:10" x14ac:dyDescent="0.2">
      <c r="B43" s="226" t="s">
        <v>468</v>
      </c>
      <c r="C43" s="3"/>
      <c r="D43" s="468">
        <f>D42/C42-1</f>
        <v>7.631566337539053E-2</v>
      </c>
      <c r="E43" s="468">
        <f>E42/D42-1</f>
        <v>6.8208830890320371E-2</v>
      </c>
      <c r="F43" s="468">
        <f>F42/E42-1</f>
        <v>7.5996264668396041E-2</v>
      </c>
      <c r="G43" s="468">
        <f>G42/F42-1</f>
        <v>4.3221558470174282E-2</v>
      </c>
      <c r="H43" s="468">
        <f>H42/G42-1</f>
        <v>6.2647953475261531E-2</v>
      </c>
    </row>
    <row r="45" spans="2:10" ht="16" thickBot="1" x14ac:dyDescent="0.25">
      <c r="B45" s="481" t="s">
        <v>554</v>
      </c>
      <c r="C45" s="482"/>
      <c r="D45" s="482"/>
      <c r="E45" s="482"/>
      <c r="F45" s="482"/>
      <c r="G45" s="482"/>
      <c r="H45" s="482"/>
    </row>
    <row r="46" spans="2:10" x14ac:dyDescent="0.2">
      <c r="B46" s="631" t="s">
        <v>555</v>
      </c>
      <c r="C46" s="631"/>
      <c r="D46" s="631"/>
      <c r="E46" s="631"/>
      <c r="F46" s="631"/>
      <c r="G46" s="631"/>
      <c r="H46" s="631"/>
    </row>
    <row r="47" spans="2:10" x14ac:dyDescent="0.2">
      <c r="B47" s="632"/>
      <c r="C47" s="632"/>
      <c r="D47" s="632"/>
      <c r="E47" s="632"/>
      <c r="F47" s="632"/>
      <c r="G47" s="632"/>
      <c r="H47" s="632"/>
    </row>
    <row r="48" spans="2:10" x14ac:dyDescent="0.2">
      <c r="B48" s="632"/>
      <c r="C48" s="632"/>
      <c r="D48" s="632"/>
      <c r="E48" s="632"/>
      <c r="F48" s="632"/>
      <c r="G48" s="632"/>
      <c r="H48" s="632"/>
    </row>
    <row r="49" spans="2:8" x14ac:dyDescent="0.2">
      <c r="B49" s="632"/>
      <c r="C49" s="632"/>
      <c r="D49" s="632"/>
      <c r="E49" s="632"/>
      <c r="F49" s="632"/>
      <c r="G49" s="632"/>
      <c r="H49" s="632"/>
    </row>
    <row r="50" spans="2:8" x14ac:dyDescent="0.2">
      <c r="B50" s="632"/>
      <c r="C50" s="632"/>
      <c r="D50" s="632"/>
      <c r="E50" s="632"/>
      <c r="F50" s="632"/>
      <c r="G50" s="632"/>
      <c r="H50" s="632"/>
    </row>
    <row r="51" spans="2:8" x14ac:dyDescent="0.2">
      <c r="B51" s="632"/>
      <c r="C51" s="632"/>
      <c r="D51" s="632"/>
      <c r="E51" s="632"/>
      <c r="F51" s="632"/>
      <c r="G51" s="632"/>
      <c r="H51" s="632"/>
    </row>
    <row r="52" spans="2:8" x14ac:dyDescent="0.2">
      <c r="B52" s="632"/>
      <c r="C52" s="632"/>
      <c r="D52" s="632"/>
      <c r="E52" s="632"/>
      <c r="F52" s="632"/>
      <c r="G52" s="632"/>
      <c r="H52" s="632"/>
    </row>
  </sheetData>
  <mergeCells count="2">
    <mergeCell ref="B4:H11"/>
    <mergeCell ref="B46:H5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E31C-639E-9447-B8F0-DC1B9A859048}">
  <sheetPr>
    <tabColor theme="9" tint="0.79998168889431442"/>
  </sheetPr>
  <dimension ref="B2:J59"/>
  <sheetViews>
    <sheetView showGridLines="0" zoomScaleNormal="100" workbookViewId="0">
      <pane xSplit="1" ySplit="10" topLeftCell="B11" activePane="bottomRight" state="frozen"/>
      <selection activeCell="C42" sqref="C42"/>
      <selection pane="topRight" activeCell="C42" sqref="C42"/>
      <selection pane="bottomLeft" activeCell="C42" sqref="C42"/>
      <selection pane="bottomRight"/>
    </sheetView>
  </sheetViews>
  <sheetFormatPr baseColWidth="10" defaultRowHeight="14" outlineLevelRow="1" x14ac:dyDescent="0.2"/>
  <cols>
    <col min="1" max="1" width="2.33203125" style="3" customWidth="1"/>
    <col min="2" max="2" width="40" style="3" customWidth="1"/>
    <col min="3" max="8" width="14.1640625" style="3" customWidth="1"/>
    <col min="9" max="9" width="3" style="3" customWidth="1"/>
    <col min="10" max="10" width="43.33203125" style="3" customWidth="1"/>
    <col min="11" max="16384" width="10.83203125" style="3"/>
  </cols>
  <sheetData>
    <row r="2" spans="2:10" ht="15" x14ac:dyDescent="0.2">
      <c r="B2" s="460" t="s">
        <v>489</v>
      </c>
    </row>
    <row r="3" spans="2:10" x14ac:dyDescent="0.2">
      <c r="B3" s="466"/>
    </row>
    <row r="4" spans="2:10" ht="14" customHeight="1" x14ac:dyDescent="0.2">
      <c r="B4" s="633" t="s">
        <v>540</v>
      </c>
      <c r="C4" s="633"/>
      <c r="D4" s="633"/>
      <c r="E4" s="633"/>
      <c r="F4" s="633"/>
      <c r="G4" s="633"/>
      <c r="H4" s="633"/>
    </row>
    <row r="5" spans="2:10" x14ac:dyDescent="0.2">
      <c r="B5" s="633"/>
      <c r="C5" s="633"/>
      <c r="D5" s="633"/>
      <c r="E5" s="633"/>
      <c r="F5" s="633"/>
      <c r="G5" s="633"/>
      <c r="H5" s="633"/>
    </row>
    <row r="6" spans="2:10" x14ac:dyDescent="0.2">
      <c r="B6" s="633"/>
      <c r="C6" s="633"/>
      <c r="D6" s="633"/>
      <c r="E6" s="633"/>
      <c r="F6" s="633"/>
      <c r="G6" s="633"/>
      <c r="H6" s="633"/>
    </row>
    <row r="7" spans="2:10" x14ac:dyDescent="0.2">
      <c r="B7" s="633"/>
      <c r="C7" s="633"/>
      <c r="D7" s="633"/>
      <c r="E7" s="633"/>
      <c r="F7" s="633"/>
      <c r="G7" s="633"/>
      <c r="H7" s="633"/>
    </row>
    <row r="8" spans="2:10" x14ac:dyDescent="0.2">
      <c r="B8" s="633"/>
      <c r="C8" s="633"/>
      <c r="D8" s="633"/>
      <c r="E8" s="633"/>
      <c r="F8" s="633"/>
      <c r="G8" s="633"/>
      <c r="H8" s="633"/>
    </row>
    <row r="9" spans="2:10" x14ac:dyDescent="0.2">
      <c r="B9" s="472"/>
      <c r="C9" s="472"/>
      <c r="D9" s="472"/>
      <c r="E9" s="472"/>
      <c r="F9" s="472"/>
      <c r="G9" s="472"/>
      <c r="H9" s="472"/>
    </row>
    <row r="10" spans="2:10" ht="15" x14ac:dyDescent="0.2">
      <c r="C10" s="97" t="s">
        <v>104</v>
      </c>
      <c r="D10" s="98" t="s">
        <v>105</v>
      </c>
      <c r="E10" s="98" t="s">
        <v>106</v>
      </c>
      <c r="F10" s="98" t="s">
        <v>107</v>
      </c>
      <c r="G10" s="98" t="s">
        <v>108</v>
      </c>
      <c r="H10" s="98" t="s">
        <v>109</v>
      </c>
    </row>
    <row r="11" spans="2:10" ht="15" x14ac:dyDescent="0.2">
      <c r="B11" s="465"/>
      <c r="C11" s="471"/>
      <c r="D11" s="471"/>
      <c r="E11" s="471"/>
      <c r="F11" s="471"/>
      <c r="G11" s="471"/>
      <c r="H11" s="471"/>
    </row>
    <row r="12" spans="2:10" ht="15" thickBot="1" x14ac:dyDescent="0.25">
      <c r="B12" s="128" t="s">
        <v>521</v>
      </c>
      <c r="C12" s="128"/>
      <c r="D12" s="128"/>
      <c r="E12" s="128"/>
      <c r="F12" s="128"/>
      <c r="G12" s="128"/>
      <c r="H12" s="128"/>
      <c r="I12" s="130"/>
      <c r="J12" s="469" t="s">
        <v>60</v>
      </c>
    </row>
    <row r="13" spans="2:10" x14ac:dyDescent="0.2">
      <c r="B13" s="485" t="s">
        <v>469</v>
      </c>
      <c r="C13" s="486"/>
      <c r="D13" s="486"/>
      <c r="E13" s="486"/>
      <c r="F13" s="486"/>
      <c r="G13" s="486"/>
      <c r="H13" s="486"/>
    </row>
    <row r="14" spans="2:10" x14ac:dyDescent="0.2">
      <c r="B14" s="487" t="s">
        <v>453</v>
      </c>
      <c r="C14" s="425">
        <v>125</v>
      </c>
      <c r="D14" s="271">
        <f>C14*(1+D15)</f>
        <v>127.5</v>
      </c>
      <c r="E14" s="271">
        <f>D14*(1+E15)</f>
        <v>131.32500000000002</v>
      </c>
      <c r="F14" s="271">
        <f>E14*(1+F15)</f>
        <v>135.26475000000002</v>
      </c>
      <c r="G14" s="271">
        <f>F14*(1+G15)</f>
        <v>138.64636875000002</v>
      </c>
      <c r="H14" s="271">
        <f>G14*(1+H15)</f>
        <v>141.41929612500002</v>
      </c>
      <c r="J14" s="226"/>
    </row>
    <row r="15" spans="2:10" x14ac:dyDescent="0.2">
      <c r="B15" s="488" t="s">
        <v>454</v>
      </c>
      <c r="C15" s="146"/>
      <c r="D15" s="489">
        <v>0.02</v>
      </c>
      <c r="E15" s="489">
        <v>0.03</v>
      </c>
      <c r="F15" s="489">
        <v>0.03</v>
      </c>
      <c r="G15" s="489">
        <v>2.5000000000000001E-2</v>
      </c>
      <c r="H15" s="489">
        <v>0.02</v>
      </c>
    </row>
    <row r="16" spans="2:10" x14ac:dyDescent="0.2">
      <c r="B16" s="487" t="s">
        <v>455</v>
      </c>
      <c r="C16" s="490">
        <v>2400</v>
      </c>
      <c r="D16" s="491">
        <f>C16*(1+D17)</f>
        <v>2472</v>
      </c>
      <c r="E16" s="491">
        <f>D16*(1+E17)</f>
        <v>2533.7999999999997</v>
      </c>
      <c r="F16" s="491">
        <f>E16*(1+F17)</f>
        <v>2597.1449999999995</v>
      </c>
      <c r="G16" s="491">
        <f>F16*(1+G17)</f>
        <v>2649.0878999999995</v>
      </c>
      <c r="H16" s="491">
        <f>G16*(1+H17)</f>
        <v>2702.0696579999994</v>
      </c>
      <c r="J16" s="226"/>
    </row>
    <row r="17" spans="2:10" x14ac:dyDescent="0.2">
      <c r="B17" s="488" t="s">
        <v>456</v>
      </c>
      <c r="C17" s="146"/>
      <c r="D17" s="489">
        <v>0.03</v>
      </c>
      <c r="E17" s="489">
        <v>2.5000000000000001E-2</v>
      </c>
      <c r="F17" s="489">
        <v>2.5000000000000001E-2</v>
      </c>
      <c r="G17" s="489">
        <v>0.02</v>
      </c>
      <c r="H17" s="489">
        <v>0.02</v>
      </c>
    </row>
    <row r="18" spans="2:10" x14ac:dyDescent="0.2">
      <c r="B18" s="470" t="s">
        <v>457</v>
      </c>
      <c r="C18" s="473">
        <f t="shared" ref="C18:H18" si="0">C14*C16/1000</f>
        <v>300</v>
      </c>
      <c r="D18" s="473">
        <f>D14*D16/1000</f>
        <v>315.18</v>
      </c>
      <c r="E18" s="473">
        <f t="shared" si="0"/>
        <v>332.75128500000005</v>
      </c>
      <c r="F18" s="473">
        <f t="shared" si="0"/>
        <v>351.30216913875</v>
      </c>
      <c r="G18" s="473">
        <f t="shared" si="0"/>
        <v>367.28641783456311</v>
      </c>
      <c r="H18" s="473">
        <f t="shared" si="0"/>
        <v>382.12478911507947</v>
      </c>
    </row>
    <row r="19" spans="2:10" x14ac:dyDescent="0.2">
      <c r="B19" s="130" t="s">
        <v>470</v>
      </c>
    </row>
    <row r="20" spans="2:10" x14ac:dyDescent="0.2">
      <c r="B20" s="80" t="s">
        <v>453</v>
      </c>
      <c r="C20" s="425">
        <v>195</v>
      </c>
      <c r="D20" s="492">
        <f>C20*(1+D21)</f>
        <v>196.95</v>
      </c>
      <c r="E20" s="492">
        <f>D20*(1+E21)</f>
        <v>200.88899999999998</v>
      </c>
      <c r="F20" s="492">
        <f>E20*(1+F21)</f>
        <v>204.90678</v>
      </c>
      <c r="G20" s="492">
        <f>F20*(1+G21)</f>
        <v>209.0049156</v>
      </c>
      <c r="H20" s="492">
        <f>G20*(1+H21)</f>
        <v>212.13998933399998</v>
      </c>
    </row>
    <row r="21" spans="2:10" x14ac:dyDescent="0.2">
      <c r="B21" s="80" t="s">
        <v>454</v>
      </c>
      <c r="C21" s="5"/>
      <c r="D21" s="493">
        <v>0.01</v>
      </c>
      <c r="E21" s="493">
        <v>0.02</v>
      </c>
      <c r="F21" s="493">
        <v>0.02</v>
      </c>
      <c r="G21" s="493">
        <v>0.02</v>
      </c>
      <c r="H21" s="493">
        <v>1.4999999999999999E-2</v>
      </c>
    </row>
    <row r="22" spans="2:10" x14ac:dyDescent="0.2">
      <c r="B22" s="80" t="s">
        <v>455</v>
      </c>
      <c r="C22" s="490">
        <v>750</v>
      </c>
      <c r="D22" s="494">
        <f>C22*(1+D23)</f>
        <v>768.74999999999989</v>
      </c>
      <c r="E22" s="494">
        <f>D22*(1+E23)</f>
        <v>784.12499999999989</v>
      </c>
      <c r="F22" s="494">
        <f>E22*(1+F23)</f>
        <v>799.80749999999989</v>
      </c>
      <c r="G22" s="494">
        <f>F22*(1+G23)</f>
        <v>811.80461249999985</v>
      </c>
      <c r="H22" s="494">
        <f>G22*(1+H23)</f>
        <v>823.98168168749976</v>
      </c>
    </row>
    <row r="23" spans="2:10" x14ac:dyDescent="0.2">
      <c r="B23" s="80" t="s">
        <v>456</v>
      </c>
      <c r="C23" s="5"/>
      <c r="D23" s="493">
        <v>2.5000000000000001E-2</v>
      </c>
      <c r="E23" s="493">
        <v>0.02</v>
      </c>
      <c r="F23" s="493">
        <v>0.02</v>
      </c>
      <c r="G23" s="493">
        <v>1.4999999999999999E-2</v>
      </c>
      <c r="H23" s="493">
        <v>1.4999999999999999E-2</v>
      </c>
      <c r="J23" s="4"/>
    </row>
    <row r="24" spans="2:10" x14ac:dyDescent="0.2">
      <c r="B24" s="470" t="s">
        <v>458</v>
      </c>
      <c r="C24" s="473">
        <f t="shared" ref="C24:H24" si="1">C20*C22/1000</f>
        <v>146.25</v>
      </c>
      <c r="D24" s="473">
        <f>D20*D22/1000</f>
        <v>151.40531249999998</v>
      </c>
      <c r="E24" s="473">
        <f t="shared" si="1"/>
        <v>157.52208712499996</v>
      </c>
      <c r="F24" s="473">
        <f t="shared" si="1"/>
        <v>163.88597944484997</v>
      </c>
      <c r="G24" s="473">
        <f t="shared" si="1"/>
        <v>169.67115451925318</v>
      </c>
      <c r="H24" s="473">
        <f t="shared" si="1"/>
        <v>174.79946516459756</v>
      </c>
      <c r="J24" s="4"/>
    </row>
    <row r="25" spans="2:10" x14ac:dyDescent="0.2">
      <c r="B25" s="130" t="s">
        <v>471</v>
      </c>
      <c r="J25" s="4"/>
    </row>
    <row r="26" spans="2:10" x14ac:dyDescent="0.2">
      <c r="B26" s="80" t="s">
        <v>453</v>
      </c>
      <c r="C26" s="425">
        <v>340</v>
      </c>
      <c r="D26" s="492">
        <f>C26*(1+D27)</f>
        <v>336.6</v>
      </c>
      <c r="E26" s="492">
        <f>D26*(1+E27)</f>
        <v>339.96600000000001</v>
      </c>
      <c r="F26" s="492">
        <f>E26*(1+F27)</f>
        <v>345.06548999999995</v>
      </c>
      <c r="G26" s="492">
        <f>F26*(1+G27)</f>
        <v>350.24147234999992</v>
      </c>
      <c r="H26" s="492">
        <f>G26*(1+H27)</f>
        <v>353.74388707349993</v>
      </c>
      <c r="J26" s="4"/>
    </row>
    <row r="27" spans="2:10" x14ac:dyDescent="0.2">
      <c r="B27" s="80" t="s">
        <v>454</v>
      </c>
      <c r="C27" s="5"/>
      <c r="D27" s="493">
        <v>-0.01</v>
      </c>
      <c r="E27" s="493">
        <v>0.01</v>
      </c>
      <c r="F27" s="493">
        <v>1.4999999999999999E-2</v>
      </c>
      <c r="G27" s="493">
        <v>1.4999999999999999E-2</v>
      </c>
      <c r="H27" s="493">
        <v>0.01</v>
      </c>
      <c r="J27" s="4"/>
    </row>
    <row r="28" spans="2:10" x14ac:dyDescent="0.2">
      <c r="B28" s="80" t="s">
        <v>455</v>
      </c>
      <c r="C28" s="490">
        <v>275</v>
      </c>
      <c r="D28" s="494">
        <f>C28*(1+D29)</f>
        <v>279.125</v>
      </c>
      <c r="E28" s="494">
        <f>D28*(1+E29)</f>
        <v>283.31187499999999</v>
      </c>
      <c r="F28" s="494">
        <f>E28*(1+F29)</f>
        <v>287.56155312499993</v>
      </c>
      <c r="G28" s="494">
        <f>F28*(1+G29)</f>
        <v>290.43716865624992</v>
      </c>
      <c r="H28" s="494">
        <f>G28*(1+H29)</f>
        <v>293.34154034281244</v>
      </c>
      <c r="J28" s="4"/>
    </row>
    <row r="29" spans="2:10" x14ac:dyDescent="0.2">
      <c r="B29" s="80" t="s">
        <v>456</v>
      </c>
      <c r="C29" s="5"/>
      <c r="D29" s="493">
        <v>1.4999999999999999E-2</v>
      </c>
      <c r="E29" s="493">
        <v>1.4999999999999999E-2</v>
      </c>
      <c r="F29" s="493">
        <v>1.4999999999999999E-2</v>
      </c>
      <c r="G29" s="493">
        <v>0.01</v>
      </c>
      <c r="H29" s="493">
        <v>0.01</v>
      </c>
      <c r="J29" s="4"/>
    </row>
    <row r="30" spans="2:10" x14ac:dyDescent="0.2">
      <c r="B30" s="470" t="s">
        <v>459</v>
      </c>
      <c r="C30" s="473">
        <f t="shared" ref="C30:H30" si="2">C26*C28/1000</f>
        <v>93.5</v>
      </c>
      <c r="D30" s="473">
        <f t="shared" si="2"/>
        <v>93.953475000000012</v>
      </c>
      <c r="E30" s="473">
        <f t="shared" si="2"/>
        <v>96.316404896249992</v>
      </c>
      <c r="F30" s="473">
        <f t="shared" si="2"/>
        <v>99.227568234239129</v>
      </c>
      <c r="G30" s="473">
        <f t="shared" si="2"/>
        <v>101.72314157533023</v>
      </c>
      <c r="H30" s="473">
        <f t="shared" si="2"/>
        <v>103.76777672099438</v>
      </c>
      <c r="J30" s="4"/>
    </row>
    <row r="31" spans="2:10" x14ac:dyDescent="0.2">
      <c r="B31" s="474" t="s">
        <v>460</v>
      </c>
      <c r="C31" s="475">
        <f t="shared" ref="C31:H31" si="3">C18+C24+C30</f>
        <v>539.75</v>
      </c>
      <c r="D31" s="475">
        <f t="shared" si="3"/>
        <v>560.53878750000001</v>
      </c>
      <c r="E31" s="475">
        <f t="shared" si="3"/>
        <v>586.58977702125003</v>
      </c>
      <c r="F31" s="475">
        <f t="shared" si="3"/>
        <v>614.4157168178391</v>
      </c>
      <c r="G31" s="475">
        <f t="shared" si="3"/>
        <v>638.68071392914658</v>
      </c>
      <c r="H31" s="475">
        <f t="shared" si="3"/>
        <v>660.69203100067136</v>
      </c>
      <c r="J31" s="4" t="s">
        <v>474</v>
      </c>
    </row>
    <row r="32" spans="2:10" x14ac:dyDescent="0.2">
      <c r="J32" s="4"/>
    </row>
    <row r="33" spans="2:10" x14ac:dyDescent="0.2">
      <c r="B33" s="147" t="s">
        <v>520</v>
      </c>
      <c r="C33" s="147"/>
      <c r="D33" s="147"/>
      <c r="E33" s="147"/>
      <c r="F33" s="147"/>
      <c r="G33" s="147"/>
      <c r="H33" s="147"/>
      <c r="J33" s="4"/>
    </row>
    <row r="34" spans="2:10" x14ac:dyDescent="0.2">
      <c r="B34" s="7" t="s">
        <v>461</v>
      </c>
      <c r="C34" s="497">
        <v>1.85</v>
      </c>
      <c r="D34" s="498">
        <f>C34*(1+D35)</f>
        <v>1.89625</v>
      </c>
      <c r="E34" s="498">
        <f>D34*(1+E35)</f>
        <v>1.9436562499999999</v>
      </c>
      <c r="F34" s="498">
        <f>E34*(1+F35)</f>
        <v>1.9922476562499998</v>
      </c>
      <c r="G34" s="498">
        <f>F34*(1+G35)</f>
        <v>2.0320926093749998</v>
      </c>
      <c r="H34" s="498">
        <f>G34*(1+H35)</f>
        <v>2.0727344615624999</v>
      </c>
      <c r="J34" s="4" t="s">
        <v>473</v>
      </c>
    </row>
    <row r="35" spans="2:10" x14ac:dyDescent="0.2">
      <c r="B35" s="146" t="s">
        <v>462</v>
      </c>
      <c r="C35" s="146"/>
      <c r="D35" s="489">
        <v>2.5000000000000001E-2</v>
      </c>
      <c r="E35" s="489">
        <v>2.5000000000000001E-2</v>
      </c>
      <c r="F35" s="489">
        <v>2.5000000000000001E-2</v>
      </c>
      <c r="G35" s="489">
        <v>0.02</v>
      </c>
      <c r="H35" s="489">
        <v>0.02</v>
      </c>
      <c r="J35" s="4"/>
    </row>
    <row r="36" spans="2:10" x14ac:dyDescent="0.2">
      <c r="B36" s="5" t="s">
        <v>463</v>
      </c>
      <c r="C36" s="490">
        <v>97</v>
      </c>
      <c r="D36" s="494">
        <f>C36*(1+D37)</f>
        <v>99.91</v>
      </c>
      <c r="E36" s="494">
        <f>D36*(1+E37)</f>
        <v>102.40774999999999</v>
      </c>
      <c r="F36" s="494">
        <f>E36*(1+F37)</f>
        <v>104.96794374999999</v>
      </c>
      <c r="G36" s="494">
        <f>F36*(1+G37)</f>
        <v>107.067302625</v>
      </c>
      <c r="H36" s="494">
        <f>G36*(1+H37)</f>
        <v>109.20864867749999</v>
      </c>
      <c r="J36" s="4" t="s">
        <v>465</v>
      </c>
    </row>
    <row r="37" spans="2:10" x14ac:dyDescent="0.2">
      <c r="B37" s="500" t="s">
        <v>464</v>
      </c>
      <c r="C37" s="500"/>
      <c r="D37" s="501">
        <v>0.03</v>
      </c>
      <c r="E37" s="501">
        <v>2.5000000000000001E-2</v>
      </c>
      <c r="F37" s="501">
        <v>2.5000000000000001E-2</v>
      </c>
      <c r="G37" s="501">
        <v>0.02</v>
      </c>
      <c r="H37" s="501">
        <v>0.02</v>
      </c>
      <c r="J37" s="4"/>
    </row>
    <row r="38" spans="2:10" x14ac:dyDescent="0.2">
      <c r="B38" s="495" t="s">
        <v>475</v>
      </c>
      <c r="C38" s="496">
        <f t="shared" ref="C38:H38" si="4">C34*C36</f>
        <v>179.45000000000002</v>
      </c>
      <c r="D38" s="496">
        <f t="shared" si="4"/>
        <v>189.45433749999998</v>
      </c>
      <c r="E38" s="496">
        <f t="shared" si="4"/>
        <v>199.04546333593748</v>
      </c>
      <c r="F38" s="496">
        <f t="shared" si="4"/>
        <v>209.12213991731929</v>
      </c>
      <c r="G38" s="496">
        <f t="shared" si="4"/>
        <v>217.570674369979</v>
      </c>
      <c r="H38" s="496">
        <f t="shared" si="4"/>
        <v>226.36052961452617</v>
      </c>
      <c r="J38" s="4" t="s">
        <v>472</v>
      </c>
    </row>
    <row r="40" spans="2:10" ht="15" thickBot="1" x14ac:dyDescent="0.25">
      <c r="B40" s="128" t="s">
        <v>518</v>
      </c>
      <c r="C40" s="128"/>
      <c r="D40" s="128"/>
      <c r="E40" s="128"/>
      <c r="F40" s="128"/>
      <c r="G40" s="128"/>
      <c r="H40" s="128"/>
    </row>
    <row r="41" spans="2:10" x14ac:dyDescent="0.2">
      <c r="B41" s="476" t="s">
        <v>482</v>
      </c>
    </row>
    <row r="42" spans="2:10" x14ac:dyDescent="0.2">
      <c r="B42" s="78" t="s">
        <v>477</v>
      </c>
      <c r="C42" s="489">
        <v>0.05</v>
      </c>
      <c r="D42" s="489">
        <v>0.02</v>
      </c>
      <c r="E42" s="489">
        <f>-5%</f>
        <v>-0.05</v>
      </c>
      <c r="F42" s="489">
        <v>7.0000000000000007E-2</v>
      </c>
      <c r="G42" s="489">
        <f>-3%</f>
        <v>-0.03</v>
      </c>
      <c r="H42" s="489">
        <v>5.0000000000000001E-4</v>
      </c>
    </row>
    <row r="43" spans="2:10" x14ac:dyDescent="0.2">
      <c r="B43" s="78" t="s">
        <v>478</v>
      </c>
      <c r="C43" s="489">
        <v>-0.02</v>
      </c>
      <c r="D43" s="489">
        <v>0.02</v>
      </c>
      <c r="E43" s="489">
        <v>0.08</v>
      </c>
      <c r="F43" s="489">
        <v>-0.04</v>
      </c>
      <c r="G43" s="489">
        <v>-0.02</v>
      </c>
      <c r="H43" s="489">
        <v>0.04</v>
      </c>
    </row>
    <row r="44" spans="2:10" x14ac:dyDescent="0.2">
      <c r="B44" s="78" t="s">
        <v>479</v>
      </c>
      <c r="C44" s="489">
        <v>0.01</v>
      </c>
      <c r="D44" s="489">
        <v>5.0000000000000001E-3</v>
      </c>
      <c r="E44" s="489">
        <v>0.05</v>
      </c>
      <c r="F44" s="489">
        <v>-0.04</v>
      </c>
      <c r="G44" s="489">
        <v>-0.02</v>
      </c>
      <c r="H44" s="489">
        <v>0.02</v>
      </c>
    </row>
    <row r="45" spans="2:10" x14ac:dyDescent="0.2">
      <c r="B45" s="500" t="s">
        <v>467</v>
      </c>
      <c r="C45" s="502">
        <f>SUMPRODUCT(C41:C44,C48:C51)</f>
        <v>8.6E-3</v>
      </c>
      <c r="D45" s="502">
        <f t="shared" ref="D45:H45" si="5">SUMPRODUCT(D41:D44,D48:D51)</f>
        <v>5.7999999999999996E-3</v>
      </c>
      <c r="E45" s="502">
        <f t="shared" si="5"/>
        <v>3.4000000000000011E-3</v>
      </c>
      <c r="F45" s="502">
        <f t="shared" si="5"/>
        <v>4.6000000000000008E-3</v>
      </c>
      <c r="G45" s="502">
        <f t="shared" si="5"/>
        <v>-9.3999999999999986E-3</v>
      </c>
      <c r="H45" s="502">
        <f t="shared" si="5"/>
        <v>5.6899999999999997E-3</v>
      </c>
      <c r="J45" s="226"/>
    </row>
    <row r="46" spans="2:10" x14ac:dyDescent="0.2">
      <c r="B46" s="495" t="s">
        <v>481</v>
      </c>
      <c r="C46" s="496">
        <f>(C31+C38)*C45</f>
        <v>6.1851200000000004</v>
      </c>
      <c r="D46" s="496">
        <f t="shared" ref="D46:H46" si="6">(D31+D38)*D45</f>
        <v>4.3499601249999991</v>
      </c>
      <c r="E46" s="496">
        <f t="shared" si="6"/>
        <v>2.6711598172144386</v>
      </c>
      <c r="F46" s="496">
        <f t="shared" si="6"/>
        <v>3.7882741409817289</v>
      </c>
      <c r="G46" s="496">
        <f t="shared" si="6"/>
        <v>-8.0487630500117788</v>
      </c>
      <c r="H46" s="496">
        <f t="shared" si="6"/>
        <v>5.0473290699004734</v>
      </c>
      <c r="J46" s="4" t="s">
        <v>483</v>
      </c>
    </row>
    <row r="47" spans="2:10" hidden="1" outlineLevel="1" x14ac:dyDescent="0.2">
      <c r="B47" s="4" t="s">
        <v>484</v>
      </c>
      <c r="C47" s="4"/>
      <c r="D47" s="4"/>
      <c r="E47" s="4"/>
      <c r="F47" s="4"/>
      <c r="G47" s="4"/>
      <c r="H47" s="4"/>
    </row>
    <row r="48" spans="2:10" hidden="1" outlineLevel="1" x14ac:dyDescent="0.2">
      <c r="B48" s="4" t="s">
        <v>476</v>
      </c>
      <c r="C48" s="467">
        <v>0.62</v>
      </c>
      <c r="D48" s="467">
        <v>0.62</v>
      </c>
      <c r="E48" s="467">
        <v>0.62</v>
      </c>
      <c r="F48" s="467">
        <v>0.62</v>
      </c>
      <c r="G48" s="467">
        <v>0.62</v>
      </c>
      <c r="H48" s="467">
        <v>0.62</v>
      </c>
    </row>
    <row r="49" spans="2:8" hidden="1" outlineLevel="1" x14ac:dyDescent="0.2">
      <c r="B49" s="4" t="s">
        <v>477</v>
      </c>
      <c r="C49" s="467">
        <v>0.18</v>
      </c>
      <c r="D49" s="467">
        <v>0.18</v>
      </c>
      <c r="E49" s="467">
        <v>0.18</v>
      </c>
      <c r="F49" s="467">
        <v>0.18</v>
      </c>
      <c r="G49" s="467">
        <v>0.18</v>
      </c>
      <c r="H49" s="467">
        <v>0.18</v>
      </c>
    </row>
    <row r="50" spans="2:8" hidden="1" outlineLevel="1" x14ac:dyDescent="0.2">
      <c r="B50" s="4" t="s">
        <v>478</v>
      </c>
      <c r="C50" s="467">
        <v>0.08</v>
      </c>
      <c r="D50" s="467">
        <v>0.08</v>
      </c>
      <c r="E50" s="467">
        <v>0.08</v>
      </c>
      <c r="F50" s="467">
        <v>0.08</v>
      </c>
      <c r="G50" s="467">
        <v>0.08</v>
      </c>
      <c r="H50" s="467">
        <v>0.08</v>
      </c>
    </row>
    <row r="51" spans="2:8" hidden="1" outlineLevel="1" x14ac:dyDescent="0.2">
      <c r="B51" s="4" t="s">
        <v>479</v>
      </c>
      <c r="C51" s="467">
        <v>0.12</v>
      </c>
      <c r="D51" s="467">
        <v>0.12</v>
      </c>
      <c r="E51" s="467">
        <v>0.12</v>
      </c>
      <c r="F51" s="467">
        <v>0.12</v>
      </c>
      <c r="G51" s="467">
        <v>0.12</v>
      </c>
      <c r="H51" s="467">
        <v>0.12</v>
      </c>
    </row>
    <row r="52" spans="2:8" hidden="1" outlineLevel="1" x14ac:dyDescent="0.2">
      <c r="B52" s="4" t="s">
        <v>480</v>
      </c>
      <c r="C52" s="467">
        <f>SUM(C48:C51)</f>
        <v>1</v>
      </c>
      <c r="D52" s="467">
        <f t="shared" ref="D52:H52" si="7">SUM(D48:D51)</f>
        <v>1</v>
      </c>
      <c r="E52" s="467">
        <f t="shared" si="7"/>
        <v>1</v>
      </c>
      <c r="F52" s="467">
        <f t="shared" si="7"/>
        <v>1</v>
      </c>
      <c r="G52" s="467">
        <f t="shared" si="7"/>
        <v>1</v>
      </c>
      <c r="H52" s="467">
        <f t="shared" si="7"/>
        <v>1</v>
      </c>
    </row>
    <row r="53" spans="2:8" collapsed="1" x14ac:dyDescent="0.2">
      <c r="B53" s="4"/>
      <c r="C53" s="467"/>
      <c r="D53" s="467"/>
      <c r="E53" s="467"/>
      <c r="F53" s="467"/>
      <c r="G53" s="467"/>
      <c r="H53" s="467"/>
    </row>
    <row r="54" spans="2:8" x14ac:dyDescent="0.2">
      <c r="B54" s="147" t="s">
        <v>517</v>
      </c>
      <c r="C54" s="147"/>
      <c r="D54" s="147"/>
      <c r="E54" s="147"/>
      <c r="F54" s="147"/>
      <c r="G54" s="147"/>
      <c r="H54" s="147"/>
    </row>
    <row r="55" spans="2:8" x14ac:dyDescent="0.2">
      <c r="B55" s="5" t="s">
        <v>485</v>
      </c>
      <c r="C55" s="499">
        <f t="shared" ref="C55:H55" si="8">C31</f>
        <v>539.75</v>
      </c>
      <c r="D55" s="499">
        <f t="shared" si="8"/>
        <v>560.53878750000001</v>
      </c>
      <c r="E55" s="499">
        <f t="shared" si="8"/>
        <v>586.58977702125003</v>
      </c>
      <c r="F55" s="499">
        <f t="shared" si="8"/>
        <v>614.4157168178391</v>
      </c>
      <c r="G55" s="499">
        <f t="shared" si="8"/>
        <v>638.68071392914658</v>
      </c>
      <c r="H55" s="499">
        <f t="shared" si="8"/>
        <v>660.69203100067136</v>
      </c>
    </row>
    <row r="56" spans="2:8" x14ac:dyDescent="0.2">
      <c r="B56" s="5" t="s">
        <v>486</v>
      </c>
      <c r="C56" s="499">
        <f t="shared" ref="C56:H56" si="9">C38</f>
        <v>179.45000000000002</v>
      </c>
      <c r="D56" s="499">
        <f t="shared" si="9"/>
        <v>189.45433749999998</v>
      </c>
      <c r="E56" s="499">
        <f t="shared" si="9"/>
        <v>199.04546333593748</v>
      </c>
      <c r="F56" s="499">
        <f t="shared" si="9"/>
        <v>209.12213991731929</v>
      </c>
      <c r="G56" s="499">
        <f t="shared" si="9"/>
        <v>217.570674369979</v>
      </c>
      <c r="H56" s="499">
        <f t="shared" si="9"/>
        <v>226.36052961452617</v>
      </c>
    </row>
    <row r="57" spans="2:8" x14ac:dyDescent="0.2">
      <c r="B57" s="503" t="s">
        <v>487</v>
      </c>
      <c r="C57" s="504">
        <f t="shared" ref="C57:H57" si="10">C46</f>
        <v>6.1851200000000004</v>
      </c>
      <c r="D57" s="504">
        <f t="shared" si="10"/>
        <v>4.3499601249999991</v>
      </c>
      <c r="E57" s="504">
        <f t="shared" si="10"/>
        <v>2.6711598172144386</v>
      </c>
      <c r="F57" s="504">
        <f t="shared" si="10"/>
        <v>3.7882741409817289</v>
      </c>
      <c r="G57" s="504">
        <f t="shared" si="10"/>
        <v>-8.0487630500117788</v>
      </c>
      <c r="H57" s="504">
        <f t="shared" si="10"/>
        <v>5.0473290699004734</v>
      </c>
    </row>
    <row r="58" spans="2:8" x14ac:dyDescent="0.2">
      <c r="B58" s="478" t="s">
        <v>488</v>
      </c>
      <c r="C58" s="479">
        <f t="shared" ref="C58:H58" si="11">SUM(C55:C57)</f>
        <v>725.38512000000003</v>
      </c>
      <c r="D58" s="479">
        <f t="shared" si="11"/>
        <v>754.34308512500002</v>
      </c>
      <c r="E58" s="479">
        <f t="shared" si="11"/>
        <v>788.30640017440192</v>
      </c>
      <c r="F58" s="479">
        <f t="shared" si="11"/>
        <v>827.32613087614004</v>
      </c>
      <c r="G58" s="479">
        <f t="shared" si="11"/>
        <v>848.20262524911379</v>
      </c>
      <c r="H58" s="479">
        <f t="shared" si="11"/>
        <v>892.09988968509799</v>
      </c>
    </row>
    <row r="59" spans="2:8" x14ac:dyDescent="0.2">
      <c r="B59" s="505" t="s">
        <v>468</v>
      </c>
      <c r="C59" s="506"/>
      <c r="D59" s="507">
        <f>D58/C58-1</f>
        <v>3.9920814925180625E-2</v>
      </c>
      <c r="E59" s="507">
        <f>E58/D58-1</f>
        <v>4.5023697730024237E-2</v>
      </c>
      <c r="F59" s="507">
        <f>F58/E58-1</f>
        <v>4.9498178237682211E-2</v>
      </c>
      <c r="G59" s="507">
        <f>G58/F58-1</f>
        <v>2.5233693937438462E-2</v>
      </c>
      <c r="H59" s="507">
        <f>H58/G58-1</f>
        <v>5.1753275843837043E-2</v>
      </c>
    </row>
  </sheetData>
  <mergeCells count="1">
    <mergeCell ref="B4:H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D1E2-7C5A-E94D-8827-CB6936FCF500}">
  <sheetPr>
    <tabColor theme="9" tint="0.79998168889431442"/>
  </sheetPr>
  <dimension ref="B2:J71"/>
  <sheetViews>
    <sheetView showGridLines="0" workbookViewId="0">
      <pane xSplit="1" ySplit="11" topLeftCell="B18" activePane="bottomRight" state="frozen"/>
      <selection activeCell="C42" sqref="C42"/>
      <selection pane="topRight" activeCell="C42" sqref="C42"/>
      <selection pane="bottomLeft" activeCell="C42" sqref="C42"/>
      <selection pane="bottomRight"/>
    </sheetView>
  </sheetViews>
  <sheetFormatPr baseColWidth="10" defaultRowHeight="14" outlineLevelRow="1" x14ac:dyDescent="0.2"/>
  <cols>
    <col min="1" max="1" width="2.5" style="3" customWidth="1"/>
    <col min="2" max="2" width="46.6640625" style="3" customWidth="1"/>
    <col min="3" max="8" width="14.1640625" style="3" customWidth="1"/>
    <col min="9" max="9" width="2.5" style="3" customWidth="1"/>
    <col min="10" max="10" width="50" style="3" customWidth="1"/>
    <col min="11" max="16384" width="10.83203125" style="3"/>
  </cols>
  <sheetData>
    <row r="2" spans="2:10" ht="15" x14ac:dyDescent="0.2">
      <c r="B2" s="460" t="s">
        <v>490</v>
      </c>
    </row>
    <row r="3" spans="2:10" x14ac:dyDescent="0.2">
      <c r="B3" s="465"/>
    </row>
    <row r="4" spans="2:10" ht="14" customHeight="1" x14ac:dyDescent="0.2">
      <c r="B4" s="630" t="s">
        <v>544</v>
      </c>
      <c r="C4" s="630"/>
      <c r="D4" s="630"/>
      <c r="E4" s="630"/>
      <c r="F4" s="630"/>
      <c r="G4" s="630"/>
      <c r="H4" s="630"/>
    </row>
    <row r="5" spans="2:10" ht="14" customHeight="1" x14ac:dyDescent="0.2">
      <c r="B5" s="630"/>
      <c r="C5" s="630"/>
      <c r="D5" s="630"/>
      <c r="E5" s="630"/>
      <c r="F5" s="630"/>
      <c r="G5" s="630"/>
      <c r="H5" s="630"/>
    </row>
    <row r="6" spans="2:10" ht="14" customHeight="1" x14ac:dyDescent="0.2">
      <c r="B6" s="630"/>
      <c r="C6" s="630"/>
      <c r="D6" s="630"/>
      <c r="E6" s="630"/>
      <c r="F6" s="630"/>
      <c r="G6" s="630"/>
      <c r="H6" s="630"/>
    </row>
    <row r="7" spans="2:10" ht="14" customHeight="1" x14ac:dyDescent="0.2">
      <c r="B7" s="630"/>
      <c r="C7" s="630"/>
      <c r="D7" s="630"/>
      <c r="E7" s="630"/>
      <c r="F7" s="630"/>
      <c r="G7" s="630"/>
      <c r="H7" s="630"/>
    </row>
    <row r="8" spans="2:10" ht="14" customHeight="1" x14ac:dyDescent="0.2">
      <c r="B8" s="630"/>
      <c r="C8" s="630"/>
      <c r="D8" s="630"/>
      <c r="E8" s="630"/>
      <c r="F8" s="630"/>
      <c r="G8" s="630"/>
      <c r="H8" s="630"/>
    </row>
    <row r="9" spans="2:10" ht="14" customHeight="1" x14ac:dyDescent="0.2">
      <c r="B9" s="630"/>
      <c r="C9" s="630"/>
      <c r="D9" s="630"/>
      <c r="E9" s="630"/>
      <c r="F9" s="630"/>
      <c r="G9" s="630"/>
      <c r="H9" s="630"/>
    </row>
    <row r="11" spans="2:10" ht="15" x14ac:dyDescent="0.2">
      <c r="C11" s="97" t="s">
        <v>104</v>
      </c>
      <c r="D11" s="98" t="s">
        <v>105</v>
      </c>
      <c r="E11" s="98" t="s">
        <v>106</v>
      </c>
      <c r="F11" s="98" t="s">
        <v>107</v>
      </c>
      <c r="G11" s="98" t="s">
        <v>108</v>
      </c>
      <c r="H11" s="98" t="s">
        <v>109</v>
      </c>
    </row>
    <row r="13" spans="2:10" ht="15" thickBot="1" x14ac:dyDescent="0.25">
      <c r="B13" s="481" t="s">
        <v>541</v>
      </c>
      <c r="C13" s="508"/>
      <c r="D13" s="508"/>
      <c r="E13" s="508"/>
      <c r="F13" s="508"/>
      <c r="G13" s="508"/>
      <c r="H13" s="508"/>
      <c r="J13" s="480" t="s">
        <v>60</v>
      </c>
    </row>
    <row r="14" spans="2:10" x14ac:dyDescent="0.2">
      <c r="B14" s="130" t="s">
        <v>491</v>
      </c>
    </row>
    <row r="15" spans="2:10" x14ac:dyDescent="0.2">
      <c r="B15" s="511" t="s">
        <v>492</v>
      </c>
      <c r="C15" s="425">
        <v>180</v>
      </c>
      <c r="D15" s="492">
        <f>C15*(1+D16)</f>
        <v>187.20000000000002</v>
      </c>
      <c r="E15" s="492">
        <f t="shared" ref="E15:H15" si="0">D15*(1+E16)</f>
        <v>196.56000000000003</v>
      </c>
      <c r="F15" s="492">
        <f t="shared" si="0"/>
        <v>204.42240000000004</v>
      </c>
      <c r="G15" s="492">
        <f t="shared" si="0"/>
        <v>211.57718400000002</v>
      </c>
      <c r="H15" s="492">
        <f t="shared" si="0"/>
        <v>217.92449952000001</v>
      </c>
      <c r="J15" s="4" t="s">
        <v>495</v>
      </c>
    </row>
    <row r="16" spans="2:10" x14ac:dyDescent="0.2">
      <c r="B16" s="512" t="s">
        <v>454</v>
      </c>
      <c r="C16" s="5"/>
      <c r="D16" s="489">
        <v>0.04</v>
      </c>
      <c r="E16" s="489">
        <v>0.05</v>
      </c>
      <c r="F16" s="489">
        <v>0.04</v>
      </c>
      <c r="G16" s="489">
        <v>3.5000000000000003E-2</v>
      </c>
      <c r="H16" s="489">
        <v>0.03</v>
      </c>
    </row>
    <row r="17" spans="2:10" x14ac:dyDescent="0.2">
      <c r="B17" s="511" t="s">
        <v>493</v>
      </c>
      <c r="C17" s="490">
        <v>185000</v>
      </c>
      <c r="D17" s="494">
        <f>C17*(1+D18)</f>
        <v>189624.99999999997</v>
      </c>
      <c r="E17" s="494">
        <f t="shared" ref="E17:H17" si="1">D17*(1+E18)</f>
        <v>193417.49999999997</v>
      </c>
      <c r="F17" s="494">
        <f t="shared" si="1"/>
        <v>197285.84999999998</v>
      </c>
      <c r="G17" s="494">
        <f t="shared" si="1"/>
        <v>201231.56699999998</v>
      </c>
      <c r="H17" s="494">
        <f t="shared" si="1"/>
        <v>204250.04050499995</v>
      </c>
      <c r="J17" s="4" t="s">
        <v>496</v>
      </c>
    </row>
    <row r="18" spans="2:10" x14ac:dyDescent="0.2">
      <c r="B18" s="512" t="s">
        <v>456</v>
      </c>
      <c r="C18" s="5"/>
      <c r="D18" s="489">
        <v>2.5000000000000001E-2</v>
      </c>
      <c r="E18" s="489">
        <v>0.02</v>
      </c>
      <c r="F18" s="489">
        <v>0.02</v>
      </c>
      <c r="G18" s="489">
        <v>0.02</v>
      </c>
      <c r="H18" s="489">
        <v>1.4999999999999999E-2</v>
      </c>
    </row>
    <row r="19" spans="2:10" x14ac:dyDescent="0.2">
      <c r="B19" s="483" t="s">
        <v>494</v>
      </c>
      <c r="C19" s="509">
        <f>C15*C17/1000000</f>
        <v>33.299999999999997</v>
      </c>
      <c r="D19" s="509">
        <f>D15*D17/1000000</f>
        <v>35.497799999999998</v>
      </c>
      <c r="E19" s="509">
        <f t="shared" ref="E19:H19" si="2">E15*E17/1000000</f>
        <v>38.018143799999997</v>
      </c>
      <c r="F19" s="509">
        <f t="shared" si="2"/>
        <v>40.329646943040004</v>
      </c>
      <c r="G19" s="509">
        <f t="shared" si="2"/>
        <v>42.576008277767329</v>
      </c>
      <c r="H19" s="509">
        <f t="shared" si="2"/>
        <v>44.511087853991846</v>
      </c>
    </row>
    <row r="20" spans="2:10" x14ac:dyDescent="0.2">
      <c r="B20" s="130" t="s">
        <v>497</v>
      </c>
    </row>
    <row r="21" spans="2:10" x14ac:dyDescent="0.2">
      <c r="B21" s="511" t="s">
        <v>492</v>
      </c>
      <c r="C21" s="425">
        <v>2200</v>
      </c>
      <c r="D21" s="492">
        <f>C21*(1+D22)</f>
        <v>2310</v>
      </c>
      <c r="E21" s="492">
        <f t="shared" ref="E21:H21" si="3">D21*(1+E22)</f>
        <v>2448.6</v>
      </c>
      <c r="F21" s="492">
        <f t="shared" si="3"/>
        <v>2571.0300000000002</v>
      </c>
      <c r="G21" s="492">
        <f t="shared" si="3"/>
        <v>2699.5815000000002</v>
      </c>
      <c r="H21" s="492">
        <f t="shared" si="3"/>
        <v>2807.5647600000002</v>
      </c>
      <c r="J21" s="4" t="s">
        <v>501</v>
      </c>
    </row>
    <row r="22" spans="2:10" x14ac:dyDescent="0.2">
      <c r="B22" s="512" t="s">
        <v>454</v>
      </c>
      <c r="C22" s="5"/>
      <c r="D22" s="489">
        <v>0.05</v>
      </c>
      <c r="E22" s="489">
        <v>0.06</v>
      </c>
      <c r="F22" s="489">
        <v>0.05</v>
      </c>
      <c r="G22" s="489">
        <v>0.05</v>
      </c>
      <c r="H22" s="489">
        <v>0.04</v>
      </c>
    </row>
    <row r="23" spans="2:10" x14ac:dyDescent="0.2">
      <c r="B23" s="511" t="s">
        <v>455</v>
      </c>
      <c r="C23" s="490">
        <v>22000</v>
      </c>
      <c r="D23" s="494">
        <f>C23*(1+D24)</f>
        <v>22660</v>
      </c>
      <c r="E23" s="494">
        <f t="shared" ref="E23:H23" si="4">D23*(1+E24)</f>
        <v>23226.499999999996</v>
      </c>
      <c r="F23" s="494">
        <f t="shared" si="4"/>
        <v>23807.162499999995</v>
      </c>
      <c r="G23" s="494">
        <f t="shared" si="4"/>
        <v>24283.305749999996</v>
      </c>
      <c r="H23" s="494">
        <f t="shared" si="4"/>
        <v>24768.971864999996</v>
      </c>
    </row>
    <row r="24" spans="2:10" x14ac:dyDescent="0.2">
      <c r="B24" s="512" t="s">
        <v>456</v>
      </c>
      <c r="C24" s="5"/>
      <c r="D24" s="489">
        <v>0.03</v>
      </c>
      <c r="E24" s="489">
        <v>2.5000000000000001E-2</v>
      </c>
      <c r="F24" s="489">
        <v>2.5000000000000001E-2</v>
      </c>
      <c r="G24" s="489">
        <v>0.02</v>
      </c>
      <c r="H24" s="489">
        <v>0.02</v>
      </c>
    </row>
    <row r="25" spans="2:10" x14ac:dyDescent="0.2">
      <c r="B25" s="483" t="s">
        <v>498</v>
      </c>
      <c r="C25" s="509">
        <f>C21*C23/1000000</f>
        <v>48.4</v>
      </c>
      <c r="D25" s="509">
        <f>D21*D23/1000000</f>
        <v>52.3446</v>
      </c>
      <c r="E25" s="509">
        <f t="shared" ref="E25:H25" si="5">E21*E23/1000000</f>
        <v>56.872407899999992</v>
      </c>
      <c r="F25" s="509">
        <f t="shared" si="5"/>
        <v>61.208929002374994</v>
      </c>
      <c r="G25" s="509">
        <f t="shared" si="5"/>
        <v>65.554762961543616</v>
      </c>
      <c r="H25" s="509">
        <f t="shared" si="5"/>
        <v>69.540492549605474</v>
      </c>
    </row>
    <row r="26" spans="2:10" x14ac:dyDescent="0.2">
      <c r="B26" s="130" t="s">
        <v>499</v>
      </c>
    </row>
    <row r="27" spans="2:10" x14ac:dyDescent="0.2">
      <c r="B27" s="511" t="s">
        <v>492</v>
      </c>
      <c r="C27" s="425">
        <v>8500</v>
      </c>
      <c r="D27" s="492">
        <f>C27*(1+D28)</f>
        <v>8670</v>
      </c>
      <c r="E27" s="492">
        <f t="shared" ref="E27:H27" si="6">D27*(1+E28)</f>
        <v>8800.0499999999993</v>
      </c>
      <c r="F27" s="492">
        <f t="shared" si="6"/>
        <v>8932.0507499999985</v>
      </c>
      <c r="G27" s="492">
        <f t="shared" si="6"/>
        <v>9021.371257499999</v>
      </c>
      <c r="H27" s="492">
        <f t="shared" si="6"/>
        <v>9111.5849700749986</v>
      </c>
      <c r="J27" s="4" t="s">
        <v>502</v>
      </c>
    </row>
    <row r="28" spans="2:10" x14ac:dyDescent="0.2">
      <c r="B28" s="512" t="s">
        <v>454</v>
      </c>
      <c r="C28" s="5"/>
      <c r="D28" s="489">
        <v>0.02</v>
      </c>
      <c r="E28" s="489">
        <v>1.4999999999999999E-2</v>
      </c>
      <c r="F28" s="489">
        <v>1.4999999999999999E-2</v>
      </c>
      <c r="G28" s="489">
        <v>0.01</v>
      </c>
      <c r="H28" s="489">
        <v>0.01</v>
      </c>
    </row>
    <row r="29" spans="2:10" x14ac:dyDescent="0.2">
      <c r="B29" s="511" t="s">
        <v>455</v>
      </c>
      <c r="C29" s="490">
        <v>3200</v>
      </c>
      <c r="D29" s="494">
        <f>C29*(1+D30)</f>
        <v>3279.9999999999995</v>
      </c>
      <c r="E29" s="494">
        <f t="shared" ref="E29:H29" si="7">D29*(1+E30)</f>
        <v>3345.5999999999995</v>
      </c>
      <c r="F29" s="494">
        <f t="shared" si="7"/>
        <v>3412.5119999999997</v>
      </c>
      <c r="G29" s="494">
        <f t="shared" si="7"/>
        <v>3480.7622399999996</v>
      </c>
      <c r="H29" s="494">
        <f t="shared" si="7"/>
        <v>3532.9736735999991</v>
      </c>
    </row>
    <row r="30" spans="2:10" x14ac:dyDescent="0.2">
      <c r="B30" s="512" t="s">
        <v>456</v>
      </c>
      <c r="C30" s="5"/>
      <c r="D30" s="489">
        <v>2.5000000000000001E-2</v>
      </c>
      <c r="E30" s="489">
        <v>0.02</v>
      </c>
      <c r="F30" s="489">
        <v>0.02</v>
      </c>
      <c r="G30" s="489">
        <v>0.02</v>
      </c>
      <c r="H30" s="489">
        <v>1.4999999999999999E-2</v>
      </c>
    </row>
    <row r="31" spans="2:10" x14ac:dyDescent="0.2">
      <c r="B31" s="483" t="s">
        <v>500</v>
      </c>
      <c r="C31" s="509">
        <f>C27*C29/1000000</f>
        <v>27.2</v>
      </c>
      <c r="D31" s="509">
        <f>D27*D29/1000000</f>
        <v>28.437599999999996</v>
      </c>
      <c r="E31" s="509">
        <f t="shared" ref="E31:H31" si="8">E27*E29/1000000</f>
        <v>29.441447279999995</v>
      </c>
      <c r="F31" s="509">
        <f t="shared" si="8"/>
        <v>30.480730368983991</v>
      </c>
      <c r="G31" s="509">
        <f t="shared" si="8"/>
        <v>31.40124842612731</v>
      </c>
      <c r="H31" s="509">
        <f t="shared" si="8"/>
        <v>32.190989824044408</v>
      </c>
    </row>
    <row r="32" spans="2:10" x14ac:dyDescent="0.2">
      <c r="B32" s="484" t="s">
        <v>460</v>
      </c>
      <c r="C32" s="510">
        <f>C19+C25+C31</f>
        <v>108.89999999999999</v>
      </c>
      <c r="D32" s="510">
        <f>D19+D25+D31</f>
        <v>116.28</v>
      </c>
      <c r="E32" s="510">
        <f t="shared" ref="E32:H32" si="9">E19+E25+E31</f>
        <v>124.33199897999998</v>
      </c>
      <c r="F32" s="510">
        <f t="shared" si="9"/>
        <v>132.01930631439899</v>
      </c>
      <c r="G32" s="510">
        <f t="shared" si="9"/>
        <v>139.53201966543827</v>
      </c>
      <c r="H32" s="510">
        <f t="shared" si="9"/>
        <v>146.24257022764172</v>
      </c>
    </row>
    <row r="34" spans="2:10" ht="15" thickBot="1" x14ac:dyDescent="0.25">
      <c r="B34" s="128" t="s">
        <v>520</v>
      </c>
      <c r="C34" s="508"/>
      <c r="D34" s="508"/>
      <c r="E34" s="508"/>
      <c r="F34" s="508"/>
      <c r="G34" s="508"/>
      <c r="H34" s="508"/>
    </row>
    <row r="35" spans="2:10" x14ac:dyDescent="0.2">
      <c r="B35" s="513" t="s">
        <v>503</v>
      </c>
      <c r="C35" s="514">
        <v>85</v>
      </c>
      <c r="D35" s="515">
        <f>C35*(1+D36)</f>
        <v>87.55</v>
      </c>
      <c r="E35" s="515">
        <f t="shared" ref="E35:H35" si="10">D35*(1+E36)</f>
        <v>90.614249999999984</v>
      </c>
      <c r="F35" s="515">
        <f t="shared" si="10"/>
        <v>93.785748749999982</v>
      </c>
      <c r="G35" s="515">
        <f t="shared" si="10"/>
        <v>96.599321212499987</v>
      </c>
      <c r="H35" s="515">
        <f t="shared" si="10"/>
        <v>99.014304242812472</v>
      </c>
      <c r="J35" s="4" t="s">
        <v>545</v>
      </c>
    </row>
    <row r="36" spans="2:10" x14ac:dyDescent="0.2">
      <c r="B36" s="512" t="s">
        <v>462</v>
      </c>
      <c r="C36" s="5"/>
      <c r="D36" s="489">
        <v>0.03</v>
      </c>
      <c r="E36" s="489">
        <v>3.5000000000000003E-2</v>
      </c>
      <c r="F36" s="489">
        <v>3.5000000000000003E-2</v>
      </c>
      <c r="G36" s="489">
        <v>0.03</v>
      </c>
      <c r="H36" s="489">
        <v>2.5000000000000001E-2</v>
      </c>
    </row>
    <row r="37" spans="2:10" x14ac:dyDescent="0.2">
      <c r="B37" s="511" t="s">
        <v>463</v>
      </c>
      <c r="C37" s="490">
        <v>520</v>
      </c>
      <c r="D37" s="494">
        <f>C37*(1+D38)</f>
        <v>535.6</v>
      </c>
      <c r="E37" s="494">
        <f t="shared" ref="E37:H37" si="11">D37*(1+E38)</f>
        <v>551.66800000000001</v>
      </c>
      <c r="F37" s="494">
        <f t="shared" si="11"/>
        <v>565.4597</v>
      </c>
      <c r="G37" s="494">
        <f t="shared" si="11"/>
        <v>579.59619249999992</v>
      </c>
      <c r="H37" s="494">
        <f t="shared" si="11"/>
        <v>591.18811634999997</v>
      </c>
      <c r="J37" s="4" t="s">
        <v>504</v>
      </c>
    </row>
    <row r="38" spans="2:10" x14ac:dyDescent="0.2">
      <c r="B38" s="516" t="s">
        <v>464</v>
      </c>
      <c r="C38" s="517"/>
      <c r="D38" s="518">
        <v>0.03</v>
      </c>
      <c r="E38" s="518">
        <v>0.03</v>
      </c>
      <c r="F38" s="518">
        <v>2.5000000000000001E-2</v>
      </c>
      <c r="G38" s="518">
        <v>2.5000000000000001E-2</v>
      </c>
      <c r="H38" s="518">
        <v>0.02</v>
      </c>
    </row>
    <row r="39" spans="2:10" x14ac:dyDescent="0.2">
      <c r="B39" s="484" t="s">
        <v>475</v>
      </c>
      <c r="C39" s="510">
        <f>C35*C37/1000</f>
        <v>44.2</v>
      </c>
      <c r="D39" s="510">
        <f>D35*D37/1000</f>
        <v>46.891779999999997</v>
      </c>
      <c r="E39" s="510">
        <f t="shared" ref="E39:H39" si="12">E35*E37/1000</f>
        <v>49.988982068999988</v>
      </c>
      <c r="F39" s="510">
        <f t="shared" si="12"/>
        <v>53.032061352450363</v>
      </c>
      <c r="G39" s="510">
        <f t="shared" si="12"/>
        <v>55.988598772849464</v>
      </c>
      <c r="H39" s="510">
        <f t="shared" si="12"/>
        <v>58.536080017014115</v>
      </c>
      <c r="J39" s="4" t="s">
        <v>505</v>
      </c>
    </row>
    <row r="41" spans="2:10" ht="15" thickBot="1" x14ac:dyDescent="0.25">
      <c r="B41" s="128" t="s">
        <v>542</v>
      </c>
      <c r="C41" s="508"/>
      <c r="D41" s="508"/>
      <c r="E41" s="508"/>
      <c r="F41" s="508"/>
      <c r="G41" s="508"/>
      <c r="H41" s="508"/>
    </row>
    <row r="42" spans="2:10" x14ac:dyDescent="0.2">
      <c r="B42" s="485" t="s">
        <v>506</v>
      </c>
      <c r="C42" s="486"/>
      <c r="D42" s="486"/>
      <c r="E42" s="486"/>
      <c r="F42" s="486"/>
      <c r="G42" s="486"/>
      <c r="H42" s="486"/>
      <c r="J42" s="4" t="s">
        <v>514</v>
      </c>
    </row>
    <row r="43" spans="2:10" x14ac:dyDescent="0.2">
      <c r="B43" s="521" t="s">
        <v>507</v>
      </c>
      <c r="C43" s="522">
        <v>0.18</v>
      </c>
      <c r="D43" s="522">
        <v>0.18</v>
      </c>
      <c r="E43" s="522">
        <v>0.19</v>
      </c>
      <c r="F43" s="522">
        <v>0.19</v>
      </c>
      <c r="G43" s="522">
        <v>0.2</v>
      </c>
      <c r="H43" s="522">
        <v>0.2</v>
      </c>
    </row>
    <row r="44" spans="2:10" x14ac:dyDescent="0.2">
      <c r="B44" s="483" t="s">
        <v>508</v>
      </c>
      <c r="C44" s="509">
        <f>C19*C43</f>
        <v>5.9939999999999989</v>
      </c>
      <c r="D44" s="509">
        <f>D19*D43</f>
        <v>6.3896039999999994</v>
      </c>
      <c r="E44" s="509">
        <f t="shared" ref="E44:H44" si="13">E19*E43</f>
        <v>7.2234473219999993</v>
      </c>
      <c r="F44" s="509">
        <f t="shared" si="13"/>
        <v>7.662632919177601</v>
      </c>
      <c r="G44" s="509">
        <f t="shared" si="13"/>
        <v>8.5152016555534669</v>
      </c>
      <c r="H44" s="509">
        <f t="shared" si="13"/>
        <v>8.9022175707983688</v>
      </c>
    </row>
    <row r="45" spans="2:10" x14ac:dyDescent="0.2">
      <c r="B45" s="130" t="s">
        <v>509</v>
      </c>
      <c r="J45" s="4" t="s">
        <v>515</v>
      </c>
    </row>
    <row r="46" spans="2:10" x14ac:dyDescent="0.2">
      <c r="B46" s="512" t="s">
        <v>510</v>
      </c>
      <c r="C46" s="489">
        <v>0.22</v>
      </c>
      <c r="D46" s="489">
        <v>0.24</v>
      </c>
      <c r="E46" s="489">
        <v>0.26</v>
      </c>
      <c r="F46" s="489">
        <v>0.28000000000000003</v>
      </c>
      <c r="G46" s="489">
        <v>0.3</v>
      </c>
      <c r="H46" s="489">
        <v>0.32</v>
      </c>
    </row>
    <row r="47" spans="2:10" x14ac:dyDescent="0.2">
      <c r="B47" s="511" t="s">
        <v>511</v>
      </c>
      <c r="C47" s="519">
        <v>1.4</v>
      </c>
      <c r="D47" s="520">
        <f>C47*(1+0.03)</f>
        <v>1.4419999999999999</v>
      </c>
      <c r="E47" s="520">
        <f t="shared" ref="E47:H47" si="14">D47*(1+0.03)</f>
        <v>1.48526</v>
      </c>
      <c r="F47" s="520">
        <f t="shared" si="14"/>
        <v>1.5298178</v>
      </c>
      <c r="G47" s="520">
        <f t="shared" si="14"/>
        <v>1.5757123340000001</v>
      </c>
      <c r="H47" s="520">
        <f t="shared" si="14"/>
        <v>1.6229837040200001</v>
      </c>
    </row>
    <row r="48" spans="2:10" x14ac:dyDescent="0.2">
      <c r="B48" s="483" t="s">
        <v>512</v>
      </c>
      <c r="C48" s="509">
        <f>C35*C46*C47</f>
        <v>26.179999999999996</v>
      </c>
      <c r="D48" s="509">
        <f>D35*D46*D47</f>
        <v>30.299303999999996</v>
      </c>
      <c r="E48" s="509">
        <f t="shared" ref="E48:H48" si="15">E35*E46*E47</f>
        <v>34.992287448299997</v>
      </c>
      <c r="F48" s="509">
        <f t="shared" si="15"/>
        <v>40.173030190741763</v>
      </c>
      <c r="G48" s="509">
        <f t="shared" si="15"/>
        <v>45.66382256716922</v>
      </c>
      <c r="H48" s="509">
        <f t="shared" si="15"/>
        <v>51.423552720308166</v>
      </c>
      <c r="J48" s="4" t="s">
        <v>516</v>
      </c>
    </row>
    <row r="49" spans="2:10" x14ac:dyDescent="0.2">
      <c r="B49" s="484" t="s">
        <v>513</v>
      </c>
      <c r="C49" s="510">
        <f>C44+C48</f>
        <v>32.173999999999992</v>
      </c>
      <c r="D49" s="510">
        <f>D44+D48</f>
        <v>36.688907999999998</v>
      </c>
      <c r="E49" s="510">
        <f t="shared" ref="E49:H49" si="16">E44+E48</f>
        <v>42.215734770299996</v>
      </c>
      <c r="F49" s="510">
        <f t="shared" si="16"/>
        <v>47.835663109919366</v>
      </c>
      <c r="G49" s="510">
        <f t="shared" si="16"/>
        <v>54.179024222722688</v>
      </c>
      <c r="H49" s="510">
        <f t="shared" si="16"/>
        <v>60.325770291106537</v>
      </c>
    </row>
    <row r="51" spans="2:10" ht="15" thickBot="1" x14ac:dyDescent="0.25">
      <c r="B51" s="128" t="s">
        <v>543</v>
      </c>
      <c r="C51" s="508"/>
      <c r="D51" s="508"/>
      <c r="E51" s="508"/>
      <c r="F51" s="508"/>
      <c r="G51" s="508"/>
      <c r="H51" s="508"/>
    </row>
    <row r="52" spans="2:10" x14ac:dyDescent="0.2">
      <c r="B52" s="476" t="s">
        <v>482</v>
      </c>
    </row>
    <row r="53" spans="2:10" x14ac:dyDescent="0.2">
      <c r="B53" s="5" t="s">
        <v>477</v>
      </c>
      <c r="C53" s="493">
        <v>0.05</v>
      </c>
      <c r="D53" s="493">
        <v>0.02</v>
      </c>
      <c r="E53" s="493">
        <v>-0.03</v>
      </c>
      <c r="F53" s="493">
        <v>0.04</v>
      </c>
      <c r="G53" s="493">
        <v>-0.02</v>
      </c>
      <c r="H53" s="493">
        <v>0.01</v>
      </c>
    </row>
    <row r="54" spans="2:10" x14ac:dyDescent="0.2">
      <c r="B54" s="5" t="s">
        <v>478</v>
      </c>
      <c r="C54" s="493">
        <v>-0.02</v>
      </c>
      <c r="D54" s="493">
        <v>0.02</v>
      </c>
      <c r="E54" s="493">
        <v>0.05</v>
      </c>
      <c r="F54" s="493">
        <v>-0.03</v>
      </c>
      <c r="G54" s="493">
        <v>-0.01</v>
      </c>
      <c r="H54" s="493">
        <v>0.03</v>
      </c>
    </row>
    <row r="55" spans="2:10" x14ac:dyDescent="0.2">
      <c r="B55" s="5" t="s">
        <v>479</v>
      </c>
      <c r="C55" s="493">
        <v>0.01</v>
      </c>
      <c r="D55" s="493">
        <v>5.0000000000000001E-3</v>
      </c>
      <c r="E55" s="493">
        <v>0.02</v>
      </c>
      <c r="F55" s="493">
        <v>-0.02</v>
      </c>
      <c r="G55" s="493">
        <v>-0.01</v>
      </c>
      <c r="H55" s="493">
        <v>1.4999999999999999E-2</v>
      </c>
    </row>
    <row r="56" spans="2:10" x14ac:dyDescent="0.2">
      <c r="B56" s="523" t="s">
        <v>467</v>
      </c>
      <c r="C56" s="524">
        <f>SUMPRODUCT(C52:C55,C59:C62)</f>
        <v>1.0800000000000002E-2</v>
      </c>
      <c r="D56" s="524">
        <f>SUMPRODUCT(D52:D55,D59:D62)</f>
        <v>5.8000000000000005E-3</v>
      </c>
      <c r="E56" s="524">
        <f t="shared" ref="E56:H56" si="17">SUMPRODUCT(E52:E55,E59:E62)</f>
        <v>-2.4999999999999996E-3</v>
      </c>
      <c r="F56" s="524">
        <f t="shared" si="17"/>
        <v>5.7000000000000011E-3</v>
      </c>
      <c r="G56" s="524">
        <f t="shared" si="17"/>
        <v>-5.7000000000000002E-3</v>
      </c>
      <c r="H56" s="524">
        <f t="shared" si="17"/>
        <v>4.8999999999999998E-3</v>
      </c>
    </row>
    <row r="57" spans="2:10" x14ac:dyDescent="0.2">
      <c r="B57" s="484" t="s">
        <v>481</v>
      </c>
      <c r="C57" s="510">
        <f>(C32+C39+C49)*C56</f>
        <v>2.0009592000000005</v>
      </c>
      <c r="D57" s="510">
        <f>(D32+D39+D49)*D56</f>
        <v>1.1591919904000001</v>
      </c>
      <c r="E57" s="510">
        <f t="shared" ref="E57:H57" si="18">(E32+E39+E49)*E56</f>
        <v>-0.54134178954824985</v>
      </c>
      <c r="F57" s="510">
        <f t="shared" si="18"/>
        <v>1.3274560754275819</v>
      </c>
      <c r="G57" s="510">
        <f t="shared" si="18"/>
        <v>-1.4232879631677595</v>
      </c>
      <c r="H57" s="510">
        <f t="shared" si="18"/>
        <v>1.2990116606252355</v>
      </c>
      <c r="J57" s="4" t="s">
        <v>519</v>
      </c>
    </row>
    <row r="58" spans="2:10" hidden="1" outlineLevel="1" x14ac:dyDescent="0.2">
      <c r="B58" s="4" t="s">
        <v>484</v>
      </c>
    </row>
    <row r="59" spans="2:10" hidden="1" outlineLevel="1" x14ac:dyDescent="0.2">
      <c r="B59" s="146" t="s">
        <v>476</v>
      </c>
      <c r="C59" s="493">
        <v>0.65</v>
      </c>
      <c r="D59" s="493">
        <v>0.65</v>
      </c>
      <c r="E59" s="493">
        <v>0.65</v>
      </c>
      <c r="F59" s="493">
        <v>0.65</v>
      </c>
      <c r="G59" s="493">
        <v>0.65</v>
      </c>
      <c r="H59" s="493">
        <v>0.65</v>
      </c>
    </row>
    <row r="60" spans="2:10" hidden="1" outlineLevel="1" x14ac:dyDescent="0.2">
      <c r="B60" s="146" t="s">
        <v>477</v>
      </c>
      <c r="C60" s="493">
        <v>0.22</v>
      </c>
      <c r="D60" s="493">
        <v>0.22</v>
      </c>
      <c r="E60" s="493">
        <v>0.22</v>
      </c>
      <c r="F60" s="493">
        <v>0.22</v>
      </c>
      <c r="G60" s="493">
        <v>0.22</v>
      </c>
      <c r="H60" s="493">
        <v>0.22</v>
      </c>
    </row>
    <row r="61" spans="2:10" hidden="1" outlineLevel="1" x14ac:dyDescent="0.2">
      <c r="B61" s="146" t="s">
        <v>478</v>
      </c>
      <c r="C61" s="493">
        <v>0.05</v>
      </c>
      <c r="D61" s="493">
        <v>0.05</v>
      </c>
      <c r="E61" s="493">
        <v>0.05</v>
      </c>
      <c r="F61" s="493">
        <v>0.05</v>
      </c>
      <c r="G61" s="493">
        <v>0.05</v>
      </c>
      <c r="H61" s="493">
        <v>0.05</v>
      </c>
    </row>
    <row r="62" spans="2:10" hidden="1" outlineLevel="1" x14ac:dyDescent="0.2">
      <c r="B62" s="146" t="s">
        <v>479</v>
      </c>
      <c r="C62" s="493">
        <v>0.08</v>
      </c>
      <c r="D62" s="493">
        <v>0.08</v>
      </c>
      <c r="E62" s="493">
        <v>0.08</v>
      </c>
      <c r="F62" s="493">
        <v>0.08</v>
      </c>
      <c r="G62" s="493">
        <v>0.08</v>
      </c>
      <c r="H62" s="493">
        <v>0.08</v>
      </c>
    </row>
    <row r="63" spans="2:10" hidden="1" outlineLevel="1" x14ac:dyDescent="0.2">
      <c r="B63" s="146" t="s">
        <v>480</v>
      </c>
      <c r="C63" s="526">
        <f>SUM(C59:C62)</f>
        <v>1</v>
      </c>
      <c r="D63" s="526">
        <f>SUM(D59:D62)</f>
        <v>1</v>
      </c>
      <c r="E63" s="526">
        <f t="shared" ref="E63:H63" si="19">SUM(E59:E62)</f>
        <v>1</v>
      </c>
      <c r="F63" s="526">
        <f t="shared" si="19"/>
        <v>1</v>
      </c>
      <c r="G63" s="526">
        <f t="shared" si="19"/>
        <v>1</v>
      </c>
      <c r="H63" s="526">
        <f t="shared" si="19"/>
        <v>1</v>
      </c>
    </row>
    <row r="64" spans="2:10" collapsed="1" x14ac:dyDescent="0.2"/>
    <row r="65" spans="2:8" x14ac:dyDescent="0.2">
      <c r="B65" s="147" t="s">
        <v>517</v>
      </c>
      <c r="C65" s="235"/>
      <c r="D65" s="235"/>
      <c r="E65" s="235"/>
      <c r="F65" s="235"/>
      <c r="G65" s="235"/>
      <c r="H65" s="235"/>
    </row>
    <row r="66" spans="2:8" x14ac:dyDescent="0.2">
      <c r="B66" s="5" t="s">
        <v>485</v>
      </c>
      <c r="C66" s="499">
        <f>C32</f>
        <v>108.89999999999999</v>
      </c>
      <c r="D66" s="499">
        <f>D32</f>
        <v>116.28</v>
      </c>
      <c r="E66" s="499">
        <f t="shared" ref="E66:H66" si="20">E32</f>
        <v>124.33199897999998</v>
      </c>
      <c r="F66" s="499">
        <f t="shared" si="20"/>
        <v>132.01930631439899</v>
      </c>
      <c r="G66" s="499">
        <f t="shared" si="20"/>
        <v>139.53201966543827</v>
      </c>
      <c r="H66" s="499">
        <f t="shared" si="20"/>
        <v>146.24257022764172</v>
      </c>
    </row>
    <row r="67" spans="2:8" x14ac:dyDescent="0.2">
      <c r="B67" s="5" t="s">
        <v>486</v>
      </c>
      <c r="C67" s="499">
        <f>C39</f>
        <v>44.2</v>
      </c>
      <c r="D67" s="499">
        <f>D39</f>
        <v>46.891779999999997</v>
      </c>
      <c r="E67" s="499">
        <f t="shared" ref="E67:H67" si="21">E39</f>
        <v>49.988982068999988</v>
      </c>
      <c r="F67" s="499">
        <f t="shared" si="21"/>
        <v>53.032061352450363</v>
      </c>
      <c r="G67" s="499">
        <f t="shared" si="21"/>
        <v>55.988598772849464</v>
      </c>
      <c r="H67" s="499">
        <f t="shared" si="21"/>
        <v>58.536080017014115</v>
      </c>
    </row>
    <row r="68" spans="2:8" x14ac:dyDescent="0.2">
      <c r="B68" s="5" t="s">
        <v>522</v>
      </c>
      <c r="C68" s="499">
        <f>C49</f>
        <v>32.173999999999992</v>
      </c>
      <c r="D68" s="499">
        <f>D49</f>
        <v>36.688907999999998</v>
      </c>
      <c r="E68" s="499">
        <f t="shared" ref="E68:H68" si="22">E49</f>
        <v>42.215734770299996</v>
      </c>
      <c r="F68" s="499">
        <f t="shared" si="22"/>
        <v>47.835663109919366</v>
      </c>
      <c r="G68" s="499">
        <f t="shared" si="22"/>
        <v>54.179024222722688</v>
      </c>
      <c r="H68" s="499">
        <f t="shared" si="22"/>
        <v>60.325770291106537</v>
      </c>
    </row>
    <row r="69" spans="2:8" x14ac:dyDescent="0.2">
      <c r="B69" s="517" t="s">
        <v>487</v>
      </c>
      <c r="C69" s="525">
        <f>C57</f>
        <v>2.0009592000000005</v>
      </c>
      <c r="D69" s="525">
        <f>D57</f>
        <v>1.1591919904000001</v>
      </c>
      <c r="E69" s="525">
        <f t="shared" ref="E69:H69" si="23">E57</f>
        <v>-0.54134178954824985</v>
      </c>
      <c r="F69" s="525">
        <f t="shared" si="23"/>
        <v>1.3274560754275819</v>
      </c>
      <c r="G69" s="525">
        <f t="shared" si="23"/>
        <v>-1.4232879631677595</v>
      </c>
      <c r="H69" s="525">
        <f t="shared" si="23"/>
        <v>1.2990116606252355</v>
      </c>
    </row>
    <row r="70" spans="2:8" x14ac:dyDescent="0.2">
      <c r="B70" s="528" t="s">
        <v>523</v>
      </c>
      <c r="C70" s="527">
        <f>SUM(C66:C69)</f>
        <v>187.27495920000001</v>
      </c>
      <c r="D70" s="527">
        <f>SUM(D66:D69)</f>
        <v>201.0198799904</v>
      </c>
      <c r="E70" s="527">
        <f t="shared" ref="E70:H70" si="24">SUM(E66:E69)</f>
        <v>215.9953740297517</v>
      </c>
      <c r="F70" s="527">
        <f t="shared" si="24"/>
        <v>234.2144868521963</v>
      </c>
      <c r="G70" s="527">
        <f t="shared" si="24"/>
        <v>248.27635469784266</v>
      </c>
      <c r="H70" s="527">
        <f t="shared" si="24"/>
        <v>266.4034321963876</v>
      </c>
    </row>
    <row r="71" spans="2:8" x14ac:dyDescent="0.2">
      <c r="B71" s="226" t="s">
        <v>468</v>
      </c>
      <c r="D71" s="468">
        <f>D70/C70-1</f>
        <v>7.3394333386136879E-2</v>
      </c>
      <c r="E71" s="468">
        <f t="shared" ref="E71:H71" si="25">E70/D70-1</f>
        <v>7.449757725488082E-2</v>
      </c>
      <c r="F71" s="468">
        <f t="shared" si="25"/>
        <v>8.4349551022954161E-2</v>
      </c>
      <c r="G71" s="468">
        <f t="shared" si="25"/>
        <v>6.0038420486433264E-2</v>
      </c>
      <c r="H71" s="468">
        <f t="shared" si="25"/>
        <v>7.301169505491556E-2</v>
      </c>
    </row>
  </sheetData>
  <mergeCells count="1">
    <mergeCell ref="B4:H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77F8-AD1F-D04D-AB42-6FAF53AFD9A4}">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44" t="s">
        <v>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B2:C33"/>
  <sheetViews>
    <sheetView showGridLines="0" workbookViewId="0"/>
  </sheetViews>
  <sheetFormatPr baseColWidth="10" defaultColWidth="8.83203125" defaultRowHeight="14" x14ac:dyDescent="0.2"/>
  <cols>
    <col min="1" max="1" width="4.1640625" style="16" customWidth="1"/>
    <col min="2" max="2" width="56.6640625" style="16" customWidth="1"/>
    <col min="3" max="3" width="141.5" style="16" customWidth="1"/>
    <col min="4" max="5" width="8.83203125" style="16" customWidth="1"/>
    <col min="6" max="16384" width="8.83203125" style="16"/>
  </cols>
  <sheetData>
    <row r="2" spans="2:3" ht="19" customHeight="1" x14ac:dyDescent="0.2">
      <c r="B2" s="57" t="s">
        <v>77</v>
      </c>
    </row>
    <row r="3" spans="2:3" ht="15" x14ac:dyDescent="0.2">
      <c r="B3" s="59" t="s">
        <v>180</v>
      </c>
    </row>
    <row r="5" spans="2:3" ht="15" customHeight="1" thickBot="1" x14ac:dyDescent="0.25">
      <c r="B5" s="60" t="s">
        <v>181</v>
      </c>
      <c r="C5" s="58"/>
    </row>
    <row r="6" spans="2:3" x14ac:dyDescent="0.2">
      <c r="B6" s="31" t="s">
        <v>182</v>
      </c>
      <c r="C6" s="31" t="s">
        <v>183</v>
      </c>
    </row>
    <row r="7" spans="2:3" x14ac:dyDescent="0.2">
      <c r="B7" s="26" t="s">
        <v>184</v>
      </c>
      <c r="C7" s="26" t="s">
        <v>185</v>
      </c>
    </row>
    <row r="8" spans="2:3" x14ac:dyDescent="0.2">
      <c r="B8" s="26" t="s">
        <v>186</v>
      </c>
      <c r="C8" s="26" t="s">
        <v>187</v>
      </c>
    </row>
    <row r="9" spans="2:3" x14ac:dyDescent="0.2">
      <c r="B9" s="22" t="s">
        <v>188</v>
      </c>
      <c r="C9" s="22" t="s">
        <v>189</v>
      </c>
    </row>
    <row r="10" spans="2:3" ht="15" customHeight="1" x14ac:dyDescent="0.2">
      <c r="B10" s="246" t="s">
        <v>190</v>
      </c>
      <c r="C10" s="22" t="s">
        <v>191</v>
      </c>
    </row>
    <row r="11" spans="2:3" x14ac:dyDescent="0.2">
      <c r="B11" s="245"/>
      <c r="C11" s="245"/>
    </row>
    <row r="12" spans="2:3" ht="15" thickBot="1" x14ac:dyDescent="0.25">
      <c r="B12" s="247" t="s">
        <v>192</v>
      </c>
      <c r="C12" s="248"/>
    </row>
    <row r="13" spans="2:3" x14ac:dyDescent="0.2">
      <c r="B13" s="31" t="s">
        <v>52</v>
      </c>
      <c r="C13" s="31" t="s">
        <v>193</v>
      </c>
    </row>
    <row r="14" spans="2:3" x14ac:dyDescent="0.2">
      <c r="B14" s="26" t="s">
        <v>53</v>
      </c>
      <c r="C14" s="26" t="s">
        <v>194</v>
      </c>
    </row>
    <row r="15" spans="2:3" x14ac:dyDescent="0.2">
      <c r="B15" s="26" t="s">
        <v>54</v>
      </c>
      <c r="C15" s="26" t="s">
        <v>195</v>
      </c>
    </row>
    <row r="16" spans="2:3" x14ac:dyDescent="0.2">
      <c r="B16" s="26" t="s">
        <v>196</v>
      </c>
      <c r="C16" s="26" t="s">
        <v>197</v>
      </c>
    </row>
    <row r="17" spans="2:3" x14ac:dyDescent="0.2">
      <c r="B17" s="26" t="s">
        <v>198</v>
      </c>
      <c r="C17" s="26" t="s">
        <v>199</v>
      </c>
    </row>
    <row r="18" spans="2:3" x14ac:dyDescent="0.2">
      <c r="B18" s="22" t="s">
        <v>200</v>
      </c>
      <c r="C18" s="22" t="s">
        <v>201</v>
      </c>
    </row>
    <row r="19" spans="2:3" ht="15" customHeight="1" x14ac:dyDescent="0.2">
      <c r="B19" s="22" t="s">
        <v>202</v>
      </c>
      <c r="C19" s="22" t="s">
        <v>203</v>
      </c>
    </row>
    <row r="20" spans="2:3" x14ac:dyDescent="0.2">
      <c r="B20" s="26" t="s">
        <v>204</v>
      </c>
      <c r="C20" s="26" t="s">
        <v>205</v>
      </c>
    </row>
    <row r="21" spans="2:3" x14ac:dyDescent="0.2">
      <c r="B21" s="26"/>
      <c r="C21" s="26"/>
    </row>
    <row r="22" spans="2:3" ht="15" thickBot="1" x14ac:dyDescent="0.25">
      <c r="B22" s="247" t="s">
        <v>206</v>
      </c>
      <c r="C22" s="248"/>
    </row>
    <row r="23" spans="2:3" x14ac:dyDescent="0.2">
      <c r="B23" s="31" t="s">
        <v>207</v>
      </c>
      <c r="C23" s="31" t="s">
        <v>208</v>
      </c>
    </row>
    <row r="24" spans="2:3" x14ac:dyDescent="0.2">
      <c r="B24" s="26" t="s">
        <v>209</v>
      </c>
      <c r="C24" s="26" t="s">
        <v>210</v>
      </c>
    </row>
    <row r="25" spans="2:3" x14ac:dyDescent="0.2">
      <c r="B25" s="22" t="s">
        <v>79</v>
      </c>
      <c r="C25" s="22" t="s">
        <v>211</v>
      </c>
    </row>
    <row r="26" spans="2:3" x14ac:dyDescent="0.2">
      <c r="B26" s="22" t="s">
        <v>212</v>
      </c>
      <c r="C26" s="22" t="s">
        <v>213</v>
      </c>
    </row>
    <row r="27" spans="2:3" x14ac:dyDescent="0.2">
      <c r="B27" s="22" t="s">
        <v>214</v>
      </c>
      <c r="C27" s="22" t="s">
        <v>215</v>
      </c>
    </row>
    <row r="29" spans="2:3" ht="15" thickBot="1" x14ac:dyDescent="0.25">
      <c r="B29" s="60" t="s">
        <v>216</v>
      </c>
      <c r="C29" s="58"/>
    </row>
    <row r="30" spans="2:3" x14ac:dyDescent="0.2">
      <c r="B30" s="249" t="s">
        <v>217</v>
      </c>
      <c r="C30" s="249" t="s">
        <v>218</v>
      </c>
    </row>
    <row r="31" spans="2:3" x14ac:dyDescent="0.2">
      <c r="B31" s="22" t="s">
        <v>219</v>
      </c>
      <c r="C31" s="22" t="s">
        <v>220</v>
      </c>
    </row>
    <row r="32" spans="2:3" x14ac:dyDescent="0.2">
      <c r="B32" s="22" t="s">
        <v>221</v>
      </c>
      <c r="C32" s="22" t="s">
        <v>222</v>
      </c>
    </row>
    <row r="33" spans="2:3" x14ac:dyDescent="0.2">
      <c r="B33" s="22" t="s">
        <v>223</v>
      </c>
      <c r="C33" s="22" t="s">
        <v>224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2D10-67F9-5345-8ADB-D702D3E7F561}">
  <sheetPr>
    <tabColor rgb="FF808080"/>
  </sheetPr>
  <dimension ref="A2:O165"/>
  <sheetViews>
    <sheetView showGridLines="0" workbookViewId="0">
      <selection activeCell="B10" sqref="B10"/>
    </sheetView>
  </sheetViews>
  <sheetFormatPr baseColWidth="10" defaultRowHeight="15" x14ac:dyDescent="0.2"/>
  <cols>
    <col min="1" max="1" width="3.33203125" customWidth="1"/>
    <col min="2" max="2" width="40" customWidth="1"/>
    <col min="3" max="3" width="10" customWidth="1"/>
    <col min="4" max="4" width="13.33203125" customWidth="1"/>
    <col min="5" max="9" width="14.1640625" customWidth="1"/>
  </cols>
  <sheetData>
    <row r="2" spans="1:15" ht="16" x14ac:dyDescent="0.2">
      <c r="B2" s="57" t="s">
        <v>264</v>
      </c>
    </row>
    <row r="3" spans="1:15" x14ac:dyDescent="0.2">
      <c r="B3" s="4" t="s">
        <v>589</v>
      </c>
    </row>
    <row r="4" spans="1:15" x14ac:dyDescent="0.2">
      <c r="B4" s="226" t="s">
        <v>776</v>
      </c>
    </row>
    <row r="5" spans="1:15" ht="15" customHeight="1" x14ac:dyDescent="0.2">
      <c r="B5" s="634" t="s">
        <v>792</v>
      </c>
      <c r="C5" s="634"/>
      <c r="D5" s="634"/>
      <c r="E5" s="634"/>
      <c r="F5" s="634"/>
    </row>
    <row r="6" spans="1:15" x14ac:dyDescent="0.2">
      <c r="B6" s="634"/>
      <c r="C6" s="634"/>
      <c r="D6" s="634"/>
      <c r="E6" s="634"/>
      <c r="F6" s="634"/>
    </row>
    <row r="7" spans="1:15" x14ac:dyDescent="0.2">
      <c r="B7" s="634"/>
      <c r="C7" s="634"/>
      <c r="D7" s="634"/>
      <c r="E7" s="634"/>
      <c r="F7" s="634"/>
    </row>
    <row r="8" spans="1:15" x14ac:dyDescent="0.2">
      <c r="B8" s="634"/>
      <c r="C8" s="634"/>
      <c r="D8" s="634"/>
      <c r="E8" s="634"/>
      <c r="F8" s="634"/>
    </row>
    <row r="9" spans="1:15" x14ac:dyDescent="0.2">
      <c r="B9" s="634"/>
      <c r="C9" s="634"/>
      <c r="D9" s="634"/>
      <c r="E9" s="634"/>
      <c r="F9" s="634"/>
    </row>
    <row r="10" spans="1:15" x14ac:dyDescent="0.2">
      <c r="B10" s="243"/>
    </row>
    <row r="11" spans="1:15" ht="16" thickBot="1" x14ac:dyDescent="0.25">
      <c r="A11" s="3"/>
      <c r="B11" s="147" t="s">
        <v>265</v>
      </c>
      <c r="C11" s="235"/>
      <c r="D11" s="233" t="s">
        <v>225</v>
      </c>
      <c r="E11" s="3"/>
      <c r="F11" s="3"/>
      <c r="G11" s="3"/>
      <c r="H11" s="3"/>
      <c r="I11" s="3"/>
      <c r="J11" s="3"/>
      <c r="K11" s="3"/>
      <c r="L11" s="3"/>
      <c r="M11" s="3"/>
      <c r="N11" s="3"/>
      <c r="O11" s="3"/>
    </row>
    <row r="12" spans="1:15" x14ac:dyDescent="0.2">
      <c r="A12" s="3"/>
      <c r="B12" s="28" t="s">
        <v>11</v>
      </c>
      <c r="C12" s="28" t="s">
        <v>2</v>
      </c>
      <c r="D12" s="345">
        <f>Assumptions!D104</f>
        <v>0.08</v>
      </c>
      <c r="E12" s="341"/>
      <c r="F12" s="341"/>
      <c r="G12" s="341"/>
      <c r="H12" s="341"/>
      <c r="I12" s="3"/>
      <c r="J12" s="3"/>
      <c r="K12" s="3"/>
      <c r="L12" s="3"/>
      <c r="M12" s="3"/>
      <c r="N12" s="3"/>
      <c r="O12" s="3"/>
    </row>
    <row r="13" spans="1:15" x14ac:dyDescent="0.2">
      <c r="A13" s="3"/>
      <c r="B13" s="5" t="s">
        <v>7</v>
      </c>
      <c r="C13" s="5" t="s">
        <v>2</v>
      </c>
      <c r="D13" s="259">
        <f>'DCF &amp; Sensitivity'!D12</f>
        <v>0.19</v>
      </c>
      <c r="E13" s="341"/>
      <c r="F13" s="341"/>
      <c r="G13" s="341"/>
      <c r="H13" s="341"/>
      <c r="I13" s="3"/>
      <c r="J13" s="3"/>
      <c r="K13" s="3"/>
      <c r="L13" s="3"/>
      <c r="M13" s="3"/>
      <c r="N13" s="3"/>
      <c r="O13" s="3"/>
    </row>
    <row r="14" spans="1:15" x14ac:dyDescent="0.2">
      <c r="A14" s="3"/>
      <c r="B14" s="5" t="s">
        <v>166</v>
      </c>
      <c r="C14" s="5" t="s">
        <v>14</v>
      </c>
      <c r="D14" s="38">
        <f>'DCF &amp; Sensitivity'!D44</f>
        <v>-624.08299999999997</v>
      </c>
      <c r="E14" s="3"/>
      <c r="F14" s="3"/>
      <c r="G14" s="3"/>
      <c r="H14" s="3"/>
      <c r="I14" s="3"/>
      <c r="J14" s="3"/>
      <c r="K14" s="3"/>
      <c r="L14" s="3"/>
      <c r="M14" s="3"/>
      <c r="N14" s="3"/>
      <c r="O14" s="3"/>
    </row>
    <row r="15" spans="1:15" x14ac:dyDescent="0.2">
      <c r="A15" s="3"/>
      <c r="B15" s="5" t="s">
        <v>266</v>
      </c>
      <c r="C15" s="5" t="s">
        <v>34</v>
      </c>
      <c r="D15" s="38">
        <f>'DCF &amp; Sensitivity'!D47</f>
        <v>169.21899999999999</v>
      </c>
      <c r="E15" s="3"/>
      <c r="F15" s="3"/>
      <c r="G15" s="3"/>
      <c r="H15" s="3"/>
      <c r="I15" s="3"/>
      <c r="J15" s="3"/>
      <c r="K15" s="3"/>
      <c r="L15" s="3"/>
      <c r="M15" s="3"/>
      <c r="N15" s="3"/>
      <c r="O15" s="3"/>
    </row>
    <row r="16" spans="1:15" x14ac:dyDescent="0.2">
      <c r="A16" s="3"/>
      <c r="B16" s="5" t="s">
        <v>267</v>
      </c>
      <c r="C16" s="5" t="s">
        <v>14</v>
      </c>
      <c r="D16" s="178">
        <f>'Income Statement'!H12</f>
        <v>2236.6</v>
      </c>
      <c r="E16" s="3"/>
      <c r="F16" s="3"/>
      <c r="G16" s="3"/>
      <c r="H16" s="3"/>
      <c r="I16" s="3"/>
      <c r="J16" s="3"/>
      <c r="K16" s="3"/>
      <c r="L16" s="3"/>
      <c r="M16" s="3"/>
      <c r="N16" s="3"/>
      <c r="O16" s="3"/>
    </row>
    <row r="17" spans="1:15" x14ac:dyDescent="0.2">
      <c r="A17" s="3"/>
      <c r="B17" s="5" t="s">
        <v>268</v>
      </c>
      <c r="C17" s="5" t="s">
        <v>2</v>
      </c>
      <c r="D17" s="259">
        <f>'Income Statement'!H51/'Income Statement'!H12</f>
        <v>0.33372082625413568</v>
      </c>
      <c r="E17" s="341"/>
      <c r="F17" s="341"/>
      <c r="G17" s="341"/>
      <c r="H17" s="341"/>
      <c r="I17" s="3"/>
      <c r="J17" s="3"/>
      <c r="K17" s="3"/>
      <c r="L17" s="3"/>
      <c r="M17" s="3"/>
      <c r="N17" s="3"/>
      <c r="O17" s="3"/>
    </row>
    <row r="18" spans="1:15" x14ac:dyDescent="0.2">
      <c r="A18" s="3"/>
      <c r="B18" s="5" t="s">
        <v>269</v>
      </c>
      <c r="C18" s="5" t="s">
        <v>2</v>
      </c>
      <c r="D18" s="259">
        <f>-'Cash Flow'!H50/'Income Statement'!H12</f>
        <v>2.0418939461682911E-2</v>
      </c>
      <c r="E18" s="341"/>
      <c r="F18" s="341"/>
      <c r="G18" s="341"/>
      <c r="H18" s="341"/>
      <c r="I18" s="3"/>
      <c r="J18" s="3"/>
      <c r="K18" s="3"/>
      <c r="L18" s="3"/>
      <c r="M18" s="3"/>
      <c r="N18" s="3"/>
      <c r="O18" s="3"/>
    </row>
    <row r="19" spans="1:15" x14ac:dyDescent="0.2">
      <c r="A19" s="3"/>
      <c r="B19" s="5" t="s">
        <v>270</v>
      </c>
      <c r="C19" s="5" t="s">
        <v>2</v>
      </c>
      <c r="D19" s="259">
        <f>Assumptions!I82</f>
        <v>1.5335777519449163E-2</v>
      </c>
      <c r="E19" s="341"/>
      <c r="F19" s="341"/>
      <c r="G19" s="341"/>
      <c r="H19" s="341"/>
      <c r="I19" s="3"/>
      <c r="J19" s="3"/>
      <c r="K19" s="3"/>
      <c r="L19" s="3"/>
      <c r="M19" s="3"/>
      <c r="N19" s="3"/>
      <c r="O19" s="3"/>
    </row>
    <row r="20" spans="1:15" x14ac:dyDescent="0.2">
      <c r="A20" s="3"/>
      <c r="B20" s="5" t="s">
        <v>295</v>
      </c>
      <c r="C20" s="5" t="s">
        <v>14</v>
      </c>
      <c r="D20" s="177">
        <v>2362</v>
      </c>
      <c r="E20" s="3"/>
      <c r="F20" s="3"/>
      <c r="G20" s="3"/>
      <c r="H20" s="3"/>
      <c r="I20" s="3"/>
      <c r="J20" s="3"/>
      <c r="K20" s="3"/>
      <c r="L20" s="3"/>
      <c r="M20" s="3"/>
      <c r="N20" s="3"/>
      <c r="O20" s="3"/>
    </row>
    <row r="21" spans="1:15" x14ac:dyDescent="0.2">
      <c r="A21" s="3"/>
      <c r="B21" s="3" t="s">
        <v>313</v>
      </c>
      <c r="C21" s="3" t="s">
        <v>2</v>
      </c>
      <c r="D21" s="260">
        <f>'Income Statement'!I51/'Income Statement'!I12</f>
        <v>0.32044663313101512</v>
      </c>
      <c r="E21" s="341"/>
      <c r="F21" s="341"/>
      <c r="G21" s="341"/>
      <c r="H21" s="341"/>
      <c r="I21" s="3"/>
      <c r="J21" s="3"/>
      <c r="K21" s="3"/>
      <c r="L21" s="3"/>
      <c r="M21" s="3"/>
      <c r="N21" s="3"/>
      <c r="O21" s="3"/>
    </row>
    <row r="22" spans="1:15" x14ac:dyDescent="0.2">
      <c r="A22" s="3"/>
      <c r="B22" s="3"/>
      <c r="C22" s="3"/>
      <c r="D22" s="260"/>
      <c r="E22" s="341"/>
      <c r="F22" s="341"/>
      <c r="G22" s="341"/>
      <c r="H22" s="341"/>
      <c r="I22" s="3"/>
      <c r="J22" s="3"/>
      <c r="K22" s="3"/>
      <c r="L22" s="3"/>
      <c r="M22" s="3"/>
      <c r="N22" s="3"/>
      <c r="O22" s="3"/>
    </row>
    <row r="23" spans="1:15" ht="16" thickBot="1" x14ac:dyDescent="0.25">
      <c r="A23" s="3"/>
      <c r="B23" s="147" t="s">
        <v>271</v>
      </c>
      <c r="C23" s="235"/>
      <c r="D23" s="233" t="s">
        <v>47</v>
      </c>
      <c r="E23" s="233" t="s">
        <v>57</v>
      </c>
      <c r="F23" s="233" t="s">
        <v>48</v>
      </c>
      <c r="G23" s="3"/>
      <c r="H23" s="3"/>
      <c r="I23" s="3"/>
      <c r="J23" s="3"/>
      <c r="K23" s="3"/>
      <c r="L23" s="3"/>
      <c r="M23" s="3"/>
      <c r="N23" s="3"/>
      <c r="O23" s="3"/>
    </row>
    <row r="24" spans="1:15" x14ac:dyDescent="0.2">
      <c r="A24" s="3"/>
      <c r="B24" s="28" t="s">
        <v>294</v>
      </c>
      <c r="C24" s="28" t="s">
        <v>2</v>
      </c>
      <c r="D24" s="346">
        <f>-0.023</f>
        <v>-2.3E-2</v>
      </c>
      <c r="E24" s="345">
        <f>0.06</f>
        <v>0.06</v>
      </c>
      <c r="F24" s="345">
        <f>0.13</f>
        <v>0.13</v>
      </c>
      <c r="G24" s="341"/>
      <c r="H24" s="341"/>
      <c r="I24" s="3"/>
      <c r="J24" s="3"/>
      <c r="K24" s="3"/>
      <c r="L24" s="3"/>
      <c r="M24" s="3"/>
      <c r="N24" s="3"/>
      <c r="O24" s="3"/>
    </row>
    <row r="25" spans="1:15" x14ac:dyDescent="0.2">
      <c r="A25" s="3"/>
      <c r="B25" s="5" t="s">
        <v>777</v>
      </c>
      <c r="C25" s="5" t="s">
        <v>2</v>
      </c>
      <c r="D25" s="259">
        <f>1-Assumptions!E22-Assumptions!E23-Assumptions!E24-Assumptions!E25</f>
        <v>0.22800000000000001</v>
      </c>
      <c r="E25" s="259">
        <f>1-Assumptions!F22-Assumptions!F23-Assumptions!F24-Assumptions!F25</f>
        <v>0.27400000000000002</v>
      </c>
      <c r="F25" s="259">
        <f>1-Assumptions!G22-Assumptions!G23-Assumptions!G24-Assumptions!G25</f>
        <v>0.32</v>
      </c>
      <c r="G25" s="341"/>
      <c r="H25" s="341"/>
      <c r="I25" s="3"/>
      <c r="J25" s="3"/>
      <c r="K25" s="3"/>
      <c r="L25" s="3"/>
      <c r="M25" s="3"/>
      <c r="N25" s="3"/>
      <c r="O25" s="3"/>
    </row>
    <row r="26" spans="1:15" x14ac:dyDescent="0.2">
      <c r="A26" s="3"/>
      <c r="B26" s="5" t="s">
        <v>272</v>
      </c>
      <c r="C26" s="5" t="s">
        <v>2</v>
      </c>
      <c r="D26" s="259">
        <f>Assumptions!E31</f>
        <v>3.7999999999999999E-2</v>
      </c>
      <c r="E26" s="259">
        <f>Assumptions!F31</f>
        <v>4.2000000000000003E-2</v>
      </c>
      <c r="F26" s="259">
        <f>Assumptions!G31</f>
        <v>0.05</v>
      </c>
      <c r="G26" s="341"/>
      <c r="H26" s="341"/>
      <c r="I26" s="3"/>
      <c r="J26" s="3"/>
      <c r="K26" s="3"/>
      <c r="L26" s="3"/>
      <c r="M26" s="3"/>
      <c r="N26" s="3"/>
      <c r="O26" s="3"/>
    </row>
    <row r="27" spans="1:15" x14ac:dyDescent="0.2">
      <c r="A27" s="3"/>
      <c r="B27" s="5" t="s">
        <v>19</v>
      </c>
      <c r="C27" s="5" t="s">
        <v>2</v>
      </c>
      <c r="D27" s="259">
        <f>Assumptions!E35</f>
        <v>0.02</v>
      </c>
      <c r="E27" s="259">
        <f>Assumptions!F35</f>
        <v>2.5000000000000001E-2</v>
      </c>
      <c r="F27" s="259">
        <f>Assumptions!G35</f>
        <v>0.03</v>
      </c>
      <c r="G27" s="341"/>
      <c r="H27" s="341"/>
      <c r="I27" s="3"/>
      <c r="J27" s="3"/>
      <c r="K27" s="3"/>
      <c r="L27" s="3"/>
      <c r="M27" s="3"/>
      <c r="N27" s="3"/>
      <c r="O27" s="3"/>
    </row>
    <row r="28" spans="1:15" x14ac:dyDescent="0.2">
      <c r="A28" s="3"/>
      <c r="B28" s="5" t="s">
        <v>24</v>
      </c>
      <c r="C28" s="5" t="s">
        <v>4</v>
      </c>
      <c r="D28" s="210">
        <f>Assumptions!E36</f>
        <v>13</v>
      </c>
      <c r="E28" s="210">
        <f>Assumptions!F36</f>
        <v>15</v>
      </c>
      <c r="F28" s="210">
        <f>Assumptions!G36</f>
        <v>18</v>
      </c>
      <c r="G28" s="3"/>
      <c r="H28" s="3"/>
      <c r="I28" s="3"/>
      <c r="J28" s="3"/>
      <c r="K28" s="3"/>
      <c r="L28" s="3"/>
      <c r="M28" s="3"/>
      <c r="N28" s="3"/>
      <c r="O28" s="3"/>
    </row>
    <row r="29" spans="1:15" x14ac:dyDescent="0.2">
      <c r="A29" s="3"/>
      <c r="B29" s="3"/>
      <c r="C29" s="3"/>
      <c r="D29" s="3"/>
      <c r="E29" s="3"/>
      <c r="F29" s="3"/>
      <c r="G29" s="3"/>
      <c r="H29" s="3"/>
      <c r="I29" s="3"/>
      <c r="J29" s="3"/>
      <c r="K29" s="3"/>
      <c r="L29" s="3"/>
      <c r="M29" s="3"/>
      <c r="N29" s="3"/>
      <c r="O29" s="3"/>
    </row>
    <row r="30" spans="1:15" x14ac:dyDescent="0.2">
      <c r="A30" s="3"/>
      <c r="B30" s="3"/>
      <c r="C30" s="3"/>
      <c r="D30" s="3"/>
      <c r="E30" s="3"/>
      <c r="F30" s="3"/>
      <c r="G30" s="3"/>
      <c r="H30" s="3"/>
      <c r="I30" s="3"/>
      <c r="J30" s="3"/>
      <c r="K30" s="3"/>
      <c r="L30" s="3"/>
      <c r="M30" s="3"/>
      <c r="N30" s="3"/>
      <c r="O30" s="3"/>
    </row>
    <row r="31" spans="1:15" ht="16" thickBot="1" x14ac:dyDescent="0.25">
      <c r="A31" s="3"/>
      <c r="B31" s="261" t="s">
        <v>81</v>
      </c>
      <c r="C31" s="262"/>
      <c r="D31" s="232" t="str">
        <f>"FY"&amp;TEXT(MOD('Cover Page'!$C$64+0,100),"00")&amp;"E"</f>
        <v>FY26E</v>
      </c>
      <c r="E31" s="232" t="str">
        <f>"FY"&amp;TEXT(MOD('Cover Page'!$C$64+1,100),"00")&amp;"E"</f>
        <v>FY27E</v>
      </c>
      <c r="F31" s="232" t="str">
        <f>"FY"&amp;TEXT(MOD('Cover Page'!$C$64+2,100),"00")&amp;"E"</f>
        <v>FY28E</v>
      </c>
      <c r="G31" s="232" t="str">
        <f>"FY"&amp;TEXT(MOD('Cover Page'!$C$64+3,100),"00")&amp;"E"</f>
        <v>FY29E</v>
      </c>
      <c r="H31" s="232" t="str">
        <f>"FY"&amp;TEXT(MOD('Cover Page'!$C$64+4,100),"00")&amp;"E"</f>
        <v>FY30E</v>
      </c>
      <c r="I31" s="3"/>
      <c r="J31" s="3"/>
      <c r="K31" s="3"/>
      <c r="L31" s="3"/>
      <c r="M31" s="3"/>
      <c r="N31" s="3"/>
      <c r="O31" s="3"/>
    </row>
    <row r="32" spans="1:15" x14ac:dyDescent="0.2">
      <c r="A32" s="3"/>
      <c r="B32" s="28" t="s">
        <v>82</v>
      </c>
      <c r="C32" s="28" t="s">
        <v>14</v>
      </c>
      <c r="D32" s="295">
        <f>$D$20</f>
        <v>2362</v>
      </c>
      <c r="E32" s="295">
        <f>D32*(1+$D$24)</f>
        <v>2307.674</v>
      </c>
      <c r="F32" s="295">
        <f>E32*(1+$D$24)</f>
        <v>2254.5974980000001</v>
      </c>
      <c r="G32" s="295">
        <f>F32*(1+$D$24)</f>
        <v>2202.7417555460001</v>
      </c>
      <c r="H32" s="295">
        <f>G32*(1+$D$24)</f>
        <v>2152.0786951684422</v>
      </c>
      <c r="I32" s="3"/>
      <c r="J32" s="3"/>
      <c r="K32" s="3"/>
      <c r="L32" s="3"/>
      <c r="M32" s="3"/>
      <c r="N32" s="3"/>
      <c r="O32" s="3"/>
    </row>
    <row r="33" spans="1:15" x14ac:dyDescent="0.2">
      <c r="A33" s="3"/>
      <c r="B33" s="5" t="s">
        <v>273</v>
      </c>
      <c r="C33" s="5" t="s">
        <v>2</v>
      </c>
      <c r="D33" s="270">
        <f>$D$21+($D$25-$D$21)*0/4</f>
        <v>0.32044663313101512</v>
      </c>
      <c r="E33" s="270">
        <f>$D$21+($D$25-$D$21)*1/4</f>
        <v>0.29733497484826132</v>
      </c>
      <c r="F33" s="270">
        <f>$D$21+($D$25-$D$21)*2/4</f>
        <v>0.27422331656550758</v>
      </c>
      <c r="G33" s="270">
        <f>$D$21+($D$25-$D$21)*3/4</f>
        <v>0.25111165828275378</v>
      </c>
      <c r="H33" s="270">
        <f>$D$21+($D$25-$D$21)*4/4</f>
        <v>0.22800000000000001</v>
      </c>
      <c r="I33" s="3"/>
      <c r="J33" s="3"/>
      <c r="K33" s="3"/>
      <c r="L33" s="3"/>
      <c r="M33" s="3"/>
      <c r="N33" s="3"/>
      <c r="O33" s="3"/>
    </row>
    <row r="34" spans="1:15" x14ac:dyDescent="0.2">
      <c r="A34" s="3"/>
      <c r="B34" s="5" t="s">
        <v>67</v>
      </c>
      <c r="C34" s="5" t="s">
        <v>14</v>
      </c>
      <c r="D34" s="296">
        <f>D32*D33</f>
        <v>756.89494745545767</v>
      </c>
      <c r="E34" s="296">
        <f>E32*E33</f>
        <v>686.15219074798665</v>
      </c>
      <c r="F34" s="296">
        <f>F32*F33</f>
        <v>618.26320342185534</v>
      </c>
      <c r="G34" s="296">
        <f>G32*G33</f>
        <v>553.13413500382035</v>
      </c>
      <c r="H34" s="296">
        <f>H32*H33</f>
        <v>490.67394249840487</v>
      </c>
      <c r="I34" s="3"/>
      <c r="J34" s="3"/>
      <c r="K34" s="3"/>
      <c r="L34" s="3"/>
      <c r="M34" s="3"/>
      <c r="N34" s="3"/>
      <c r="O34" s="3"/>
    </row>
    <row r="35" spans="1:15" x14ac:dyDescent="0.2">
      <c r="A35" s="3"/>
      <c r="B35" s="5" t="s">
        <v>786</v>
      </c>
      <c r="C35" s="5" t="s">
        <v>14</v>
      </c>
      <c r="D35" s="297">
        <f>-D32*0.047</f>
        <v>-111.014</v>
      </c>
      <c r="E35" s="297">
        <f>-E32*0.047</f>
        <v>-108.460678</v>
      </c>
      <c r="F35" s="297">
        <f>-F32*0.047</f>
        <v>-105.966082406</v>
      </c>
      <c r="G35" s="297">
        <f>-G32*0.047</f>
        <v>-103.52886251066201</v>
      </c>
      <c r="H35" s="297">
        <f>-H32*0.047</f>
        <v>-101.14769867291679</v>
      </c>
      <c r="I35" s="3"/>
      <c r="J35" s="3"/>
      <c r="K35" s="3"/>
      <c r="L35" s="3"/>
      <c r="M35" s="3"/>
      <c r="N35" s="3"/>
      <c r="O35" s="3"/>
    </row>
    <row r="36" spans="1:15" x14ac:dyDescent="0.2">
      <c r="A36" s="3"/>
      <c r="B36" s="5" t="s">
        <v>274</v>
      </c>
      <c r="C36" s="5" t="s">
        <v>14</v>
      </c>
      <c r="D36" s="297">
        <f>D34+D35</f>
        <v>645.88094745545766</v>
      </c>
      <c r="E36" s="297">
        <f>E34+E35</f>
        <v>577.69151274798662</v>
      </c>
      <c r="F36" s="297">
        <f>F34+F35</f>
        <v>512.29712101585528</v>
      </c>
      <c r="G36" s="297">
        <f>G34+G35</f>
        <v>449.60527249315834</v>
      </c>
      <c r="H36" s="297">
        <f>H34+H35</f>
        <v>389.52624382548811</v>
      </c>
      <c r="I36" s="3"/>
      <c r="J36" s="3"/>
      <c r="K36" s="3"/>
      <c r="L36" s="3"/>
      <c r="M36" s="3"/>
      <c r="N36" s="3"/>
      <c r="O36" s="3"/>
    </row>
    <row r="37" spans="1:15" x14ac:dyDescent="0.2">
      <c r="A37" s="3"/>
      <c r="B37" s="5" t="s">
        <v>275</v>
      </c>
      <c r="C37" s="5" t="s">
        <v>14</v>
      </c>
      <c r="D37" s="297">
        <f>D36*(1-$D$13)</f>
        <v>523.16356743892072</v>
      </c>
      <c r="E37" s="297">
        <f>E36*(1-$D$13)</f>
        <v>467.9301253258692</v>
      </c>
      <c r="F37" s="297">
        <f>F36*(1-$D$13)</f>
        <v>414.96066802284281</v>
      </c>
      <c r="G37" s="297">
        <f>G36*(1-$D$13)</f>
        <v>364.18027071945829</v>
      </c>
      <c r="H37" s="297">
        <f>H36*(1-$D$13)</f>
        <v>315.51625749864542</v>
      </c>
      <c r="I37" s="3"/>
      <c r="J37" s="3"/>
      <c r="K37" s="3"/>
      <c r="L37" s="3"/>
      <c r="M37" s="3"/>
      <c r="N37" s="3"/>
      <c r="O37" s="3"/>
    </row>
    <row r="38" spans="1:15" x14ac:dyDescent="0.2">
      <c r="A38" s="3"/>
      <c r="B38" s="5" t="s">
        <v>83</v>
      </c>
      <c r="C38" s="5" t="s">
        <v>14</v>
      </c>
      <c r="D38" s="297">
        <f>-D35</f>
        <v>111.014</v>
      </c>
      <c r="E38" s="297">
        <f>-E35</f>
        <v>108.460678</v>
      </c>
      <c r="F38" s="297">
        <f>-F35</f>
        <v>105.966082406</v>
      </c>
      <c r="G38" s="297">
        <f>-G35</f>
        <v>103.52886251066201</v>
      </c>
      <c r="H38" s="297">
        <f>-H35</f>
        <v>101.14769867291679</v>
      </c>
      <c r="I38" s="3"/>
      <c r="J38" s="3"/>
      <c r="K38" s="3"/>
      <c r="L38" s="3"/>
      <c r="M38" s="3"/>
      <c r="N38" s="3"/>
      <c r="O38" s="3"/>
    </row>
    <row r="39" spans="1:15" x14ac:dyDescent="0.2">
      <c r="A39" s="3"/>
      <c r="B39" s="5" t="s">
        <v>276</v>
      </c>
      <c r="C39" s="5" t="s">
        <v>14</v>
      </c>
      <c r="D39" s="297">
        <f>-D32*($D$18+($D$26-$D$18)*1/5)</f>
        <v>-56.534828006796026</v>
      </c>
      <c r="E39" s="297">
        <f>-E32*($D$18+($D$26-$D$18)*2/5)</f>
        <v>-63.348798221979791</v>
      </c>
      <c r="F39" s="297">
        <f>-F32*($D$18+($D$26-$D$18)*3/5)</f>
        <v>-69.819418883249512</v>
      </c>
      <c r="G39" s="297">
        <f>-G32*($D$18+($D$26-$D$18)*4/5)</f>
        <v>-75.958879479841386</v>
      </c>
      <c r="H39" s="297">
        <f>-H32*$D$26</f>
        <v>-81.778990416400802</v>
      </c>
      <c r="I39" s="3"/>
      <c r="J39" s="3"/>
      <c r="K39" s="3"/>
      <c r="L39" s="3"/>
      <c r="M39" s="3"/>
      <c r="N39" s="3"/>
      <c r="O39" s="3"/>
    </row>
    <row r="40" spans="1:15" x14ac:dyDescent="0.2">
      <c r="A40" s="3"/>
      <c r="B40" s="5" t="s">
        <v>277</v>
      </c>
      <c r="C40" s="5" t="s">
        <v>14</v>
      </c>
      <c r="D40" s="297">
        <f>-D32*$D$19</f>
        <v>-36.223106500938925</v>
      </c>
      <c r="E40" s="297">
        <f>-E32*$D$19</f>
        <v>-35.389975051417323</v>
      </c>
      <c r="F40" s="297">
        <f>-F32*$D$19</f>
        <v>-34.576005625234728</v>
      </c>
      <c r="G40" s="297">
        <f>-G32*$D$19</f>
        <v>-33.780757495854331</v>
      </c>
      <c r="H40" s="297">
        <f>-H32*$D$19</f>
        <v>-33.003800073449682</v>
      </c>
      <c r="I40" s="3"/>
      <c r="J40" s="3"/>
      <c r="K40" s="3"/>
      <c r="L40" s="3"/>
      <c r="M40" s="3"/>
      <c r="N40" s="3"/>
      <c r="O40" s="3"/>
    </row>
    <row r="41" spans="1:15" x14ac:dyDescent="0.2">
      <c r="A41" s="3"/>
      <c r="B41" s="5" t="s">
        <v>278</v>
      </c>
      <c r="C41" s="5" t="s">
        <v>14</v>
      </c>
      <c r="D41" s="296">
        <f>D37+D38+D39+D40-Assumptions!$E$33</f>
        <v>491.41963293118579</v>
      </c>
      <c r="E41" s="296">
        <f>E37+E38+E39+E40-Assumptions!$E$33</f>
        <v>427.65203005247213</v>
      </c>
      <c r="F41" s="296">
        <f>F37+F38+F39+F40-Assumptions!$E$33</f>
        <v>366.53132592035854</v>
      </c>
      <c r="G41" s="296">
        <f>G37+G38+G39+G40-Assumptions!$E$33</f>
        <v>307.9694962544246</v>
      </c>
      <c r="H41" s="296">
        <f>H37+H38+H39+H40-Assumptions!$E$33</f>
        <v>251.88116568171171</v>
      </c>
      <c r="I41" s="3"/>
      <c r="J41" s="3"/>
      <c r="K41" s="3"/>
      <c r="L41" s="3"/>
      <c r="M41" s="3"/>
      <c r="N41" s="3"/>
      <c r="O41" s="3"/>
    </row>
    <row r="42" spans="1:15" x14ac:dyDescent="0.2">
      <c r="A42" s="3"/>
      <c r="B42" s="5" t="s">
        <v>15</v>
      </c>
      <c r="C42" s="5" t="s">
        <v>16</v>
      </c>
      <c r="D42" s="298">
        <v>1</v>
      </c>
      <c r="E42" s="298">
        <v>2</v>
      </c>
      <c r="F42" s="298">
        <v>3</v>
      </c>
      <c r="G42" s="298">
        <v>4</v>
      </c>
      <c r="H42" s="298">
        <v>5</v>
      </c>
      <c r="I42" s="3"/>
      <c r="J42" s="3"/>
      <c r="K42" s="3"/>
      <c r="L42" s="3"/>
      <c r="M42" s="3"/>
      <c r="N42" s="3"/>
      <c r="O42" s="3"/>
    </row>
    <row r="43" spans="1:15" x14ac:dyDescent="0.2">
      <c r="A43" s="3"/>
      <c r="B43" s="5" t="s">
        <v>17</v>
      </c>
      <c r="C43" s="5" t="s">
        <v>4</v>
      </c>
      <c r="D43" s="299">
        <f>1/(1+Assumptions!$E$37)^D42</f>
        <v>0.90909090909090906</v>
      </c>
      <c r="E43" s="299">
        <f>1/(1+Assumptions!$E$37)^E42</f>
        <v>0.82644628099173545</v>
      </c>
      <c r="F43" s="299">
        <f>1/(1+Assumptions!$E$37)^F42</f>
        <v>0.75131480090157754</v>
      </c>
      <c r="G43" s="299">
        <f>1/(1+Assumptions!$E$37)^G42</f>
        <v>0.68301345536507052</v>
      </c>
      <c r="H43" s="299">
        <f>1/(1+Assumptions!$E$37)^H42</f>
        <v>0.62092132305915493</v>
      </c>
      <c r="I43" s="3"/>
      <c r="J43" s="3"/>
      <c r="K43" s="3"/>
      <c r="L43" s="3"/>
      <c r="M43" s="3"/>
      <c r="N43" s="3"/>
      <c r="O43" s="3"/>
    </row>
    <row r="44" spans="1:15" x14ac:dyDescent="0.2">
      <c r="A44" s="3"/>
      <c r="B44" s="5" t="s">
        <v>85</v>
      </c>
      <c r="C44" s="5" t="s">
        <v>14</v>
      </c>
      <c r="D44" s="297">
        <f>D41*D43</f>
        <v>446.74512084653253</v>
      </c>
      <c r="E44" s="297">
        <f>E41*E43</f>
        <v>353.43142979543148</v>
      </c>
      <c r="F44" s="297">
        <f>F41*F43</f>
        <v>275.38041015804538</v>
      </c>
      <c r="G44" s="297">
        <f>G41*G43</f>
        <v>210.34730978377468</v>
      </c>
      <c r="H44" s="297">
        <f>H41*H43</f>
        <v>156.39838664877064</v>
      </c>
      <c r="I44" s="3"/>
      <c r="J44" s="3"/>
      <c r="K44" s="3"/>
      <c r="L44" s="3"/>
      <c r="M44" s="3"/>
      <c r="N44" s="3"/>
      <c r="O44" s="3"/>
    </row>
    <row r="45" spans="1:15" ht="16" thickBot="1" x14ac:dyDescent="0.25">
      <c r="A45" s="3"/>
      <c r="B45" s="3"/>
      <c r="C45" s="3"/>
      <c r="D45" s="3"/>
      <c r="E45" s="3"/>
      <c r="F45" s="3"/>
      <c r="G45" s="3"/>
      <c r="H45" s="3"/>
      <c r="I45" s="3"/>
      <c r="J45" s="3"/>
      <c r="K45" s="3"/>
      <c r="L45" s="3"/>
      <c r="M45" s="3"/>
      <c r="N45" s="3"/>
      <c r="O45" s="3"/>
    </row>
    <row r="46" spans="1:15" x14ac:dyDescent="0.2">
      <c r="A46" s="3"/>
      <c r="B46" s="28" t="s">
        <v>279</v>
      </c>
      <c r="C46" s="28" t="s">
        <v>14</v>
      </c>
      <c r="D46" s="295">
        <f>SUM(D44:H44)</f>
        <v>1442.3026572325548</v>
      </c>
      <c r="E46" s="3"/>
      <c r="F46" s="3"/>
      <c r="G46" s="3"/>
      <c r="H46" s="3"/>
      <c r="I46" s="3"/>
      <c r="J46" s="3"/>
      <c r="K46" s="3"/>
      <c r="L46" s="3"/>
      <c r="M46" s="3"/>
      <c r="N46" s="3"/>
      <c r="O46" s="3"/>
    </row>
    <row r="47" spans="1:15" x14ac:dyDescent="0.2">
      <c r="A47" s="3"/>
      <c r="B47" s="5" t="s">
        <v>280</v>
      </c>
      <c r="C47" s="5" t="s">
        <v>14</v>
      </c>
      <c r="D47" s="297">
        <f>H41</f>
        <v>251.88116568171171</v>
      </c>
      <c r="E47" s="3"/>
      <c r="F47" s="3"/>
      <c r="G47" s="3"/>
      <c r="H47" s="3"/>
      <c r="I47" s="3"/>
      <c r="J47" s="3"/>
      <c r="K47" s="3"/>
      <c r="L47" s="3"/>
      <c r="M47" s="3"/>
      <c r="N47" s="3"/>
      <c r="O47" s="3"/>
    </row>
    <row r="48" spans="1:15" x14ac:dyDescent="0.2">
      <c r="A48" s="3"/>
      <c r="B48" s="5" t="s">
        <v>281</v>
      </c>
      <c r="C48" s="5" t="s">
        <v>14</v>
      </c>
      <c r="D48" s="297">
        <f>H41*(1+$D$27)/(Assumptions!$E$37-$D$27)</f>
        <v>3211.4848624418241</v>
      </c>
      <c r="E48" s="3"/>
      <c r="F48" s="3"/>
      <c r="G48" s="3"/>
      <c r="H48" s="3"/>
      <c r="I48" s="3"/>
      <c r="J48" s="3"/>
      <c r="K48" s="3"/>
      <c r="L48" s="3"/>
      <c r="M48" s="3"/>
      <c r="N48" s="3"/>
      <c r="O48" s="3"/>
    </row>
    <row r="49" spans="1:15" x14ac:dyDescent="0.2">
      <c r="A49" s="3"/>
      <c r="B49" s="5" t="s">
        <v>282</v>
      </c>
      <c r="C49" s="5" t="s">
        <v>14</v>
      </c>
      <c r="D49" s="297">
        <f>D48*H43</f>
        <v>1994.0794297718255</v>
      </c>
      <c r="E49" s="3"/>
      <c r="F49" s="3"/>
      <c r="G49" s="3"/>
      <c r="H49" s="3"/>
      <c r="I49" s="3"/>
      <c r="J49" s="3"/>
      <c r="K49" s="3"/>
      <c r="L49" s="3"/>
      <c r="M49" s="3"/>
      <c r="N49" s="3"/>
      <c r="O49" s="3"/>
    </row>
    <row r="50" spans="1:15" x14ac:dyDescent="0.2">
      <c r="A50" s="3"/>
      <c r="B50" s="5" t="s">
        <v>283</v>
      </c>
      <c r="C50" s="5" t="s">
        <v>14</v>
      </c>
      <c r="D50" s="297">
        <f>H34*$D$28</f>
        <v>6378.761252479263</v>
      </c>
      <c r="E50" s="3"/>
      <c r="F50" s="3"/>
      <c r="G50" s="3"/>
      <c r="H50" s="3"/>
      <c r="I50" s="3"/>
      <c r="J50" s="3"/>
      <c r="K50" s="3"/>
      <c r="L50" s="3"/>
      <c r="M50" s="3"/>
      <c r="N50" s="3"/>
      <c r="O50" s="3"/>
    </row>
    <row r="51" spans="1:15" x14ac:dyDescent="0.2">
      <c r="A51" s="3"/>
      <c r="B51" s="5" t="s">
        <v>284</v>
      </c>
      <c r="C51" s="5" t="s">
        <v>14</v>
      </c>
      <c r="D51" s="297">
        <f>D50*H43</f>
        <v>3960.7088763678962</v>
      </c>
      <c r="E51" s="3"/>
      <c r="F51" s="3"/>
      <c r="G51" s="3"/>
      <c r="H51" s="3"/>
      <c r="I51" s="3"/>
      <c r="J51" s="3"/>
      <c r="K51" s="3"/>
      <c r="L51" s="3"/>
      <c r="M51" s="3"/>
      <c r="N51" s="3"/>
      <c r="O51" s="3"/>
    </row>
    <row r="52" spans="1:15" x14ac:dyDescent="0.2">
      <c r="A52" s="3"/>
      <c r="B52" s="5" t="s">
        <v>285</v>
      </c>
      <c r="C52" s="5" t="s">
        <v>14</v>
      </c>
      <c r="D52" s="296">
        <f>D46+D49</f>
        <v>3436.3820870043801</v>
      </c>
      <c r="E52" s="3"/>
      <c r="F52" s="3"/>
      <c r="G52" s="3"/>
      <c r="H52" s="3"/>
      <c r="I52" s="3"/>
      <c r="J52" s="3"/>
      <c r="K52" s="3"/>
      <c r="L52" s="3"/>
      <c r="M52" s="3"/>
      <c r="N52" s="3"/>
      <c r="O52" s="3"/>
    </row>
    <row r="53" spans="1:15" x14ac:dyDescent="0.2">
      <c r="A53" s="3"/>
      <c r="B53" s="5" t="s">
        <v>286</v>
      </c>
      <c r="C53" s="5" t="s">
        <v>14</v>
      </c>
      <c r="D53" s="296">
        <f>D46+D51</f>
        <v>5403.011533600451</v>
      </c>
      <c r="E53" s="3"/>
      <c r="F53" s="3"/>
      <c r="G53" s="3"/>
      <c r="H53" s="3"/>
      <c r="I53" s="3"/>
      <c r="J53" s="3"/>
      <c r="K53" s="3"/>
      <c r="L53" s="3"/>
      <c r="M53" s="3"/>
      <c r="N53" s="3"/>
      <c r="O53" s="3"/>
    </row>
    <row r="54" spans="1:15" x14ac:dyDescent="0.2">
      <c r="A54" s="3"/>
      <c r="B54" s="5" t="s">
        <v>287</v>
      </c>
      <c r="C54" s="5" t="s">
        <v>14</v>
      </c>
      <c r="D54" s="297">
        <f>-$D$14</f>
        <v>624.08299999999997</v>
      </c>
      <c r="E54" s="3"/>
      <c r="F54" s="3"/>
      <c r="G54" s="3"/>
      <c r="H54" s="3"/>
      <c r="I54" s="3"/>
      <c r="J54" s="3"/>
      <c r="K54" s="3"/>
      <c r="L54" s="3"/>
      <c r="M54" s="3"/>
      <c r="N54" s="3"/>
      <c r="O54" s="3"/>
    </row>
    <row r="55" spans="1:15" x14ac:dyDescent="0.2">
      <c r="A55" s="3"/>
      <c r="B55" s="5" t="s">
        <v>288</v>
      </c>
      <c r="C55" s="5" t="s">
        <v>14</v>
      </c>
      <c r="D55" s="297">
        <f>D52+D54</f>
        <v>4060.4650870043802</v>
      </c>
      <c r="E55" s="3"/>
      <c r="F55" s="3"/>
      <c r="G55" s="3"/>
      <c r="H55" s="3"/>
      <c r="I55" s="3"/>
      <c r="J55" s="3"/>
      <c r="K55" s="3"/>
      <c r="L55" s="3"/>
      <c r="M55" s="3"/>
      <c r="N55" s="3"/>
      <c r="O55" s="3"/>
    </row>
    <row r="56" spans="1:15" x14ac:dyDescent="0.2">
      <c r="A56" s="3"/>
      <c r="B56" s="5" t="s">
        <v>289</v>
      </c>
      <c r="C56" s="5" t="s">
        <v>14</v>
      </c>
      <c r="D56" s="297">
        <f>D53+D54</f>
        <v>6027.0945336004506</v>
      </c>
      <c r="E56" s="3"/>
      <c r="F56" s="3"/>
      <c r="G56" s="3"/>
      <c r="H56" s="3"/>
      <c r="I56" s="3"/>
      <c r="J56" s="3"/>
      <c r="K56" s="3"/>
      <c r="L56" s="3"/>
      <c r="M56" s="3"/>
      <c r="N56" s="3"/>
      <c r="O56" s="3"/>
    </row>
    <row r="57" spans="1:15" x14ac:dyDescent="0.2">
      <c r="A57" s="3"/>
      <c r="B57" s="5" t="s">
        <v>86</v>
      </c>
      <c r="C57" s="5" t="s">
        <v>36</v>
      </c>
      <c r="D57" s="300">
        <f>D55/$D$15</f>
        <v>23.995326098159072</v>
      </c>
      <c r="E57" s="3"/>
      <c r="F57" s="3"/>
      <c r="G57" s="3"/>
      <c r="H57" s="3"/>
      <c r="I57" s="3"/>
      <c r="J57" s="3"/>
      <c r="K57" s="3"/>
      <c r="L57" s="3"/>
      <c r="M57" s="3"/>
      <c r="N57" s="3"/>
      <c r="O57" s="3"/>
    </row>
    <row r="58" spans="1:15" x14ac:dyDescent="0.2">
      <c r="A58" s="3"/>
      <c r="B58" s="5" t="s">
        <v>290</v>
      </c>
      <c r="C58" s="5" t="s">
        <v>36</v>
      </c>
      <c r="D58" s="300">
        <f>D56/$D$15</f>
        <v>35.617126525983792</v>
      </c>
      <c r="E58" s="3"/>
      <c r="F58" s="3"/>
      <c r="G58" s="3"/>
      <c r="H58" s="3"/>
      <c r="I58" s="3"/>
      <c r="J58" s="3"/>
      <c r="K58" s="3"/>
      <c r="L58" s="3"/>
      <c r="M58" s="3"/>
      <c r="N58" s="3"/>
      <c r="O58" s="3"/>
    </row>
    <row r="59" spans="1:15" x14ac:dyDescent="0.2">
      <c r="A59" s="3"/>
      <c r="B59" s="3"/>
      <c r="C59" s="3"/>
      <c r="D59" s="3"/>
      <c r="E59" s="3"/>
      <c r="F59" s="3"/>
      <c r="G59" s="3"/>
      <c r="H59" s="3"/>
      <c r="I59" s="3"/>
      <c r="J59" s="3"/>
      <c r="K59" s="3"/>
      <c r="L59" s="3"/>
      <c r="M59" s="3"/>
      <c r="N59" s="3"/>
      <c r="O59" s="3"/>
    </row>
    <row r="60" spans="1:15" x14ac:dyDescent="0.2">
      <c r="A60" s="3"/>
      <c r="B60" s="3"/>
      <c r="C60" s="3"/>
      <c r="D60" s="3"/>
      <c r="E60" s="3"/>
      <c r="F60" s="3"/>
      <c r="G60" s="3"/>
      <c r="H60" s="3"/>
      <c r="I60" s="3"/>
      <c r="J60" s="3"/>
      <c r="K60" s="3"/>
      <c r="L60" s="3"/>
      <c r="M60" s="3"/>
      <c r="N60" s="3"/>
      <c r="O60" s="3"/>
    </row>
    <row r="61" spans="1:15" ht="16" thickBot="1" x14ac:dyDescent="0.25">
      <c r="A61" s="3"/>
      <c r="B61" s="147" t="s">
        <v>87</v>
      </c>
      <c r="C61" s="235"/>
      <c r="D61" s="233" t="str">
        <f>"FY"&amp;TEXT(MOD('Cover Page'!$C$64+0,100),"00")&amp;"E"</f>
        <v>FY26E</v>
      </c>
      <c r="E61" s="233" t="str">
        <f>"FY"&amp;TEXT(MOD('Cover Page'!$C$64+1,100),"00")&amp;"E"</f>
        <v>FY27E</v>
      </c>
      <c r="F61" s="233" t="str">
        <f>"FY"&amp;TEXT(MOD('Cover Page'!$C$64+2,100),"00")&amp;"E"</f>
        <v>FY28E</v>
      </c>
      <c r="G61" s="233" t="str">
        <f>"FY"&amp;TEXT(MOD('Cover Page'!$C$64+3,100),"00")&amp;"E"</f>
        <v>FY29E</v>
      </c>
      <c r="H61" s="233" t="str">
        <f>"FY"&amp;TEXT(MOD('Cover Page'!$C$64+4,100),"00")&amp;"E"</f>
        <v>FY30E</v>
      </c>
      <c r="I61" s="3"/>
      <c r="J61" s="3"/>
      <c r="K61" s="3"/>
      <c r="L61" s="3"/>
      <c r="M61" s="3"/>
      <c r="N61" s="3"/>
      <c r="O61" s="3"/>
    </row>
    <row r="62" spans="1:15" x14ac:dyDescent="0.2">
      <c r="A62" s="3"/>
      <c r="B62" s="28" t="s">
        <v>82</v>
      </c>
      <c r="C62" s="28" t="s">
        <v>14</v>
      </c>
      <c r="D62" s="295">
        <f>$D$20</f>
        <v>2362</v>
      </c>
      <c r="E62" s="295">
        <f>D62*(1+$E$24)</f>
        <v>2503.7200000000003</v>
      </c>
      <c r="F62" s="295">
        <f>E62*(1+$E$24)</f>
        <v>2653.9432000000006</v>
      </c>
      <c r="G62" s="295">
        <f>F62*(1+$E$24)</f>
        <v>2813.1797920000008</v>
      </c>
      <c r="H62" s="295">
        <f>G62*(1+$E$24)</f>
        <v>2981.9705795200011</v>
      </c>
      <c r="I62" s="3"/>
      <c r="J62" s="3"/>
      <c r="K62" s="3"/>
      <c r="L62" s="3"/>
      <c r="M62" s="3"/>
      <c r="N62" s="3"/>
      <c r="O62" s="3"/>
    </row>
    <row r="63" spans="1:15" x14ac:dyDescent="0.2">
      <c r="A63" s="3"/>
      <c r="B63" s="5" t="s">
        <v>291</v>
      </c>
      <c r="C63" s="5" t="s">
        <v>2</v>
      </c>
      <c r="D63" s="270">
        <f>$D$21+($E$25-$D$21)*0/4</f>
        <v>0.32044663313101512</v>
      </c>
      <c r="E63" s="270">
        <f>$D$21+($E$25-$D$21)*1/4</f>
        <v>0.30883497484826133</v>
      </c>
      <c r="F63" s="270">
        <f>$D$21+($E$25-$D$21)*2/4</f>
        <v>0.2972233165655076</v>
      </c>
      <c r="G63" s="270">
        <f>$D$21+($E$25-$D$21)*3/4</f>
        <v>0.28561165828275381</v>
      </c>
      <c r="H63" s="270">
        <f>$D$21+($E$25-$D$21)*4/4</f>
        <v>0.27400000000000002</v>
      </c>
      <c r="I63" s="3"/>
      <c r="J63" s="3"/>
      <c r="K63" s="3"/>
      <c r="L63" s="3"/>
      <c r="M63" s="3"/>
      <c r="N63" s="3"/>
      <c r="O63" s="3"/>
    </row>
    <row r="64" spans="1:15" x14ac:dyDescent="0.2">
      <c r="A64" s="3"/>
      <c r="B64" s="5" t="s">
        <v>67</v>
      </c>
      <c r="C64" s="5" t="s">
        <v>14</v>
      </c>
      <c r="D64" s="296">
        <f>D62*D63</f>
        <v>756.89494745545767</v>
      </c>
      <c r="E64" s="296">
        <f>E62*E63</f>
        <v>773.23630322708891</v>
      </c>
      <c r="F64" s="296">
        <f>F62*F63</f>
        <v>788.81379988047638</v>
      </c>
      <c r="G64" s="296">
        <f>G62*G63</f>
        <v>803.47694544065268</v>
      </c>
      <c r="H64" s="296">
        <f>H62*H63</f>
        <v>817.05993878848039</v>
      </c>
      <c r="I64" s="3"/>
      <c r="J64" s="3"/>
      <c r="K64" s="3"/>
      <c r="L64" s="3"/>
      <c r="M64" s="3"/>
      <c r="N64" s="3"/>
      <c r="O64" s="3"/>
    </row>
    <row r="65" spans="1:15" x14ac:dyDescent="0.2">
      <c r="A65" s="3"/>
      <c r="B65" s="5" t="s">
        <v>787</v>
      </c>
      <c r="C65" s="5" t="s">
        <v>14</v>
      </c>
      <c r="D65" s="297">
        <f>-D62*0.047</f>
        <v>-111.014</v>
      </c>
      <c r="E65" s="297">
        <f>-E62*0.047</f>
        <v>-117.67484000000002</v>
      </c>
      <c r="F65" s="297">
        <f>-F62*0.047</f>
        <v>-124.73533040000002</v>
      </c>
      <c r="G65" s="297">
        <f>-G62*0.047</f>
        <v>-132.21945022400004</v>
      </c>
      <c r="H65" s="297">
        <f>-H62*0.047</f>
        <v>-140.15261723744004</v>
      </c>
      <c r="I65" s="3"/>
      <c r="J65" s="3"/>
      <c r="K65" s="3"/>
      <c r="L65" s="3"/>
      <c r="M65" s="3"/>
      <c r="N65" s="3"/>
      <c r="O65" s="3"/>
    </row>
    <row r="66" spans="1:15" x14ac:dyDescent="0.2">
      <c r="A66" s="3"/>
      <c r="B66" s="5" t="s">
        <v>274</v>
      </c>
      <c r="C66" s="5" t="s">
        <v>14</v>
      </c>
      <c r="D66" s="297">
        <f>D64+D65</f>
        <v>645.88094745545766</v>
      </c>
      <c r="E66" s="297">
        <f>E64+E65</f>
        <v>655.56146322708889</v>
      </c>
      <c r="F66" s="297">
        <f>F64+F65</f>
        <v>664.07846948047631</v>
      </c>
      <c r="G66" s="297">
        <f>G64+G65</f>
        <v>671.25749521665261</v>
      </c>
      <c r="H66" s="297">
        <f>H64+H65</f>
        <v>676.90732155104035</v>
      </c>
      <c r="I66" s="3"/>
      <c r="J66" s="3"/>
      <c r="K66" s="3"/>
      <c r="L66" s="3"/>
      <c r="M66" s="3"/>
      <c r="N66" s="3"/>
      <c r="O66" s="3"/>
    </row>
    <row r="67" spans="1:15" x14ac:dyDescent="0.2">
      <c r="A67" s="3"/>
      <c r="B67" s="5" t="s">
        <v>292</v>
      </c>
      <c r="C67" s="5" t="s">
        <v>14</v>
      </c>
      <c r="D67" s="297">
        <f>D66*(1-$D$13)</f>
        <v>523.16356743892072</v>
      </c>
      <c r="E67" s="297">
        <f>E66*(1-$D$13)</f>
        <v>531.004785213942</v>
      </c>
      <c r="F67" s="297">
        <f>F66*(1-$D$13)</f>
        <v>537.90356027918585</v>
      </c>
      <c r="G67" s="297">
        <f>G66*(1-$D$13)</f>
        <v>543.71857112548867</v>
      </c>
      <c r="H67" s="297">
        <f>H66*(1-$D$13)</f>
        <v>548.29493045634274</v>
      </c>
      <c r="I67" s="3"/>
      <c r="J67" s="3"/>
      <c r="K67" s="3"/>
      <c r="L67" s="3"/>
      <c r="M67" s="3"/>
      <c r="N67" s="3"/>
      <c r="O67" s="3"/>
    </row>
    <row r="68" spans="1:15" x14ac:dyDescent="0.2">
      <c r="A68" s="3"/>
      <c r="B68" s="5" t="s">
        <v>83</v>
      </c>
      <c r="C68" s="5" t="s">
        <v>14</v>
      </c>
      <c r="D68" s="297">
        <f>-D65</f>
        <v>111.014</v>
      </c>
      <c r="E68" s="297">
        <f>-E65</f>
        <v>117.67484000000002</v>
      </c>
      <c r="F68" s="297">
        <f>-F65</f>
        <v>124.73533040000002</v>
      </c>
      <c r="G68" s="297">
        <f>-G65</f>
        <v>132.21945022400004</v>
      </c>
      <c r="H68" s="297">
        <f>-H65</f>
        <v>140.15261723744004</v>
      </c>
      <c r="I68" s="3"/>
      <c r="J68" s="3"/>
      <c r="K68" s="3"/>
      <c r="L68" s="3"/>
      <c r="M68" s="3"/>
      <c r="N68" s="3"/>
      <c r="O68" s="3"/>
    </row>
    <row r="69" spans="1:15" x14ac:dyDescent="0.2">
      <c r="A69" s="3"/>
      <c r="B69" s="5" t="s">
        <v>84</v>
      </c>
      <c r="C69" s="5" t="s">
        <v>14</v>
      </c>
      <c r="D69" s="297">
        <f>-D62*($D$18+($E$26-$D$18)*1/5)</f>
        <v>-58.424428006796035</v>
      </c>
      <c r="E69" s="297">
        <f>-E62*($D$18+($E$26-$D$18)*2/5)</f>
        <v>-72.736480265402847</v>
      </c>
      <c r="F69" s="297">
        <f>-F62*($D$18+($E$26-$D$18)*3/5)</f>
        <v>-88.55565085421803</v>
      </c>
      <c r="G69" s="297">
        <f>-G62*($D$18+($E$26-$D$18)*4/5)</f>
        <v>-106.01127058473558</v>
      </c>
      <c r="H69" s="297">
        <f>-H62*$E$26</f>
        <v>-125.24276433984005</v>
      </c>
      <c r="I69" s="3"/>
      <c r="J69" s="3"/>
      <c r="K69" s="3"/>
      <c r="L69" s="3"/>
      <c r="M69" s="3"/>
      <c r="N69" s="3"/>
      <c r="O69" s="3"/>
    </row>
    <row r="70" spans="1:15" x14ac:dyDescent="0.2">
      <c r="A70" s="3"/>
      <c r="B70" s="5" t="s">
        <v>277</v>
      </c>
      <c r="C70" s="5" t="s">
        <v>14</v>
      </c>
      <c r="D70" s="297">
        <f>-D62*$D$19</f>
        <v>-36.223106500938925</v>
      </c>
      <c r="E70" s="297">
        <f>-E62*$D$19</f>
        <v>-38.396492890995262</v>
      </c>
      <c r="F70" s="297">
        <f>-F62*$D$19</f>
        <v>-40.700282464454979</v>
      </c>
      <c r="G70" s="297">
        <f>-G62*$D$19</f>
        <v>-43.142299412322281</v>
      </c>
      <c r="H70" s="297">
        <f>-H62*$D$19</f>
        <v>-45.730837377061626</v>
      </c>
      <c r="I70" s="3"/>
      <c r="J70" s="3"/>
      <c r="K70" s="3"/>
      <c r="L70" s="3"/>
      <c r="M70" s="3"/>
      <c r="N70" s="3"/>
      <c r="O70" s="3"/>
    </row>
    <row r="71" spans="1:15" x14ac:dyDescent="0.2">
      <c r="A71" s="3"/>
      <c r="B71" s="5" t="s">
        <v>278</v>
      </c>
      <c r="C71" s="5" t="s">
        <v>14</v>
      </c>
      <c r="D71" s="296">
        <f>D67+D68+D69+D70-Assumptions!$F$33</f>
        <v>439.53003293118581</v>
      </c>
      <c r="E71" s="296">
        <f>E67+E68+E69+E70-Assumptions!$F$33</f>
        <v>437.54665205754395</v>
      </c>
      <c r="F71" s="296">
        <f>F67+F68+F69+F70-Assumptions!$F$33</f>
        <v>433.38295736051293</v>
      </c>
      <c r="G71" s="296">
        <f>G67+G68+G69+G70-Assumptions!$F$33</f>
        <v>426.78445135243089</v>
      </c>
      <c r="H71" s="296">
        <f>H67+H68+H69+H70-Assumptions!$F$33</f>
        <v>417.47394597688105</v>
      </c>
      <c r="I71" s="3"/>
      <c r="J71" s="3"/>
      <c r="K71" s="3"/>
      <c r="L71" s="3"/>
      <c r="M71" s="3"/>
      <c r="N71" s="3"/>
      <c r="O71" s="3"/>
    </row>
    <row r="72" spans="1:15" x14ac:dyDescent="0.2">
      <c r="A72" s="3"/>
      <c r="B72" s="5" t="s">
        <v>17</v>
      </c>
      <c r="C72" s="5" t="s">
        <v>4</v>
      </c>
      <c r="D72" s="299">
        <f>1/(1+Assumptions!$F$37)^1</f>
        <v>0.92592592592592582</v>
      </c>
      <c r="E72" s="299">
        <f>1/(1+Assumptions!$F$37)^2</f>
        <v>0.85733882030178321</v>
      </c>
      <c r="F72" s="299">
        <f>1/(1+Assumptions!$F$37)^3</f>
        <v>0.79383224102016958</v>
      </c>
      <c r="G72" s="299">
        <f>1/(1+Assumptions!$F$37)^4</f>
        <v>0.73502985279645328</v>
      </c>
      <c r="H72" s="299">
        <f>1/(1+Assumptions!$F$37)^5</f>
        <v>0.68058319703375303</v>
      </c>
      <c r="I72" s="3"/>
      <c r="J72" s="3"/>
      <c r="K72" s="3"/>
      <c r="L72" s="3"/>
      <c r="M72" s="3"/>
      <c r="N72" s="3"/>
      <c r="O72" s="3"/>
    </row>
    <row r="73" spans="1:15" x14ac:dyDescent="0.2">
      <c r="A73" s="3"/>
      <c r="B73" s="5" t="s">
        <v>85</v>
      </c>
      <c r="C73" s="5" t="s">
        <v>14</v>
      </c>
      <c r="D73" s="297">
        <f>D71*D72</f>
        <v>406.97225271406091</v>
      </c>
      <c r="E73" s="297">
        <f>E71*E72</f>
        <v>375.12573050200956</v>
      </c>
      <c r="F73" s="297">
        <f>F71*F72</f>
        <v>344.0333642614446</v>
      </c>
      <c r="G73" s="297">
        <f>G71*G72</f>
        <v>313.69931245339234</v>
      </c>
      <c r="H73" s="297">
        <f>H71*H72</f>
        <v>284.12575283124198</v>
      </c>
      <c r="I73" s="3"/>
      <c r="J73" s="3"/>
      <c r="K73" s="3"/>
      <c r="L73" s="3"/>
      <c r="M73" s="3"/>
      <c r="N73" s="3"/>
      <c r="O73" s="3"/>
    </row>
    <row r="74" spans="1:15" ht="16" thickBot="1" x14ac:dyDescent="0.25">
      <c r="A74" s="3"/>
      <c r="B74" s="3"/>
      <c r="C74" s="3"/>
      <c r="D74" s="3"/>
      <c r="E74" s="3"/>
      <c r="F74" s="3"/>
      <c r="G74" s="3"/>
      <c r="H74" s="3"/>
      <c r="I74" s="3"/>
      <c r="J74" s="3"/>
      <c r="K74" s="3"/>
      <c r="L74" s="3"/>
      <c r="M74" s="3"/>
      <c r="N74" s="3"/>
      <c r="O74" s="3"/>
    </row>
    <row r="75" spans="1:15" x14ac:dyDescent="0.2">
      <c r="A75" s="3"/>
      <c r="B75" s="28" t="s">
        <v>293</v>
      </c>
      <c r="C75" s="28" t="s">
        <v>14</v>
      </c>
      <c r="D75" s="295">
        <f>SUM(D73:H73)</f>
        <v>1723.9564127621495</v>
      </c>
      <c r="E75" s="3"/>
      <c r="F75" s="3"/>
      <c r="G75" s="3"/>
      <c r="H75" s="3"/>
      <c r="I75" s="3"/>
      <c r="J75" s="3"/>
      <c r="K75" s="3"/>
      <c r="L75" s="3"/>
      <c r="M75" s="3"/>
      <c r="N75" s="3"/>
      <c r="O75" s="3"/>
    </row>
    <row r="76" spans="1:15" x14ac:dyDescent="0.2">
      <c r="A76" s="3"/>
      <c r="B76" s="5" t="s">
        <v>281</v>
      </c>
      <c r="C76" s="5" t="s">
        <v>14</v>
      </c>
      <c r="D76" s="297">
        <f>H71*(1+$E$27)/(Assumptions!$F$37-$E$27)</f>
        <v>7780.1962659327819</v>
      </c>
      <c r="E76" s="3"/>
      <c r="F76" s="3"/>
      <c r="G76" s="3"/>
      <c r="H76" s="3"/>
      <c r="I76" s="3"/>
      <c r="J76" s="3"/>
      <c r="K76" s="3"/>
      <c r="L76" s="3"/>
      <c r="M76" s="3"/>
      <c r="N76" s="3"/>
      <c r="O76" s="3"/>
    </row>
    <row r="77" spans="1:15" x14ac:dyDescent="0.2">
      <c r="A77" s="3"/>
      <c r="B77" s="5" t="s">
        <v>282</v>
      </c>
      <c r="C77" s="5" t="s">
        <v>14</v>
      </c>
      <c r="D77" s="297">
        <f>D76*H72</f>
        <v>5295.0708482186001</v>
      </c>
      <c r="E77" s="3"/>
      <c r="F77" s="3"/>
      <c r="G77" s="3"/>
      <c r="H77" s="3"/>
      <c r="I77" s="3"/>
      <c r="J77" s="3"/>
      <c r="K77" s="3"/>
      <c r="L77" s="3"/>
      <c r="M77" s="3"/>
      <c r="N77" s="3"/>
      <c r="O77" s="3"/>
    </row>
    <row r="78" spans="1:15" x14ac:dyDescent="0.2">
      <c r="A78" s="3"/>
      <c r="B78" s="5" t="s">
        <v>283</v>
      </c>
      <c r="C78" s="5" t="s">
        <v>14</v>
      </c>
      <c r="D78" s="297">
        <f>H64*$E$28</f>
        <v>12255.899081827207</v>
      </c>
      <c r="E78" s="3"/>
      <c r="F78" s="3"/>
      <c r="G78" s="3"/>
      <c r="H78" s="3"/>
      <c r="I78" s="3"/>
      <c r="J78" s="3"/>
      <c r="K78" s="3"/>
      <c r="L78" s="3"/>
      <c r="M78" s="3"/>
      <c r="N78" s="3"/>
      <c r="O78" s="3"/>
    </row>
    <row r="79" spans="1:15" x14ac:dyDescent="0.2">
      <c r="A79" s="3"/>
      <c r="B79" s="5" t="s">
        <v>284</v>
      </c>
      <c r="C79" s="5" t="s">
        <v>14</v>
      </c>
      <c r="D79" s="297">
        <f>D78*H72</f>
        <v>8341.158979632999</v>
      </c>
      <c r="E79" s="3"/>
      <c r="F79" s="3"/>
      <c r="G79" s="3"/>
      <c r="H79" s="3"/>
      <c r="I79" s="3"/>
      <c r="J79" s="3"/>
      <c r="K79" s="3"/>
      <c r="L79" s="3"/>
      <c r="M79" s="3"/>
      <c r="N79" s="3"/>
      <c r="O79" s="3"/>
    </row>
    <row r="80" spans="1:15" x14ac:dyDescent="0.2">
      <c r="A80" s="3"/>
      <c r="B80" s="5" t="s">
        <v>285</v>
      </c>
      <c r="C80" s="5" t="s">
        <v>14</v>
      </c>
      <c r="D80" s="296">
        <f>D75+D77</f>
        <v>7019.0272609807498</v>
      </c>
      <c r="E80" s="3"/>
      <c r="F80" s="3"/>
      <c r="G80" s="3"/>
      <c r="H80" s="3"/>
      <c r="I80" s="3"/>
      <c r="J80" s="3"/>
      <c r="K80" s="3"/>
      <c r="L80" s="3"/>
      <c r="M80" s="3"/>
      <c r="N80" s="3"/>
      <c r="O80" s="3"/>
    </row>
    <row r="81" spans="1:15" x14ac:dyDescent="0.2">
      <c r="A81" s="3"/>
      <c r="B81" s="5" t="s">
        <v>286</v>
      </c>
      <c r="C81" s="5" t="s">
        <v>14</v>
      </c>
      <c r="D81" s="296">
        <f>D75+D79</f>
        <v>10065.115392395148</v>
      </c>
      <c r="E81" s="3"/>
      <c r="F81" s="3"/>
      <c r="G81" s="3"/>
      <c r="H81" s="3"/>
      <c r="I81" s="3"/>
      <c r="J81" s="3"/>
      <c r="K81" s="3"/>
      <c r="L81" s="3"/>
      <c r="M81" s="3"/>
      <c r="N81" s="3"/>
      <c r="O81" s="3"/>
    </row>
    <row r="82" spans="1:15" x14ac:dyDescent="0.2">
      <c r="A82" s="3"/>
      <c r="B82" s="5" t="s">
        <v>287</v>
      </c>
      <c r="C82" s="5" t="s">
        <v>14</v>
      </c>
      <c r="D82" s="297">
        <f>-$D$14</f>
        <v>624.08299999999997</v>
      </c>
      <c r="E82" s="3"/>
      <c r="F82" s="3"/>
      <c r="G82" s="3"/>
      <c r="H82" s="3"/>
      <c r="I82" s="3"/>
      <c r="J82" s="3"/>
      <c r="K82" s="3"/>
      <c r="L82" s="3"/>
      <c r="M82" s="3"/>
      <c r="N82" s="3"/>
      <c r="O82" s="3"/>
    </row>
    <row r="83" spans="1:15" x14ac:dyDescent="0.2">
      <c r="A83" s="3"/>
      <c r="B83" s="5" t="s">
        <v>288</v>
      </c>
      <c r="C83" s="5" t="s">
        <v>14</v>
      </c>
      <c r="D83" s="297">
        <f>D80+D82</f>
        <v>7643.1102609807494</v>
      </c>
      <c r="E83" s="3"/>
      <c r="F83" s="3"/>
      <c r="G83" s="3"/>
      <c r="H83" s="3"/>
      <c r="I83" s="3"/>
      <c r="J83" s="3"/>
      <c r="K83" s="3"/>
      <c r="L83" s="3"/>
      <c r="M83" s="3"/>
      <c r="N83" s="3"/>
      <c r="O83" s="3"/>
    </row>
    <row r="84" spans="1:15" x14ac:dyDescent="0.2">
      <c r="A84" s="3"/>
      <c r="B84" s="5" t="s">
        <v>289</v>
      </c>
      <c r="C84" s="5" t="s">
        <v>14</v>
      </c>
      <c r="D84" s="297">
        <f>D81+D82</f>
        <v>10689.198392395148</v>
      </c>
      <c r="E84" s="3"/>
      <c r="F84" s="3"/>
      <c r="G84" s="3"/>
      <c r="H84" s="3"/>
      <c r="I84" s="3"/>
      <c r="J84" s="3"/>
      <c r="K84" s="3"/>
      <c r="L84" s="3"/>
      <c r="M84" s="3"/>
      <c r="N84" s="3"/>
      <c r="O84" s="3"/>
    </row>
    <row r="85" spans="1:15" x14ac:dyDescent="0.2">
      <c r="A85" s="3"/>
      <c r="B85" s="5" t="s">
        <v>86</v>
      </c>
      <c r="C85" s="5" t="s">
        <v>36</v>
      </c>
      <c r="D85" s="300">
        <f>D83/$D$15</f>
        <v>45.166974518114102</v>
      </c>
      <c r="E85" s="3"/>
      <c r="F85" s="3"/>
      <c r="G85" s="3"/>
      <c r="H85" s="3"/>
      <c r="I85" s="3"/>
      <c r="J85" s="3"/>
      <c r="K85" s="3"/>
      <c r="L85" s="3"/>
      <c r="M85" s="3"/>
      <c r="N85" s="3"/>
      <c r="O85" s="3"/>
    </row>
    <row r="86" spans="1:15" x14ac:dyDescent="0.2">
      <c r="A86" s="3"/>
      <c r="B86" s="5" t="s">
        <v>290</v>
      </c>
      <c r="C86" s="5" t="s">
        <v>36</v>
      </c>
      <c r="D86" s="300">
        <f>D84/$D$15</f>
        <v>63.167838081983398</v>
      </c>
      <c r="E86" s="3"/>
      <c r="F86" s="3"/>
      <c r="G86" s="3"/>
      <c r="H86" s="3"/>
      <c r="I86" s="3"/>
      <c r="J86" s="3"/>
      <c r="K86" s="3"/>
      <c r="L86" s="3"/>
      <c r="M86" s="3"/>
      <c r="N86" s="3"/>
      <c r="O86" s="3"/>
    </row>
    <row r="87" spans="1:15" x14ac:dyDescent="0.2">
      <c r="A87" s="3"/>
      <c r="B87" s="3"/>
      <c r="C87" s="3"/>
      <c r="D87" s="3"/>
      <c r="E87" s="3"/>
      <c r="F87" s="3"/>
      <c r="G87" s="3"/>
      <c r="H87" s="3"/>
      <c r="I87" s="3"/>
      <c r="J87" s="3"/>
      <c r="K87" s="3"/>
      <c r="L87" s="3"/>
      <c r="M87" s="3"/>
      <c r="N87" s="3"/>
      <c r="O87" s="3"/>
    </row>
    <row r="88" spans="1:15" x14ac:dyDescent="0.2">
      <c r="A88" s="3"/>
      <c r="B88" s="3"/>
      <c r="C88" s="3"/>
      <c r="D88" s="3"/>
      <c r="E88" s="3"/>
      <c r="F88" s="3"/>
      <c r="G88" s="3"/>
      <c r="H88" s="3"/>
      <c r="I88" s="3"/>
      <c r="J88" s="3"/>
      <c r="K88" s="3"/>
      <c r="L88" s="3"/>
      <c r="M88" s="3"/>
      <c r="N88" s="3"/>
      <c r="O88" s="3"/>
    </row>
    <row r="89" spans="1:15" x14ac:dyDescent="0.2">
      <c r="A89" s="3"/>
      <c r="B89" s="3"/>
      <c r="C89" s="3"/>
      <c r="D89" s="3"/>
      <c r="E89" s="3"/>
      <c r="F89" s="3"/>
      <c r="G89" s="3"/>
      <c r="H89" s="3"/>
      <c r="I89" s="3"/>
      <c r="J89" s="3"/>
      <c r="K89" s="3"/>
      <c r="L89" s="3"/>
      <c r="M89" s="3"/>
      <c r="N89" s="3"/>
      <c r="O89" s="3"/>
    </row>
    <row r="90" spans="1:15" x14ac:dyDescent="0.2">
      <c r="A90" s="3"/>
      <c r="B90" s="3"/>
      <c r="C90" s="3"/>
      <c r="D90" s="3"/>
      <c r="E90" s="3"/>
      <c r="F90" s="3"/>
      <c r="G90" s="3"/>
      <c r="H90" s="3"/>
      <c r="I90" s="3"/>
      <c r="J90" s="3"/>
      <c r="K90" s="3"/>
      <c r="L90" s="3"/>
      <c r="M90" s="3"/>
      <c r="N90" s="3"/>
      <c r="O90" s="3"/>
    </row>
    <row r="91" spans="1:15" ht="16" thickBot="1" x14ac:dyDescent="0.25">
      <c r="A91" s="3"/>
      <c r="B91" s="263" t="s">
        <v>88</v>
      </c>
      <c r="C91" s="264"/>
      <c r="D91" s="234" t="str">
        <f>"FY"&amp;TEXT(MOD('Cover Page'!$C$64+0,100),"00")&amp;"E"</f>
        <v>FY26E</v>
      </c>
      <c r="E91" s="234" t="str">
        <f>"FY"&amp;TEXT(MOD('Cover Page'!$C$64+1,100),"00")&amp;"E"</f>
        <v>FY27E</v>
      </c>
      <c r="F91" s="234" t="str">
        <f>"FY"&amp;TEXT(MOD('Cover Page'!$C$64+2,100),"00")&amp;"E"</f>
        <v>FY28E</v>
      </c>
      <c r="G91" s="234" t="str">
        <f>"FY"&amp;TEXT(MOD('Cover Page'!$C$64+3,100),"00")&amp;"E"</f>
        <v>FY29E</v>
      </c>
      <c r="H91" s="234" t="str">
        <f>"FY"&amp;TEXT(MOD('Cover Page'!$C$64+4,100),"00")&amp;"E"</f>
        <v>FY30E</v>
      </c>
      <c r="I91" s="3"/>
      <c r="J91" s="3"/>
      <c r="K91" s="3"/>
      <c r="L91" s="3"/>
      <c r="M91" s="3"/>
      <c r="N91" s="3"/>
      <c r="O91" s="3"/>
    </row>
    <row r="92" spans="1:15" x14ac:dyDescent="0.2">
      <c r="A92" s="3"/>
      <c r="B92" s="28" t="s">
        <v>82</v>
      </c>
      <c r="C92" s="28" t="s">
        <v>14</v>
      </c>
      <c r="D92" s="295">
        <f>$D$20</f>
        <v>2362</v>
      </c>
      <c r="E92" s="295">
        <f>D92*(1+$F$24)</f>
        <v>2669.06</v>
      </c>
      <c r="F92" s="295">
        <f>E92*(1+$F$24)</f>
        <v>3016.0377999999996</v>
      </c>
      <c r="G92" s="295">
        <f>F92*(1+$F$24)</f>
        <v>3408.1227139999992</v>
      </c>
      <c r="H92" s="295">
        <f>G92*(1+$F$24)</f>
        <v>3851.1786668199989</v>
      </c>
      <c r="I92" s="3"/>
      <c r="J92" s="3"/>
      <c r="K92" s="3"/>
      <c r="L92" s="3"/>
      <c r="M92" s="3"/>
      <c r="N92" s="3"/>
      <c r="O92" s="3"/>
    </row>
    <row r="93" spans="1:15" x14ac:dyDescent="0.2">
      <c r="A93" s="3"/>
      <c r="B93" s="5" t="s">
        <v>136</v>
      </c>
      <c r="C93" s="5" t="s">
        <v>2</v>
      </c>
      <c r="D93" s="270">
        <f>$D$21+($F$25-$D$21)*0/4</f>
        <v>0.32044663313101512</v>
      </c>
      <c r="E93" s="270">
        <f>$D$21+($F$25-$D$21)*1/4</f>
        <v>0.32033497484826134</v>
      </c>
      <c r="F93" s="270">
        <f>$D$21+($F$25-$D$21)*2/4</f>
        <v>0.32022331656550757</v>
      </c>
      <c r="G93" s="270">
        <f>$D$21+($F$25-$D$21)*3/4</f>
        <v>0.32011165828275379</v>
      </c>
      <c r="H93" s="270">
        <f>$D$21+($F$25-$D$21)*4/4</f>
        <v>0.32</v>
      </c>
      <c r="I93" s="3"/>
      <c r="J93" s="3"/>
      <c r="K93" s="3"/>
      <c r="L93" s="3"/>
      <c r="M93" s="3"/>
      <c r="N93" s="3"/>
      <c r="O93" s="3"/>
    </row>
    <row r="94" spans="1:15" x14ac:dyDescent="0.2">
      <c r="A94" s="3"/>
      <c r="B94" s="5" t="s">
        <v>67</v>
      </c>
      <c r="C94" s="5" t="s">
        <v>14</v>
      </c>
      <c r="D94" s="296">
        <f>D92*D93</f>
        <v>756.89494745545767</v>
      </c>
      <c r="E94" s="296">
        <f>E92*E93</f>
        <v>854.99326796850039</v>
      </c>
      <c r="F94" s="296">
        <f>F92*F93</f>
        <v>965.80562720293688</v>
      </c>
      <c r="G94" s="296">
        <f>G92*G93</f>
        <v>1090.9798136096592</v>
      </c>
      <c r="H94" s="296">
        <f>H92*H93</f>
        <v>1232.3771733823996</v>
      </c>
      <c r="I94" s="3"/>
      <c r="J94" s="3"/>
      <c r="K94" s="3"/>
      <c r="L94" s="3"/>
      <c r="M94" s="3"/>
      <c r="N94" s="3"/>
      <c r="O94" s="3"/>
    </row>
    <row r="95" spans="1:15" x14ac:dyDescent="0.2">
      <c r="A95" s="3"/>
      <c r="B95" s="5" t="s">
        <v>787</v>
      </c>
      <c r="C95" s="5" t="s">
        <v>14</v>
      </c>
      <c r="D95" s="297">
        <f>-D92*0.047</f>
        <v>-111.014</v>
      </c>
      <c r="E95" s="297">
        <f>-E92*0.047</f>
        <v>-125.44582</v>
      </c>
      <c r="F95" s="297">
        <f>-F92*0.047</f>
        <v>-141.75377659999998</v>
      </c>
      <c r="G95" s="297">
        <f>-G92*0.047</f>
        <v>-160.18176755799996</v>
      </c>
      <c r="H95" s="297">
        <f>-H92*0.047</f>
        <v>-181.00539734053996</v>
      </c>
      <c r="I95" s="3"/>
      <c r="J95" s="3"/>
      <c r="K95" s="3"/>
      <c r="L95" s="3"/>
      <c r="M95" s="3"/>
      <c r="N95" s="3"/>
      <c r="O95" s="3"/>
    </row>
    <row r="96" spans="1:15" x14ac:dyDescent="0.2">
      <c r="A96" s="3"/>
      <c r="B96" s="5" t="s">
        <v>274</v>
      </c>
      <c r="C96" s="5" t="s">
        <v>14</v>
      </c>
      <c r="D96" s="297">
        <f>D94+D95</f>
        <v>645.88094745545766</v>
      </c>
      <c r="E96" s="297">
        <f>E94+E95</f>
        <v>729.54744796850036</v>
      </c>
      <c r="F96" s="297">
        <f>F94+F95</f>
        <v>824.05185060293684</v>
      </c>
      <c r="G96" s="297">
        <f>G94+G95</f>
        <v>930.7980460516593</v>
      </c>
      <c r="H96" s="297">
        <f>H94+H95</f>
        <v>1051.3717760418597</v>
      </c>
      <c r="I96" s="3"/>
      <c r="J96" s="3"/>
      <c r="K96" s="3"/>
      <c r="L96" s="3"/>
      <c r="M96" s="3"/>
      <c r="N96" s="3"/>
      <c r="O96" s="3"/>
    </row>
    <row r="97" spans="1:15" x14ac:dyDescent="0.2">
      <c r="A97" s="3"/>
      <c r="B97" s="5" t="s">
        <v>292</v>
      </c>
      <c r="C97" s="5" t="s">
        <v>14</v>
      </c>
      <c r="D97" s="297">
        <f>D96*(1-$D$13)</f>
        <v>523.16356743892072</v>
      </c>
      <c r="E97" s="297">
        <f>E96*(1-$D$13)</f>
        <v>590.93343285448532</v>
      </c>
      <c r="F97" s="297">
        <f>F96*(1-$D$13)</f>
        <v>667.4819989883789</v>
      </c>
      <c r="G97" s="297">
        <f>G96*(1-$D$13)</f>
        <v>753.94641730184412</v>
      </c>
      <c r="H97" s="297">
        <f>H96*(1-$D$13)</f>
        <v>851.61113859390639</v>
      </c>
      <c r="I97" s="3"/>
      <c r="J97" s="3"/>
      <c r="K97" s="3"/>
      <c r="L97" s="3"/>
      <c r="M97" s="3"/>
      <c r="N97" s="3"/>
      <c r="O97" s="3"/>
    </row>
    <row r="98" spans="1:15" x14ac:dyDescent="0.2">
      <c r="A98" s="3"/>
      <c r="B98" s="5" t="s">
        <v>83</v>
      </c>
      <c r="C98" s="5" t="s">
        <v>14</v>
      </c>
      <c r="D98" s="297">
        <f>-D95</f>
        <v>111.014</v>
      </c>
      <c r="E98" s="297">
        <f>-E95</f>
        <v>125.44582</v>
      </c>
      <c r="F98" s="297">
        <f>-F95</f>
        <v>141.75377659999998</v>
      </c>
      <c r="G98" s="297">
        <f>-G95</f>
        <v>160.18176755799996</v>
      </c>
      <c r="H98" s="297">
        <f>-H95</f>
        <v>181.00539734053996</v>
      </c>
      <c r="I98" s="3"/>
      <c r="J98" s="3"/>
      <c r="K98" s="3"/>
      <c r="L98" s="3"/>
      <c r="M98" s="3"/>
      <c r="N98" s="3"/>
      <c r="O98" s="3"/>
    </row>
    <row r="99" spans="1:15" x14ac:dyDescent="0.2">
      <c r="A99" s="3"/>
      <c r="B99" s="5" t="s">
        <v>84</v>
      </c>
      <c r="C99" s="5" t="s">
        <v>14</v>
      </c>
      <c r="D99" s="297">
        <f>-D92*($D$18+($F$26-$D$18)*1/5)</f>
        <v>-62.203628006796031</v>
      </c>
      <c r="E99" s="297">
        <f>-E92*($D$18+($F$26-$D$18)*2/5)</f>
        <v>-86.080824735759634</v>
      </c>
      <c r="F99" s="297">
        <f>-F92*($D$18+($F$26-$D$18)*3/5)</f>
        <v>-115.11485130093892</v>
      </c>
      <c r="G99" s="297">
        <f>-G92*($D$18+($F$26-$D$18)*4/5)</f>
        <v>-150.24295883503046</v>
      </c>
      <c r="H99" s="297">
        <f>-H92*$F$26</f>
        <v>-192.55893334099994</v>
      </c>
      <c r="I99" s="3"/>
      <c r="J99" s="3"/>
      <c r="K99" s="3"/>
      <c r="L99" s="3"/>
      <c r="M99" s="3"/>
      <c r="N99" s="3"/>
      <c r="O99" s="3"/>
    </row>
    <row r="100" spans="1:15" x14ac:dyDescent="0.2">
      <c r="A100" s="3"/>
      <c r="B100" s="5" t="s">
        <v>277</v>
      </c>
      <c r="C100" s="5" t="s">
        <v>14</v>
      </c>
      <c r="D100" s="297">
        <f>-D92*$D$19</f>
        <v>-36.223106500938925</v>
      </c>
      <c r="E100" s="297">
        <f>-E92*$D$19</f>
        <v>-40.932110346060981</v>
      </c>
      <c r="F100" s="297">
        <f>-F92*$D$19</f>
        <v>-46.253284691048904</v>
      </c>
      <c r="G100" s="297">
        <f>-G92*$D$19</f>
        <v>-52.266211700885258</v>
      </c>
      <c r="H100" s="297">
        <f>-H92*$D$19</f>
        <v>-59.060819222000333</v>
      </c>
      <c r="I100" s="3"/>
      <c r="J100" s="3"/>
      <c r="K100" s="3"/>
      <c r="L100" s="3"/>
      <c r="M100" s="3"/>
      <c r="N100" s="3"/>
      <c r="O100" s="3"/>
    </row>
    <row r="101" spans="1:15" x14ac:dyDescent="0.2">
      <c r="A101" s="3"/>
      <c r="B101" s="5" t="s">
        <v>278</v>
      </c>
      <c r="C101" s="5" t="s">
        <v>14</v>
      </c>
      <c r="D101" s="296">
        <f>D97+D98+D99+D100-Assumptions!$G$33</f>
        <v>335.75083293118576</v>
      </c>
      <c r="E101" s="296">
        <f>E97+E98+E99+E100-Assumptions!$G$33</f>
        <v>389.36631777266473</v>
      </c>
      <c r="F101" s="296">
        <f>F97+F98+F99+F100-Assumptions!$G$33</f>
        <v>447.86763959639109</v>
      </c>
      <c r="G101" s="296">
        <f>G97+G98+G99+G100-Assumptions!$G$33</f>
        <v>511.61901432392835</v>
      </c>
      <c r="H101" s="296">
        <f>H97+H98+H99+H100-Assumptions!$G$33</f>
        <v>580.9967833714461</v>
      </c>
      <c r="I101" s="3"/>
      <c r="J101" s="3"/>
      <c r="K101" s="3"/>
      <c r="L101" s="3"/>
      <c r="M101" s="3"/>
      <c r="N101" s="3"/>
      <c r="O101" s="3"/>
    </row>
    <row r="102" spans="1:15" x14ac:dyDescent="0.2">
      <c r="A102" s="3"/>
      <c r="B102" s="5" t="s">
        <v>17</v>
      </c>
      <c r="C102" s="5" t="s">
        <v>4</v>
      </c>
      <c r="D102" s="299">
        <f>1/(1+Assumptions!$G$37)^1</f>
        <v>0.94339622641509424</v>
      </c>
      <c r="E102" s="299">
        <f>1/(1+Assumptions!$G$37)^2</f>
        <v>0.88999644001423983</v>
      </c>
      <c r="F102" s="299">
        <f>1/(1+Assumptions!$G$37)^3</f>
        <v>0.8396192830323016</v>
      </c>
      <c r="G102" s="299">
        <f>1/(1+Assumptions!$G$37)^4</f>
        <v>0.79209366323802044</v>
      </c>
      <c r="H102" s="299">
        <f>1/(1+Assumptions!$G$37)^5</f>
        <v>0.74725817286605689</v>
      </c>
      <c r="I102" s="3"/>
      <c r="J102" s="3"/>
      <c r="K102" s="3"/>
      <c r="L102" s="3"/>
      <c r="M102" s="3"/>
      <c r="N102" s="3"/>
      <c r="O102" s="3"/>
    </row>
    <row r="103" spans="1:15" x14ac:dyDescent="0.2">
      <c r="A103" s="3"/>
      <c r="B103" s="5" t="s">
        <v>85</v>
      </c>
      <c r="C103" s="5" t="s">
        <v>14</v>
      </c>
      <c r="D103" s="297">
        <f>D101*D102</f>
        <v>316.74606880300541</v>
      </c>
      <c r="E103" s="297">
        <f>E101*E102</f>
        <v>346.53463667912484</v>
      </c>
      <c r="F103" s="297">
        <f>F101*F102</f>
        <v>376.03830645129113</v>
      </c>
      <c r="G103" s="297">
        <f>G101*G102</f>
        <v>405.25017923806564</v>
      </c>
      <c r="H103" s="297">
        <f>H101*H102</f>
        <v>434.15459478320309</v>
      </c>
      <c r="I103" s="3"/>
      <c r="J103" s="3"/>
      <c r="K103" s="3"/>
      <c r="L103" s="3"/>
      <c r="M103" s="3"/>
      <c r="N103" s="3"/>
      <c r="O103" s="3"/>
    </row>
    <row r="104" spans="1:15" ht="16" thickBot="1" x14ac:dyDescent="0.25">
      <c r="A104" s="3"/>
      <c r="B104" s="3"/>
      <c r="C104" s="3"/>
      <c r="D104" s="3"/>
      <c r="E104" s="3"/>
      <c r="F104" s="3"/>
      <c r="G104" s="3"/>
      <c r="H104" s="3"/>
      <c r="I104" s="3"/>
      <c r="J104" s="3"/>
      <c r="K104" s="3"/>
      <c r="L104" s="3"/>
      <c r="M104" s="3"/>
      <c r="N104" s="3"/>
      <c r="O104" s="3"/>
    </row>
    <row r="105" spans="1:15" x14ac:dyDescent="0.2">
      <c r="A105" s="3"/>
      <c r="B105" s="28" t="s">
        <v>296</v>
      </c>
      <c r="C105" s="28" t="s">
        <v>14</v>
      </c>
      <c r="D105" s="295">
        <f>SUM(D103:H103)</f>
        <v>1878.7237859546901</v>
      </c>
      <c r="E105" s="3"/>
      <c r="F105" s="3"/>
      <c r="G105" s="3"/>
      <c r="H105" s="3"/>
      <c r="I105" s="3"/>
      <c r="J105" s="3"/>
      <c r="K105" s="3"/>
      <c r="L105" s="3"/>
      <c r="M105" s="3"/>
      <c r="N105" s="3"/>
      <c r="O105" s="3"/>
    </row>
    <row r="106" spans="1:15" x14ac:dyDescent="0.2">
      <c r="A106" s="3"/>
      <c r="B106" s="5" t="s">
        <v>281</v>
      </c>
      <c r="C106" s="5" t="s">
        <v>14</v>
      </c>
      <c r="D106" s="297">
        <f>H101*(1+$F$27)/(Assumptions!$G$37-$F$27)</f>
        <v>19947.556229086316</v>
      </c>
      <c r="E106" s="3"/>
      <c r="F106" s="3"/>
      <c r="G106" s="3"/>
      <c r="H106" s="3"/>
      <c r="I106" s="3"/>
      <c r="J106" s="3"/>
      <c r="K106" s="3"/>
      <c r="L106" s="3"/>
      <c r="M106" s="3"/>
      <c r="N106" s="3"/>
      <c r="O106" s="3"/>
    </row>
    <row r="107" spans="1:15" x14ac:dyDescent="0.2">
      <c r="A107" s="3"/>
      <c r="B107" s="5" t="s">
        <v>282</v>
      </c>
      <c r="C107" s="5" t="s">
        <v>14</v>
      </c>
      <c r="D107" s="297">
        <f>D106*H102</f>
        <v>14905.974420889972</v>
      </c>
      <c r="E107" s="3"/>
      <c r="F107" s="3"/>
      <c r="G107" s="3"/>
      <c r="H107" s="3"/>
      <c r="I107" s="3"/>
      <c r="J107" s="3"/>
      <c r="K107" s="3"/>
      <c r="L107" s="3"/>
      <c r="M107" s="3"/>
      <c r="N107" s="3"/>
      <c r="O107" s="3"/>
    </row>
    <row r="108" spans="1:15" x14ac:dyDescent="0.2">
      <c r="A108" s="3"/>
      <c r="B108" s="5" t="s">
        <v>283</v>
      </c>
      <c r="C108" s="5" t="s">
        <v>14</v>
      </c>
      <c r="D108" s="297">
        <f>H94*$F$28</f>
        <v>22182.789120883193</v>
      </c>
      <c r="E108" s="3"/>
      <c r="F108" s="3"/>
      <c r="G108" s="3"/>
      <c r="H108" s="3"/>
      <c r="I108" s="3"/>
      <c r="J108" s="3"/>
      <c r="K108" s="3"/>
      <c r="L108" s="3"/>
      <c r="M108" s="3"/>
      <c r="N108" s="3"/>
      <c r="O108" s="3"/>
    </row>
    <row r="109" spans="1:15" x14ac:dyDescent="0.2">
      <c r="A109" s="3"/>
      <c r="B109" s="5" t="s">
        <v>284</v>
      </c>
      <c r="C109" s="5" t="s">
        <v>14</v>
      </c>
      <c r="D109" s="297">
        <f>D108*H102</f>
        <v>16576.270467544218</v>
      </c>
      <c r="E109" s="3"/>
      <c r="F109" s="3"/>
      <c r="G109" s="3"/>
      <c r="H109" s="3"/>
      <c r="I109" s="3"/>
      <c r="J109" s="3"/>
      <c r="K109" s="3"/>
      <c r="L109" s="3"/>
      <c r="M109" s="3"/>
      <c r="N109" s="3"/>
      <c r="O109" s="3"/>
    </row>
    <row r="110" spans="1:15" x14ac:dyDescent="0.2">
      <c r="A110" s="3"/>
      <c r="B110" s="5" t="s">
        <v>285</v>
      </c>
      <c r="C110" s="5" t="s">
        <v>14</v>
      </c>
      <c r="D110" s="296">
        <f>D105+D107</f>
        <v>16784.698206844663</v>
      </c>
      <c r="E110" s="3"/>
      <c r="F110" s="3"/>
      <c r="G110" s="3"/>
      <c r="H110" s="3"/>
      <c r="I110" s="3"/>
      <c r="J110" s="3"/>
      <c r="K110" s="3"/>
      <c r="L110" s="3"/>
      <c r="M110" s="3"/>
      <c r="N110" s="3"/>
      <c r="O110" s="3"/>
    </row>
    <row r="111" spans="1:15" x14ac:dyDescent="0.2">
      <c r="A111" s="3"/>
      <c r="B111" s="5" t="s">
        <v>286</v>
      </c>
      <c r="C111" s="5" t="s">
        <v>14</v>
      </c>
      <c r="D111" s="296">
        <f>D105+D109</f>
        <v>18454.99425349891</v>
      </c>
      <c r="E111" s="3"/>
      <c r="F111" s="3"/>
      <c r="G111" s="3"/>
      <c r="H111" s="3"/>
      <c r="I111" s="3"/>
      <c r="J111" s="3"/>
      <c r="K111" s="3"/>
      <c r="L111" s="3"/>
      <c r="M111" s="3"/>
      <c r="N111" s="3"/>
      <c r="O111" s="3"/>
    </row>
    <row r="112" spans="1:15" x14ac:dyDescent="0.2">
      <c r="A112" s="3"/>
      <c r="B112" s="5" t="s">
        <v>287</v>
      </c>
      <c r="C112" s="5" t="s">
        <v>14</v>
      </c>
      <c r="D112" s="297">
        <f>-$D$14</f>
        <v>624.08299999999997</v>
      </c>
      <c r="E112" s="3"/>
      <c r="F112" s="3"/>
      <c r="G112" s="3"/>
      <c r="H112" s="3"/>
      <c r="I112" s="3"/>
      <c r="J112" s="3"/>
      <c r="K112" s="3"/>
      <c r="L112" s="3"/>
      <c r="M112" s="3"/>
      <c r="N112" s="3"/>
      <c r="O112" s="3"/>
    </row>
    <row r="113" spans="1:15" x14ac:dyDescent="0.2">
      <c r="A113" s="3"/>
      <c r="B113" s="5" t="s">
        <v>288</v>
      </c>
      <c r="C113" s="5" t="s">
        <v>14</v>
      </c>
      <c r="D113" s="297">
        <f>D110+D112</f>
        <v>17408.781206844662</v>
      </c>
      <c r="E113" s="3"/>
      <c r="F113" s="3"/>
      <c r="G113" s="3"/>
      <c r="H113" s="3"/>
      <c r="I113" s="3"/>
      <c r="J113" s="3"/>
      <c r="K113" s="3"/>
      <c r="L113" s="3"/>
      <c r="M113" s="3"/>
      <c r="N113" s="3"/>
      <c r="O113" s="3"/>
    </row>
    <row r="114" spans="1:15" x14ac:dyDescent="0.2">
      <c r="A114" s="3"/>
      <c r="B114" s="5" t="s">
        <v>289</v>
      </c>
      <c r="C114" s="5" t="s">
        <v>14</v>
      </c>
      <c r="D114" s="297">
        <f>D111+D112</f>
        <v>19079.077253498908</v>
      </c>
      <c r="E114" s="3"/>
      <c r="F114" s="3"/>
      <c r="G114" s="3"/>
      <c r="H114" s="3"/>
      <c r="I114" s="3"/>
      <c r="J114" s="3"/>
      <c r="K114" s="3"/>
      <c r="L114" s="3"/>
      <c r="M114" s="3"/>
      <c r="N114" s="3"/>
      <c r="O114" s="3"/>
    </row>
    <row r="115" spans="1:15" x14ac:dyDescent="0.2">
      <c r="A115" s="3"/>
      <c r="B115" s="5" t="s">
        <v>86</v>
      </c>
      <c r="C115" s="5" t="s">
        <v>36</v>
      </c>
      <c r="D115" s="300">
        <f>D113/$D$15</f>
        <v>102.87722541112205</v>
      </c>
      <c r="E115" s="3"/>
      <c r="F115" s="3"/>
      <c r="G115" s="3"/>
      <c r="H115" s="3"/>
      <c r="I115" s="3"/>
      <c r="J115" s="3"/>
      <c r="K115" s="3"/>
      <c r="L115" s="3"/>
      <c r="M115" s="3"/>
      <c r="N115" s="3"/>
      <c r="O115" s="3"/>
    </row>
    <row r="116" spans="1:15" x14ac:dyDescent="0.2">
      <c r="A116" s="3"/>
      <c r="B116" s="5" t="s">
        <v>290</v>
      </c>
      <c r="C116" s="5" t="s">
        <v>36</v>
      </c>
      <c r="D116" s="300">
        <f>D114/$D$15</f>
        <v>112.74784305248765</v>
      </c>
      <c r="E116" s="3"/>
      <c r="F116" s="3"/>
      <c r="G116" s="3"/>
      <c r="H116" s="3"/>
      <c r="I116" s="3"/>
      <c r="J116" s="3"/>
      <c r="K116" s="3"/>
      <c r="L116" s="3"/>
      <c r="M116" s="3"/>
      <c r="N116" s="3"/>
      <c r="O116" s="3"/>
    </row>
    <row r="117" spans="1:15" x14ac:dyDescent="0.2">
      <c r="A117" s="3"/>
      <c r="B117" s="3"/>
      <c r="C117" s="3"/>
      <c r="D117" s="3"/>
      <c r="E117" s="3"/>
      <c r="F117" s="3"/>
      <c r="G117" s="3"/>
      <c r="H117" s="3"/>
      <c r="I117" s="3"/>
      <c r="J117" s="3"/>
      <c r="K117" s="3"/>
      <c r="L117" s="3"/>
      <c r="M117" s="3"/>
      <c r="N117" s="3"/>
      <c r="O117" s="3"/>
    </row>
    <row r="118" spans="1:15" x14ac:dyDescent="0.2">
      <c r="A118" s="3"/>
      <c r="B118" s="3"/>
      <c r="C118" s="3"/>
      <c r="D118" s="3"/>
      <c r="E118" s="3"/>
      <c r="F118" s="3"/>
      <c r="G118" s="3"/>
      <c r="H118" s="3"/>
      <c r="I118" s="3"/>
      <c r="J118" s="3"/>
      <c r="K118" s="3"/>
      <c r="L118" s="3"/>
      <c r="M118" s="3"/>
      <c r="N118" s="3"/>
      <c r="O118" s="3"/>
    </row>
    <row r="119" spans="1:15" ht="16" thickBot="1" x14ac:dyDescent="0.25">
      <c r="A119" s="3"/>
      <c r="B119" s="147" t="s">
        <v>297</v>
      </c>
      <c r="C119" s="235"/>
      <c r="D119" s="232" t="s">
        <v>47</v>
      </c>
      <c r="E119" s="233" t="s">
        <v>57</v>
      </c>
      <c r="F119" s="234" t="s">
        <v>48</v>
      </c>
      <c r="G119" s="3"/>
      <c r="H119" s="3"/>
      <c r="I119" s="3"/>
      <c r="J119" s="3"/>
      <c r="K119" s="3"/>
      <c r="L119" s="3"/>
      <c r="M119" s="3"/>
      <c r="N119" s="3"/>
      <c r="O119" s="3"/>
    </row>
    <row r="120" spans="1:15" x14ac:dyDescent="0.2">
      <c r="A120" s="3"/>
      <c r="B120" s="28" t="s">
        <v>298</v>
      </c>
      <c r="C120" s="28" t="s">
        <v>14</v>
      </c>
      <c r="D120" s="295">
        <f>H32</f>
        <v>2152.0786951684422</v>
      </c>
      <c r="E120" s="295">
        <f>H62</f>
        <v>2981.9705795200011</v>
      </c>
      <c r="F120" s="295">
        <f>H92</f>
        <v>3851.1786668199989</v>
      </c>
      <c r="G120" s="3"/>
      <c r="H120" s="3"/>
      <c r="I120" s="3"/>
      <c r="J120" s="3"/>
      <c r="K120" s="3"/>
      <c r="L120" s="3"/>
      <c r="M120" s="3"/>
      <c r="N120" s="3"/>
      <c r="O120" s="3"/>
    </row>
    <row r="121" spans="1:15" x14ac:dyDescent="0.2">
      <c r="A121" s="3"/>
      <c r="B121" s="5" t="s">
        <v>299</v>
      </c>
      <c r="C121" s="5" t="s">
        <v>14</v>
      </c>
      <c r="D121" s="297">
        <f>H34</f>
        <v>490.67394249840487</v>
      </c>
      <c r="E121" s="297">
        <f>H64</f>
        <v>817.05993878848039</v>
      </c>
      <c r="F121" s="297">
        <f>H94</f>
        <v>1232.3771733823996</v>
      </c>
      <c r="G121" s="3"/>
      <c r="H121" s="3"/>
      <c r="I121" s="3"/>
      <c r="J121" s="3"/>
      <c r="K121" s="3"/>
      <c r="L121" s="3"/>
      <c r="M121" s="3"/>
      <c r="N121" s="3"/>
      <c r="O121" s="3"/>
    </row>
    <row r="122" spans="1:15" x14ac:dyDescent="0.2">
      <c r="A122" s="3"/>
      <c r="B122" s="5" t="s">
        <v>300</v>
      </c>
      <c r="C122" s="5" t="s">
        <v>2</v>
      </c>
      <c r="D122" s="270">
        <f>H33</f>
        <v>0.22800000000000001</v>
      </c>
      <c r="E122" s="270">
        <f>H63</f>
        <v>0.27400000000000002</v>
      </c>
      <c r="F122" s="270">
        <f>H93</f>
        <v>0.32</v>
      </c>
      <c r="G122" s="341"/>
      <c r="H122" s="341"/>
      <c r="I122" s="3"/>
      <c r="J122" s="3"/>
      <c r="K122" s="3"/>
      <c r="L122" s="3"/>
      <c r="M122" s="3"/>
      <c r="N122" s="3"/>
      <c r="O122" s="3"/>
    </row>
    <row r="123" spans="1:15" x14ac:dyDescent="0.2">
      <c r="A123" s="3"/>
      <c r="B123" s="5" t="s">
        <v>301</v>
      </c>
      <c r="C123" s="5" t="s">
        <v>14</v>
      </c>
      <c r="D123" s="297">
        <f>H41</f>
        <v>251.88116568171171</v>
      </c>
      <c r="E123" s="297">
        <f>H71</f>
        <v>417.47394597688105</v>
      </c>
      <c r="F123" s="297">
        <f>H101</f>
        <v>580.9967833714461</v>
      </c>
      <c r="G123" s="3"/>
      <c r="H123" s="3"/>
      <c r="I123" s="3"/>
      <c r="J123" s="3"/>
      <c r="K123" s="3"/>
      <c r="L123" s="3"/>
      <c r="M123" s="3"/>
      <c r="N123" s="3"/>
      <c r="O123" s="3"/>
    </row>
    <row r="124" spans="1:15" x14ac:dyDescent="0.2">
      <c r="A124" s="3"/>
      <c r="B124" s="5" t="s">
        <v>285</v>
      </c>
      <c r="C124" s="5" t="s">
        <v>14</v>
      </c>
      <c r="D124" s="297">
        <f>D52</f>
        <v>3436.3820870043801</v>
      </c>
      <c r="E124" s="297">
        <f>D80</f>
        <v>7019.0272609807498</v>
      </c>
      <c r="F124" s="297">
        <f>D110</f>
        <v>16784.698206844663</v>
      </c>
      <c r="G124" s="3"/>
      <c r="H124" s="3"/>
      <c r="I124" s="3"/>
      <c r="J124" s="3"/>
      <c r="K124" s="3"/>
      <c r="L124" s="3"/>
      <c r="M124" s="3"/>
      <c r="N124" s="3"/>
      <c r="O124" s="3"/>
    </row>
    <row r="125" spans="1:15" x14ac:dyDescent="0.2">
      <c r="A125" s="3"/>
      <c r="B125" s="5" t="s">
        <v>286</v>
      </c>
      <c r="C125" s="5" t="s">
        <v>14</v>
      </c>
      <c r="D125" s="297">
        <f>D53</f>
        <v>5403.011533600451</v>
      </c>
      <c r="E125" s="297">
        <f>D81</f>
        <v>10065.115392395148</v>
      </c>
      <c r="F125" s="297">
        <f>D111</f>
        <v>18454.99425349891</v>
      </c>
      <c r="G125" s="3"/>
      <c r="H125" s="3"/>
      <c r="I125" s="3"/>
      <c r="J125" s="3"/>
      <c r="K125" s="3"/>
      <c r="L125" s="3"/>
      <c r="M125" s="3"/>
      <c r="N125" s="3"/>
      <c r="O125" s="3"/>
    </row>
    <row r="126" spans="1:15" x14ac:dyDescent="0.2">
      <c r="A126" s="3"/>
      <c r="B126" s="5" t="s">
        <v>302</v>
      </c>
      <c r="C126" s="5" t="s">
        <v>36</v>
      </c>
      <c r="D126" s="300">
        <f>D57</f>
        <v>23.995326098159072</v>
      </c>
      <c r="E126" s="300">
        <f>D85</f>
        <v>45.166974518114102</v>
      </c>
      <c r="F126" s="300">
        <f>D115</f>
        <v>102.87722541112205</v>
      </c>
      <c r="G126" s="3"/>
      <c r="H126" s="3"/>
      <c r="I126" s="3"/>
      <c r="J126" s="3"/>
      <c r="K126" s="3"/>
      <c r="L126" s="3"/>
      <c r="M126" s="3"/>
      <c r="N126" s="3"/>
      <c r="O126" s="3"/>
    </row>
    <row r="127" spans="1:15" x14ac:dyDescent="0.2">
      <c r="A127" s="3"/>
      <c r="B127" s="5" t="s">
        <v>303</v>
      </c>
      <c r="C127" s="5" t="s">
        <v>36</v>
      </c>
      <c r="D127" s="300">
        <f>D58</f>
        <v>35.617126525983792</v>
      </c>
      <c r="E127" s="300">
        <f>D86</f>
        <v>63.167838081983398</v>
      </c>
      <c r="F127" s="300">
        <f>D116</f>
        <v>112.74784305248765</v>
      </c>
      <c r="G127" s="3"/>
      <c r="H127" s="3"/>
      <c r="I127" s="3"/>
      <c r="J127" s="3"/>
      <c r="K127" s="3"/>
      <c r="L127" s="3"/>
      <c r="M127" s="3"/>
      <c r="N127" s="3"/>
      <c r="O127" s="3"/>
    </row>
    <row r="128" spans="1:15" x14ac:dyDescent="0.2">
      <c r="A128" s="3"/>
      <c r="B128" s="5" t="s">
        <v>304</v>
      </c>
      <c r="C128" s="5" t="s">
        <v>36</v>
      </c>
      <c r="D128" s="301">
        <f>AVERAGE(D126:D127)</f>
        <v>29.806226312071431</v>
      </c>
      <c r="E128" s="301">
        <f>AVERAGE(E126:E127)</f>
        <v>54.167406300048754</v>
      </c>
      <c r="F128" s="301">
        <f>AVERAGE(F126:F127)</f>
        <v>107.81253423180485</v>
      </c>
      <c r="G128" s="3"/>
      <c r="H128" s="3"/>
      <c r="I128" s="3"/>
      <c r="J128" s="3"/>
      <c r="K128" s="3"/>
      <c r="L128" s="3"/>
      <c r="M128" s="3"/>
      <c r="N128" s="3"/>
      <c r="O128" s="3"/>
    </row>
    <row r="129" spans="1:15" x14ac:dyDescent="0.2">
      <c r="A129" s="3"/>
      <c r="B129" s="5" t="s">
        <v>305</v>
      </c>
      <c r="C129" s="5" t="s">
        <v>2</v>
      </c>
      <c r="D129" s="259">
        <f>D128/'DCF &amp; Sensitivity'!$D$51-1</f>
        <v>-0.6309283517574118</v>
      </c>
      <c r="E129" s="259">
        <f>E128/'DCF &amp; Sensitivity'!$D$51-1</f>
        <v>-0.32927926820147657</v>
      </c>
      <c r="F129" s="259">
        <f>F128/'DCF &amp; Sensitivity'!$D$51-1</f>
        <v>0.33497442089901974</v>
      </c>
      <c r="G129" s="3"/>
      <c r="H129" s="3"/>
      <c r="I129" s="3"/>
      <c r="J129" s="3"/>
      <c r="K129" s="3"/>
      <c r="L129" s="3"/>
      <c r="M129" s="3"/>
      <c r="N129" s="3"/>
      <c r="O129" s="3"/>
    </row>
    <row r="130" spans="1:15" x14ac:dyDescent="0.2">
      <c r="A130" s="3"/>
      <c r="B130" s="3"/>
      <c r="C130" s="3"/>
      <c r="D130" s="3"/>
      <c r="E130" s="3"/>
      <c r="F130" s="3"/>
      <c r="G130" s="3"/>
      <c r="H130" s="3"/>
      <c r="I130" s="3"/>
      <c r="J130" s="3"/>
      <c r="K130" s="3"/>
      <c r="L130" s="3"/>
      <c r="M130" s="3"/>
      <c r="N130" s="3"/>
      <c r="O130" s="3"/>
    </row>
    <row r="131" spans="1:15" x14ac:dyDescent="0.2">
      <c r="A131" s="3"/>
      <c r="B131" s="3"/>
      <c r="C131" s="3"/>
      <c r="D131" s="3"/>
      <c r="E131" s="3"/>
      <c r="F131" s="3"/>
      <c r="G131" s="3"/>
      <c r="H131" s="3"/>
      <c r="I131" s="3"/>
      <c r="J131" s="3"/>
      <c r="K131" s="3"/>
      <c r="L131" s="3"/>
      <c r="M131" s="3"/>
      <c r="N131" s="3"/>
      <c r="O131" s="3"/>
    </row>
    <row r="132" spans="1:15" x14ac:dyDescent="0.2">
      <c r="A132" s="3"/>
      <c r="B132" s="3"/>
      <c r="C132" s="3"/>
      <c r="D132" s="3"/>
      <c r="E132" s="3"/>
      <c r="F132" s="3"/>
      <c r="G132" s="3"/>
      <c r="H132" s="3"/>
      <c r="I132" s="3"/>
      <c r="J132" s="3"/>
      <c r="K132" s="3"/>
      <c r="L132" s="3"/>
      <c r="M132" s="3"/>
      <c r="N132" s="3"/>
      <c r="O132" s="3"/>
    </row>
    <row r="133" spans="1:15" x14ac:dyDescent="0.2">
      <c r="A133" s="3"/>
      <c r="B133" s="3"/>
      <c r="C133" s="3"/>
      <c r="D133" s="3"/>
      <c r="E133" s="3"/>
      <c r="F133" s="3"/>
      <c r="G133" s="3"/>
      <c r="H133" s="3"/>
      <c r="I133" s="3"/>
      <c r="J133" s="3"/>
      <c r="K133" s="3"/>
      <c r="L133" s="3"/>
      <c r="M133" s="3"/>
      <c r="N133" s="3"/>
      <c r="O133" s="3"/>
    </row>
    <row r="134" spans="1:15" x14ac:dyDescent="0.2">
      <c r="A134" s="3"/>
      <c r="B134" s="3"/>
      <c r="C134" s="3"/>
      <c r="D134" s="3"/>
      <c r="E134" s="3"/>
      <c r="F134" s="3"/>
      <c r="G134" s="3"/>
      <c r="H134" s="3"/>
      <c r="I134" s="3"/>
      <c r="J134" s="3"/>
      <c r="K134" s="3"/>
      <c r="L134" s="3"/>
      <c r="M134" s="3"/>
      <c r="N134" s="3"/>
      <c r="O134" s="3"/>
    </row>
    <row r="135" spans="1:15" x14ac:dyDescent="0.2">
      <c r="A135" s="3"/>
      <c r="B135" s="3"/>
      <c r="C135" s="3"/>
      <c r="D135" s="3"/>
      <c r="E135" s="3"/>
      <c r="F135" s="3"/>
      <c r="G135" s="3"/>
      <c r="H135" s="3"/>
      <c r="I135" s="3"/>
      <c r="J135" s="3"/>
      <c r="K135" s="3"/>
      <c r="L135" s="3"/>
      <c r="M135" s="3"/>
      <c r="N135" s="3"/>
      <c r="O135" s="3"/>
    </row>
    <row r="136" spans="1:15" x14ac:dyDescent="0.2">
      <c r="A136" s="3"/>
      <c r="B136" s="3"/>
      <c r="C136" s="3"/>
      <c r="D136" s="3"/>
      <c r="E136" s="3"/>
      <c r="F136" s="3"/>
      <c r="G136" s="3"/>
      <c r="H136" s="3"/>
      <c r="I136" s="3"/>
      <c r="J136" s="3"/>
      <c r="K136" s="3"/>
      <c r="L136" s="3"/>
      <c r="M136" s="3"/>
      <c r="N136" s="3"/>
      <c r="O136" s="3"/>
    </row>
    <row r="137" spans="1:15" x14ac:dyDescent="0.2">
      <c r="A137" s="3"/>
      <c r="B137" s="3"/>
      <c r="C137" s="3"/>
      <c r="D137" s="3"/>
      <c r="E137" s="3"/>
      <c r="F137" s="3"/>
      <c r="G137" s="3"/>
      <c r="H137" s="3"/>
      <c r="I137" s="3"/>
      <c r="J137" s="3"/>
      <c r="K137" s="3"/>
      <c r="L137" s="3"/>
      <c r="M137" s="3"/>
      <c r="N137" s="3"/>
      <c r="O137" s="3"/>
    </row>
    <row r="138" spans="1:15" x14ac:dyDescent="0.2">
      <c r="A138" s="3"/>
      <c r="B138" s="3"/>
      <c r="C138" s="3"/>
      <c r="D138" s="3"/>
      <c r="E138" s="3"/>
      <c r="F138" s="3"/>
      <c r="G138" s="3"/>
      <c r="H138" s="3"/>
      <c r="I138" s="3"/>
      <c r="J138" s="3"/>
      <c r="K138" s="3"/>
      <c r="L138" s="3"/>
      <c r="M138" s="3"/>
      <c r="N138" s="3"/>
      <c r="O138" s="3"/>
    </row>
    <row r="139" spans="1:15" x14ac:dyDescent="0.2">
      <c r="A139" s="3"/>
      <c r="B139" s="3"/>
      <c r="C139" s="3"/>
      <c r="D139" s="3"/>
      <c r="E139" s="3"/>
      <c r="F139" s="3"/>
      <c r="G139" s="3"/>
      <c r="H139" s="3"/>
      <c r="I139" s="3"/>
      <c r="J139" s="3"/>
      <c r="K139" s="3"/>
      <c r="L139" s="3"/>
      <c r="M139" s="3"/>
      <c r="N139" s="3"/>
      <c r="O139" s="3"/>
    </row>
    <row r="140" spans="1:15" x14ac:dyDescent="0.2">
      <c r="A140" s="3"/>
      <c r="B140" s="3"/>
      <c r="C140" s="3"/>
      <c r="D140" s="3"/>
      <c r="E140" s="3"/>
      <c r="F140" s="3"/>
      <c r="G140" s="3"/>
      <c r="H140" s="3"/>
      <c r="I140" s="3"/>
      <c r="J140" s="3"/>
      <c r="K140" s="3"/>
      <c r="L140" s="3"/>
      <c r="M140" s="3"/>
      <c r="N140" s="3"/>
      <c r="O140" s="3"/>
    </row>
    <row r="141" spans="1:15" x14ac:dyDescent="0.2">
      <c r="A141" s="3"/>
      <c r="B141" s="3"/>
      <c r="C141" s="3"/>
      <c r="D141" s="3"/>
      <c r="E141" s="3"/>
      <c r="F141" s="3"/>
      <c r="G141" s="3"/>
      <c r="H141" s="3"/>
      <c r="I141" s="3"/>
      <c r="J141" s="3"/>
      <c r="K141" s="3"/>
      <c r="L141" s="3"/>
      <c r="M141" s="3"/>
      <c r="N141" s="3"/>
      <c r="O141" s="3"/>
    </row>
    <row r="142" spans="1:15" x14ac:dyDescent="0.2">
      <c r="A142" s="3"/>
      <c r="B142" s="3"/>
      <c r="C142" s="3"/>
      <c r="D142" s="3"/>
      <c r="E142" s="3"/>
      <c r="F142" s="3"/>
      <c r="G142" s="3"/>
      <c r="H142" s="3"/>
      <c r="I142" s="3"/>
      <c r="J142" s="3"/>
      <c r="K142" s="3"/>
      <c r="L142" s="3"/>
      <c r="M142" s="3"/>
      <c r="N142" s="3"/>
      <c r="O142" s="3"/>
    </row>
    <row r="143" spans="1:15" x14ac:dyDescent="0.2">
      <c r="A143" s="3"/>
      <c r="B143" s="3"/>
      <c r="C143" s="3"/>
      <c r="D143" s="3"/>
      <c r="E143" s="3"/>
      <c r="F143" s="3"/>
      <c r="G143" s="3"/>
      <c r="H143" s="3"/>
      <c r="I143" s="3"/>
      <c r="J143" s="3"/>
      <c r="K143" s="3"/>
      <c r="L143" s="3"/>
      <c r="M143" s="3"/>
      <c r="N143" s="3"/>
      <c r="O143" s="3"/>
    </row>
    <row r="144" spans="1:15" x14ac:dyDescent="0.2">
      <c r="A144" s="3"/>
      <c r="B144" s="3"/>
      <c r="C144" s="3"/>
      <c r="D144" s="3"/>
      <c r="E144" s="3"/>
      <c r="F144" s="3"/>
      <c r="G144" s="3"/>
      <c r="H144" s="3"/>
      <c r="I144" s="3"/>
      <c r="J144" s="3"/>
      <c r="K144" s="3"/>
      <c r="L144" s="3"/>
      <c r="M144" s="3"/>
      <c r="N144" s="3"/>
      <c r="O144" s="3"/>
    </row>
    <row r="145" spans="1:15" x14ac:dyDescent="0.2">
      <c r="A145" s="3"/>
      <c r="B145" s="3"/>
      <c r="C145" s="3"/>
      <c r="D145" s="3"/>
      <c r="E145" s="3"/>
      <c r="F145" s="3"/>
      <c r="G145" s="3"/>
      <c r="H145" s="3"/>
      <c r="I145" s="3"/>
      <c r="J145" s="3"/>
      <c r="K145" s="3"/>
      <c r="L145" s="3"/>
      <c r="M145" s="3"/>
      <c r="N145" s="3"/>
      <c r="O145" s="3"/>
    </row>
    <row r="146" spans="1:15" x14ac:dyDescent="0.2">
      <c r="A146" s="3"/>
      <c r="B146" s="3"/>
      <c r="C146" s="3"/>
      <c r="D146" s="3"/>
      <c r="E146" s="3"/>
      <c r="F146" s="3"/>
      <c r="G146" s="3"/>
      <c r="H146" s="3"/>
      <c r="I146" s="3"/>
      <c r="J146" s="3"/>
      <c r="K146" s="3"/>
      <c r="L146" s="3"/>
      <c r="M146" s="3"/>
      <c r="N146" s="3"/>
      <c r="O146" s="3"/>
    </row>
    <row r="147" spans="1:15" x14ac:dyDescent="0.2">
      <c r="A147" s="3"/>
      <c r="B147" s="3"/>
      <c r="C147" s="3"/>
      <c r="D147" s="3"/>
      <c r="E147" s="3"/>
      <c r="F147" s="3"/>
      <c r="G147" s="3"/>
      <c r="H147" s="3"/>
      <c r="I147" s="3"/>
      <c r="J147" s="3"/>
      <c r="K147" s="3"/>
      <c r="L147" s="3"/>
      <c r="M147" s="3"/>
      <c r="N147" s="3"/>
      <c r="O147" s="3"/>
    </row>
    <row r="148" spans="1:15" x14ac:dyDescent="0.2">
      <c r="A148" s="3"/>
      <c r="B148" s="3"/>
      <c r="C148" s="3"/>
      <c r="D148" s="3"/>
      <c r="E148" s="3"/>
      <c r="F148" s="3"/>
      <c r="G148" s="3"/>
      <c r="H148" s="3"/>
      <c r="I148" s="3"/>
      <c r="J148" s="3"/>
      <c r="K148" s="3"/>
      <c r="L148" s="3"/>
      <c r="M148" s="3"/>
      <c r="N148" s="3"/>
      <c r="O148" s="3"/>
    </row>
    <row r="149" spans="1:15" x14ac:dyDescent="0.2">
      <c r="A149" s="3"/>
      <c r="B149" s="3"/>
      <c r="C149" s="3"/>
      <c r="D149" s="3"/>
      <c r="E149" s="3"/>
      <c r="F149" s="3"/>
      <c r="G149" s="3"/>
      <c r="H149" s="3"/>
      <c r="I149" s="3"/>
      <c r="J149" s="3"/>
      <c r="K149" s="3"/>
      <c r="L149" s="3"/>
      <c r="M149" s="3"/>
      <c r="N149" s="3"/>
      <c r="O149" s="3"/>
    </row>
    <row r="150" spans="1:15" x14ac:dyDescent="0.2">
      <c r="A150" s="3"/>
      <c r="B150" s="3"/>
      <c r="C150" s="3"/>
      <c r="D150" s="3"/>
      <c r="E150" s="3"/>
      <c r="F150" s="3"/>
      <c r="G150" s="3"/>
      <c r="H150" s="3"/>
      <c r="I150" s="3"/>
      <c r="J150" s="3"/>
      <c r="K150" s="3"/>
      <c r="L150" s="3"/>
      <c r="M150" s="3"/>
      <c r="N150" s="3"/>
      <c r="O150" s="3"/>
    </row>
    <row r="151" spans="1:15" x14ac:dyDescent="0.2">
      <c r="A151" s="3"/>
      <c r="B151" s="3"/>
      <c r="C151" s="3"/>
      <c r="D151" s="3"/>
      <c r="E151" s="3"/>
      <c r="F151" s="3"/>
      <c r="G151" s="3"/>
      <c r="H151" s="3"/>
      <c r="I151" s="3"/>
      <c r="J151" s="3"/>
      <c r="K151" s="3"/>
      <c r="L151" s="3"/>
      <c r="M151" s="3"/>
      <c r="N151" s="3"/>
      <c r="O151" s="3"/>
    </row>
    <row r="152" spans="1:15" x14ac:dyDescent="0.2">
      <c r="A152" s="3"/>
      <c r="B152" s="3"/>
      <c r="C152" s="3"/>
      <c r="D152" s="3"/>
      <c r="E152" s="3"/>
      <c r="F152" s="3"/>
      <c r="G152" s="3"/>
      <c r="H152" s="3"/>
      <c r="I152" s="3"/>
      <c r="J152" s="3"/>
      <c r="K152" s="3"/>
      <c r="L152" s="3"/>
      <c r="M152" s="3"/>
      <c r="N152" s="3"/>
      <c r="O152" s="3"/>
    </row>
    <row r="153" spans="1:15" x14ac:dyDescent="0.2">
      <c r="A153" s="3"/>
      <c r="B153" s="3"/>
      <c r="C153" s="3"/>
      <c r="D153" s="3"/>
      <c r="E153" s="3"/>
      <c r="F153" s="3"/>
      <c r="G153" s="3"/>
      <c r="H153" s="3"/>
      <c r="I153" s="3"/>
      <c r="J153" s="3"/>
      <c r="K153" s="3"/>
      <c r="L153" s="3"/>
      <c r="M153" s="3"/>
      <c r="N153" s="3"/>
      <c r="O153" s="3"/>
    </row>
    <row r="154" spans="1:15" x14ac:dyDescent="0.2">
      <c r="A154" s="3"/>
      <c r="B154" s="3"/>
      <c r="C154" s="3"/>
      <c r="D154" s="3"/>
      <c r="E154" s="3"/>
      <c r="F154" s="3"/>
      <c r="G154" s="3"/>
      <c r="H154" s="3"/>
      <c r="I154" s="3"/>
      <c r="J154" s="3"/>
      <c r="K154" s="3"/>
      <c r="L154" s="3"/>
      <c r="M154" s="3"/>
      <c r="N154" s="3"/>
      <c r="O154" s="3"/>
    </row>
    <row r="155" spans="1:15" x14ac:dyDescent="0.2">
      <c r="A155" s="3"/>
      <c r="B155" s="3"/>
      <c r="C155" s="3"/>
      <c r="D155" s="3"/>
      <c r="E155" s="3"/>
      <c r="F155" s="3"/>
      <c r="G155" s="3"/>
      <c r="H155" s="3"/>
      <c r="I155" s="3"/>
      <c r="J155" s="3"/>
      <c r="K155" s="3"/>
      <c r="L155" s="3"/>
      <c r="M155" s="3"/>
      <c r="N155" s="3"/>
      <c r="O155" s="3"/>
    </row>
    <row r="156" spans="1:15" x14ac:dyDescent="0.2">
      <c r="A156" s="3"/>
      <c r="B156" s="3"/>
      <c r="C156" s="3"/>
      <c r="D156" s="3"/>
      <c r="E156" s="3"/>
      <c r="F156" s="3"/>
      <c r="G156" s="3"/>
      <c r="H156" s="3"/>
      <c r="I156" s="3"/>
      <c r="J156" s="3"/>
      <c r="K156" s="3"/>
      <c r="L156" s="3"/>
      <c r="M156" s="3"/>
      <c r="N156" s="3"/>
      <c r="O156" s="3"/>
    </row>
    <row r="157" spans="1:15" x14ac:dyDescent="0.2">
      <c r="A157" s="3"/>
      <c r="B157" s="3"/>
      <c r="C157" s="3"/>
      <c r="D157" s="3"/>
      <c r="E157" s="3"/>
      <c r="F157" s="3"/>
      <c r="G157" s="3"/>
      <c r="H157" s="3"/>
      <c r="I157" s="3"/>
      <c r="J157" s="3"/>
      <c r="K157" s="3"/>
      <c r="L157" s="3"/>
      <c r="M157" s="3"/>
      <c r="N157" s="3"/>
      <c r="O157" s="3"/>
    </row>
    <row r="158" spans="1:15" x14ac:dyDescent="0.2">
      <c r="A158" s="3"/>
      <c r="B158" s="3"/>
      <c r="C158" s="3"/>
      <c r="D158" s="3"/>
      <c r="E158" s="3"/>
      <c r="F158" s="3"/>
      <c r="G158" s="3"/>
      <c r="H158" s="3"/>
      <c r="I158" s="3"/>
      <c r="J158" s="3"/>
      <c r="K158" s="3"/>
      <c r="L158" s="3"/>
      <c r="M158" s="3"/>
      <c r="N158" s="3"/>
      <c r="O158" s="3"/>
    </row>
    <row r="159" spans="1:15" x14ac:dyDescent="0.2">
      <c r="A159" s="3"/>
      <c r="B159" s="3"/>
      <c r="C159" s="3"/>
      <c r="D159" s="3"/>
      <c r="E159" s="3"/>
      <c r="F159" s="3"/>
      <c r="G159" s="3"/>
      <c r="H159" s="3"/>
      <c r="I159" s="3"/>
      <c r="J159" s="3"/>
      <c r="K159" s="3"/>
      <c r="L159" s="3"/>
      <c r="M159" s="3"/>
      <c r="N159" s="3"/>
      <c r="O159" s="3"/>
    </row>
    <row r="160" spans="1:15" x14ac:dyDescent="0.2">
      <c r="A160" s="3"/>
      <c r="B160" s="3"/>
      <c r="C160" s="3"/>
      <c r="D160" s="3"/>
      <c r="E160" s="3"/>
      <c r="F160" s="3"/>
      <c r="G160" s="3"/>
      <c r="H160" s="3"/>
      <c r="I160" s="3"/>
      <c r="J160" s="3"/>
      <c r="K160" s="3"/>
      <c r="L160" s="3"/>
      <c r="M160" s="3"/>
      <c r="N160" s="3"/>
      <c r="O160" s="3"/>
    </row>
    <row r="161" spans="1:15" x14ac:dyDescent="0.2">
      <c r="A161" s="3"/>
      <c r="B161" s="3"/>
      <c r="C161" s="3"/>
      <c r="D161" s="3"/>
      <c r="E161" s="3"/>
      <c r="F161" s="3"/>
      <c r="G161" s="3"/>
      <c r="H161" s="3"/>
      <c r="I161" s="3"/>
      <c r="J161" s="3"/>
      <c r="K161" s="3"/>
      <c r="L161" s="3"/>
      <c r="M161" s="3"/>
      <c r="N161" s="3"/>
      <c r="O161" s="3"/>
    </row>
    <row r="162" spans="1:15" x14ac:dyDescent="0.2">
      <c r="A162" s="3"/>
      <c r="B162" s="3"/>
      <c r="C162" s="3"/>
      <c r="D162" s="3"/>
      <c r="E162" s="3"/>
      <c r="F162" s="3"/>
      <c r="G162" s="3"/>
      <c r="H162" s="3"/>
      <c r="I162" s="3"/>
      <c r="J162" s="3"/>
      <c r="K162" s="3"/>
      <c r="L162" s="3"/>
      <c r="M162" s="3"/>
      <c r="N162" s="3"/>
      <c r="O162" s="3"/>
    </row>
    <row r="163" spans="1:15" x14ac:dyDescent="0.2">
      <c r="A163" s="3"/>
      <c r="B163" s="3"/>
      <c r="C163" s="3"/>
      <c r="D163" s="3"/>
      <c r="E163" s="3"/>
      <c r="F163" s="3"/>
      <c r="G163" s="3"/>
      <c r="H163" s="3"/>
      <c r="I163" s="3"/>
      <c r="J163" s="3"/>
      <c r="K163" s="3"/>
      <c r="L163" s="3"/>
      <c r="M163" s="3"/>
      <c r="N163" s="3"/>
      <c r="O163" s="3"/>
    </row>
    <row r="164" spans="1:15" x14ac:dyDescent="0.2">
      <c r="A164" s="3"/>
      <c r="B164" s="3"/>
      <c r="C164" s="3"/>
      <c r="D164" s="3"/>
      <c r="E164" s="3"/>
      <c r="F164" s="3"/>
      <c r="G164" s="3"/>
      <c r="H164" s="3"/>
      <c r="I164" s="3"/>
      <c r="J164" s="3"/>
      <c r="K164" s="3"/>
      <c r="L164" s="3"/>
      <c r="M164" s="3"/>
      <c r="N164" s="3"/>
      <c r="O164" s="3"/>
    </row>
    <row r="165" spans="1:15" x14ac:dyDescent="0.2">
      <c r="A165" s="3"/>
      <c r="B165" s="3"/>
      <c r="C165" s="3"/>
      <c r="D165" s="3"/>
      <c r="E165" s="3"/>
      <c r="F165" s="3"/>
      <c r="G165" s="3"/>
      <c r="H165" s="3"/>
      <c r="I165" s="3"/>
      <c r="J165" s="3"/>
      <c r="K165" s="3"/>
      <c r="L165" s="3"/>
      <c r="M165" s="3"/>
      <c r="N165" s="3"/>
      <c r="O165" s="3"/>
    </row>
  </sheetData>
  <mergeCells count="1">
    <mergeCell ref="B5:F9"/>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76CE8-228D-3949-8DF7-003D0BE494A4}">
  <sheetPr>
    <tabColor theme="1" tint="0.499984740745262"/>
  </sheetPr>
  <dimension ref="B2:F29"/>
  <sheetViews>
    <sheetView showGridLines="0" workbookViewId="0">
      <selection activeCell="C22" sqref="C22"/>
    </sheetView>
  </sheetViews>
  <sheetFormatPr baseColWidth="10" defaultRowHeight="14" x14ac:dyDescent="0.2"/>
  <cols>
    <col min="1" max="1" width="2.5" style="3" customWidth="1"/>
    <col min="2" max="2" width="46.6640625" style="3" customWidth="1"/>
    <col min="3" max="3" width="19.1640625" style="3" customWidth="1"/>
    <col min="4" max="6" width="18.33203125" style="3" customWidth="1"/>
    <col min="7" max="16384" width="10.83203125" style="3"/>
  </cols>
  <sheetData>
    <row r="2" spans="2:6" ht="16" x14ac:dyDescent="0.2">
      <c r="B2" s="57" t="s">
        <v>375</v>
      </c>
    </row>
    <row r="3" spans="2:6" s="4" customFormat="1" x14ac:dyDescent="0.2">
      <c r="B3" s="4" t="s">
        <v>589</v>
      </c>
    </row>
    <row r="4" spans="2:6" x14ac:dyDescent="0.2">
      <c r="B4" s="4" t="s">
        <v>376</v>
      </c>
    </row>
    <row r="5" spans="2:6" x14ac:dyDescent="0.2">
      <c r="B5" s="226"/>
    </row>
    <row r="6" spans="2:6" x14ac:dyDescent="0.2">
      <c r="B6" s="357" t="s">
        <v>782</v>
      </c>
    </row>
    <row r="7" spans="2:6" ht="42" customHeight="1" x14ac:dyDescent="0.2">
      <c r="B7" s="358" t="s">
        <v>377</v>
      </c>
      <c r="C7" s="633" t="s">
        <v>806</v>
      </c>
      <c r="D7" s="633"/>
      <c r="E7" s="633"/>
      <c r="F7" s="633"/>
    </row>
    <row r="8" spans="2:6" x14ac:dyDescent="0.2">
      <c r="B8" s="359"/>
      <c r="C8" s="359"/>
      <c r="D8" s="359"/>
      <c r="E8" s="359"/>
      <c r="F8" s="359"/>
    </row>
    <row r="9" spans="2:6" x14ac:dyDescent="0.2">
      <c r="B9" s="358" t="s">
        <v>378</v>
      </c>
      <c r="C9" s="734" t="s">
        <v>789</v>
      </c>
      <c r="D9" s="359"/>
      <c r="E9" s="359"/>
      <c r="F9" s="359"/>
    </row>
    <row r="10" spans="2:6" x14ac:dyDescent="0.2">
      <c r="B10" s="360"/>
      <c r="C10" s="360"/>
      <c r="D10" s="360"/>
      <c r="E10" s="360"/>
      <c r="F10" s="360"/>
    </row>
    <row r="11" spans="2:6" x14ac:dyDescent="0.2">
      <c r="B11" s="361" t="s">
        <v>379</v>
      </c>
      <c r="C11" s="362" t="s">
        <v>380</v>
      </c>
      <c r="D11" s="360"/>
      <c r="E11" s="360"/>
      <c r="F11" s="360"/>
    </row>
    <row r="14" spans="2:6" ht="15" thickBot="1" x14ac:dyDescent="0.25">
      <c r="B14" s="370" t="s">
        <v>381</v>
      </c>
      <c r="C14" s="371" t="s">
        <v>382</v>
      </c>
      <c r="D14" s="372" t="s">
        <v>47</v>
      </c>
      <c r="E14" s="373" t="s">
        <v>57</v>
      </c>
      <c r="F14" s="374" t="s">
        <v>48</v>
      </c>
    </row>
    <row r="15" spans="2:6" x14ac:dyDescent="0.2">
      <c r="B15" s="49" t="s">
        <v>383</v>
      </c>
      <c r="C15" s="368" t="s">
        <v>778</v>
      </c>
      <c r="D15" s="369">
        <v>2427.14</v>
      </c>
      <c r="E15" s="369">
        <v>2937.48</v>
      </c>
      <c r="F15" s="369">
        <v>3409.18</v>
      </c>
    </row>
    <row r="16" spans="2:6" x14ac:dyDescent="0.2">
      <c r="B16" s="5" t="s">
        <v>384</v>
      </c>
      <c r="C16" s="363" t="s">
        <v>779</v>
      </c>
      <c r="D16" s="364">
        <v>447.49</v>
      </c>
      <c r="E16" s="364">
        <v>651.19000000000005</v>
      </c>
      <c r="F16" s="364">
        <v>882.91</v>
      </c>
    </row>
    <row r="17" spans="2:6" x14ac:dyDescent="0.2">
      <c r="B17" s="5" t="s">
        <v>385</v>
      </c>
      <c r="C17" s="363" t="s">
        <v>780</v>
      </c>
      <c r="D17" s="364">
        <v>637.91999999999996</v>
      </c>
      <c r="E17" s="364">
        <v>903.18</v>
      </c>
      <c r="F17" s="364">
        <v>1201.99</v>
      </c>
    </row>
    <row r="18" spans="2:6" x14ac:dyDescent="0.2">
      <c r="B18" s="5" t="s">
        <v>387</v>
      </c>
      <c r="C18" s="363" t="s">
        <v>386</v>
      </c>
      <c r="D18" s="270">
        <f>IFERROR(D17/D15,"")</f>
        <v>0.26282785500630373</v>
      </c>
      <c r="E18" s="270">
        <f>IFERROR(E17/E15,"")</f>
        <v>0.30746762531149147</v>
      </c>
      <c r="F18" s="270">
        <f>IFERROR(F17/F15,"")</f>
        <v>0.3525745193858934</v>
      </c>
    </row>
    <row r="19" spans="2:6" x14ac:dyDescent="0.2">
      <c r="B19" s="5" t="s">
        <v>388</v>
      </c>
      <c r="C19" s="363" t="s">
        <v>781</v>
      </c>
      <c r="D19" s="364">
        <v>455.89</v>
      </c>
      <c r="E19" s="364">
        <v>595.33000000000004</v>
      </c>
      <c r="F19" s="364">
        <v>774.09</v>
      </c>
    </row>
    <row r="20" spans="2:6" x14ac:dyDescent="0.2">
      <c r="B20" s="5" t="s">
        <v>389</v>
      </c>
      <c r="C20" s="363" t="s">
        <v>390</v>
      </c>
      <c r="D20" s="364">
        <v>4904.45</v>
      </c>
      <c r="E20" s="364">
        <v>8072.31</v>
      </c>
      <c r="F20" s="364">
        <v>16521.25</v>
      </c>
    </row>
    <row r="21" spans="2:6" x14ac:dyDescent="0.2">
      <c r="B21" s="5" t="s">
        <v>391</v>
      </c>
      <c r="C21" s="363" t="s">
        <v>392</v>
      </c>
      <c r="D21" s="364">
        <v>6840.45</v>
      </c>
      <c r="E21" s="364">
        <v>11010.07</v>
      </c>
      <c r="F21" s="364">
        <v>17960.02</v>
      </c>
    </row>
    <row r="22" spans="2:6" x14ac:dyDescent="0.2">
      <c r="B22" s="5" t="s">
        <v>393</v>
      </c>
      <c r="C22" s="363" t="s">
        <v>394</v>
      </c>
      <c r="D22" s="365">
        <v>32.67</v>
      </c>
      <c r="E22" s="365">
        <v>51.39</v>
      </c>
      <c r="F22" s="365">
        <v>101.32</v>
      </c>
    </row>
    <row r="23" spans="2:6" x14ac:dyDescent="0.2">
      <c r="B23" s="5" t="s">
        <v>395</v>
      </c>
      <c r="C23" s="363" t="s">
        <v>396</v>
      </c>
      <c r="D23" s="365">
        <v>44.11</v>
      </c>
      <c r="E23" s="365">
        <v>68.75</v>
      </c>
      <c r="F23" s="365">
        <v>109.82</v>
      </c>
    </row>
    <row r="24" spans="2:6" x14ac:dyDescent="0.2">
      <c r="B24" s="230" t="s">
        <v>397</v>
      </c>
      <c r="C24" s="366" t="s">
        <v>398</v>
      </c>
      <c r="D24" s="239">
        <f>IFERROR(AVERAGE(D22:D23),"")</f>
        <v>38.39</v>
      </c>
      <c r="E24" s="239">
        <f>IFERROR(AVERAGE(E22:E23),"")</f>
        <v>60.07</v>
      </c>
      <c r="F24" s="239">
        <f>IFERROR(AVERAGE(F22:F23),"")</f>
        <v>105.57</v>
      </c>
    </row>
    <row r="26" spans="2:6" ht="15" thickBot="1" x14ac:dyDescent="0.25">
      <c r="B26" s="370" t="s">
        <v>399</v>
      </c>
      <c r="C26" s="377"/>
      <c r="D26" s="372" t="s">
        <v>47</v>
      </c>
      <c r="E26" s="373" t="s">
        <v>57</v>
      </c>
      <c r="F26" s="374" t="s">
        <v>48</v>
      </c>
    </row>
    <row r="27" spans="2:6" x14ac:dyDescent="0.2">
      <c r="B27" s="375" t="s">
        <v>400</v>
      </c>
      <c r="C27" s="368" t="s">
        <v>401</v>
      </c>
      <c r="D27" s="376">
        <f>IFERROR('Shadow DCF'!D128,"")</f>
        <v>29.806226312071431</v>
      </c>
      <c r="E27" s="376">
        <f>IFERROR('Shadow DCF'!E128,"")</f>
        <v>54.167406300048754</v>
      </c>
      <c r="F27" s="376">
        <f>IFERROR('Shadow DCF'!F128,"")</f>
        <v>107.81253423180485</v>
      </c>
    </row>
    <row r="28" spans="2:6" x14ac:dyDescent="0.2">
      <c r="B28" s="146" t="s">
        <v>402</v>
      </c>
      <c r="C28" s="366"/>
      <c r="D28" s="238">
        <f>IFERROR(D24,"")</f>
        <v>38.39</v>
      </c>
      <c r="E28" s="238">
        <f>IFERROR(E24,"")</f>
        <v>60.07</v>
      </c>
      <c r="F28" s="238">
        <f>IFERROR(F24,"")</f>
        <v>105.57</v>
      </c>
    </row>
    <row r="29" spans="2:6" x14ac:dyDescent="0.2">
      <c r="B29" s="230" t="s">
        <v>403</v>
      </c>
      <c r="C29" s="366"/>
      <c r="D29" s="367">
        <f>IFERROR(IF(AND(ISNUMBER(D27),ISNUMBER(D28)),D27/D28-1,""),"")</f>
        <v>-0.22359400072749591</v>
      </c>
      <c r="E29" s="367">
        <f>IFERROR(IF(AND(ISNUMBER(E27),ISNUMBER(E28)),E27/E28-1,""),"")</f>
        <v>-9.826192275597212E-2</v>
      </c>
      <c r="F29" s="367">
        <f>IFERROR(IF(AND(ISNUMBER(F27),ISNUMBER(F28)),F27/F28-1,""),"")</f>
        <v>2.1242154322296702E-2</v>
      </c>
    </row>
  </sheetData>
  <mergeCells count="1">
    <mergeCell ref="C7:F7"/>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76EB-243A-6E43-8FB1-C4958B1EF2A3}">
  <dimension ref="A1:H12"/>
  <sheetViews>
    <sheetView workbookViewId="0"/>
  </sheetViews>
  <sheetFormatPr baseColWidth="10" defaultRowHeight="15" x14ac:dyDescent="0.2"/>
  <cols>
    <col min="1" max="1" width="36.6640625" customWidth="1"/>
    <col min="2" max="4" width="11.6640625" customWidth="1"/>
    <col min="5" max="5" width="46.6640625" customWidth="1"/>
  </cols>
  <sheetData>
    <row r="1" spans="1:8" ht="16" x14ac:dyDescent="0.2">
      <c r="A1" s="57" t="s">
        <v>783</v>
      </c>
    </row>
    <row r="3" spans="1:8" x14ac:dyDescent="0.2">
      <c r="A3" s="56" t="s">
        <v>322</v>
      </c>
    </row>
    <row r="5" spans="1:8" x14ac:dyDescent="0.2">
      <c r="A5" s="257" t="s">
        <v>171</v>
      </c>
      <c r="B5" s="257" t="s">
        <v>170</v>
      </c>
      <c r="C5" s="257" t="s">
        <v>321</v>
      </c>
      <c r="D5" s="257" t="s">
        <v>169</v>
      </c>
      <c r="E5" s="257" t="s">
        <v>323</v>
      </c>
      <c r="G5" s="257" t="s">
        <v>326</v>
      </c>
    </row>
    <row r="6" spans="1:8" x14ac:dyDescent="0.2">
      <c r="A6" t="s">
        <v>315</v>
      </c>
      <c r="B6" s="302">
        <f>'Scenario Summary'!D8</f>
        <v>23.995326098159072</v>
      </c>
      <c r="C6" s="303">
        <f>D6-B6</f>
        <v>78.881899312962986</v>
      </c>
      <c r="D6" s="302">
        <f>'Scenario Summary'!F8</f>
        <v>102.87722541112205</v>
      </c>
      <c r="E6" t="s">
        <v>316</v>
      </c>
      <c r="G6" t="s">
        <v>327</v>
      </c>
      <c r="H6" t="s">
        <v>328</v>
      </c>
    </row>
    <row r="7" spans="1:8" x14ac:dyDescent="0.2">
      <c r="A7" t="s">
        <v>324</v>
      </c>
      <c r="B7" s="302">
        <f>'Scenario Summary'!D9</f>
        <v>35.617126525983792</v>
      </c>
      <c r="C7" s="303">
        <f>D7-B7</f>
        <v>77.130716526503861</v>
      </c>
      <c r="D7" s="302">
        <f>'Scenario Summary'!F9</f>
        <v>112.74784305248765</v>
      </c>
      <c r="E7" t="s">
        <v>316</v>
      </c>
      <c r="G7" s="303">
        <f>B12</f>
        <v>80.760000000000005</v>
      </c>
      <c r="H7" s="304">
        <v>0.5</v>
      </c>
    </row>
    <row r="8" spans="1:8" x14ac:dyDescent="0.2">
      <c r="A8" t="s">
        <v>317</v>
      </c>
      <c r="B8" s="302">
        <f>(PERCENTILE(Comps!S11:S15,0.25)*'Income Statement'!I51-'DCF &amp; Sensitivity'!D44)/'DCF &amp; Sensitivity'!D47</f>
        <v>70.715995624935047</v>
      </c>
      <c r="C8" s="303">
        <f>D8-B8</f>
        <v>19.247304848554151</v>
      </c>
      <c r="D8" s="302">
        <f>(PERCENTILE(Comps!S11:S15,0.75)*'Income Statement'!I51-'DCF &amp; Sensitivity'!D44)/'DCF &amp; Sensitivity'!D47</f>
        <v>89.963300473489198</v>
      </c>
      <c r="E8" t="s">
        <v>784</v>
      </c>
      <c r="G8" s="303">
        <f>B12</f>
        <v>80.760000000000005</v>
      </c>
      <c r="H8" s="304">
        <v>5.5</v>
      </c>
    </row>
    <row r="9" spans="1:8" x14ac:dyDescent="0.2">
      <c r="A9" t="s">
        <v>325</v>
      </c>
      <c r="B9" s="302">
        <f>PERCENTILE(Comps!U11:U15,0.25)*'Income Statement'!I43</f>
        <v>78.20529349597669</v>
      </c>
      <c r="C9" s="303">
        <f>D9-B9</f>
        <v>6.7157833656705321</v>
      </c>
      <c r="D9" s="302">
        <f>PERCENTILE(Comps!U11:U15,0.75)*'Income Statement'!I43</f>
        <v>84.921076861647222</v>
      </c>
      <c r="E9" t="s">
        <v>785</v>
      </c>
    </row>
    <row r="10" spans="1:8" x14ac:dyDescent="0.2">
      <c r="A10" t="s">
        <v>318</v>
      </c>
      <c r="B10" s="305">
        <v>78.87</v>
      </c>
      <c r="C10" s="303">
        <f>D10-B10</f>
        <v>16.819999999999993</v>
      </c>
      <c r="D10" s="306">
        <v>95.69</v>
      </c>
      <c r="E10" t="s">
        <v>319</v>
      </c>
    </row>
    <row r="12" spans="1:8" x14ac:dyDescent="0.2">
      <c r="A12" s="43" t="s">
        <v>320</v>
      </c>
      <c r="B12" s="302">
        <f>'DCF &amp; Sensitivity'!D51</f>
        <v>80.760000000000005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Cover Page</vt:lpstr>
      <vt:lpstr>Scenario Summary</vt:lpstr>
      <vt:lpstr>SWOT</vt:lpstr>
      <vt:lpstr>Valuation &gt;&gt;&gt;</vt:lpstr>
      <vt:lpstr>Assumptions</vt:lpstr>
      <vt:lpstr>Revenue Build</vt:lpstr>
      <vt:lpstr>Income Statement</vt:lpstr>
      <vt:lpstr>Balance Sheet</vt:lpstr>
      <vt:lpstr>Cash Flow</vt:lpstr>
      <vt:lpstr>DCF &amp; Sensitivity</vt:lpstr>
      <vt:lpstr>Comps</vt:lpstr>
      <vt:lpstr>Ideal Revenue Build &gt;&gt;&gt;</vt:lpstr>
      <vt:lpstr>Rev Build - BU 1 - Contractor</vt:lpstr>
      <vt:lpstr>Rev Build - PF1 - Airless Spray</vt:lpstr>
      <vt:lpstr>Rev Build - PF2  - Powder Coat</vt:lpstr>
      <vt:lpstr>Appendix &gt;&gt;&gt;</vt:lpstr>
      <vt:lpstr>Sources</vt:lpstr>
      <vt:lpstr>Shadow DCF</vt:lpstr>
      <vt:lpstr>Shadow DCF Rec</vt:lpstr>
      <vt:lpstr>FootballField Data</vt:lpstr>
      <vt:lpstr>BaseYear</vt:lpstr>
      <vt:lpstr>CompanyName</vt:lpstr>
      <vt:lpstr>CurrentPrice</vt:lpstr>
      <vt:lpstr>ExitMultiple</vt:lpstr>
      <vt:lpstr>FirstForecastYear</vt:lpstr>
      <vt:lpstr>NetDebt</vt:lpstr>
      <vt:lpstr>ScenarioRange</vt:lpstr>
      <vt:lpstr>SharesOut</vt:lpstr>
      <vt:lpstr>TaxRate</vt:lpstr>
      <vt:lpstr>TerminalGrowth</vt:lpstr>
      <vt:lpstr>Ticker</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Arijay Mehta</cp:lastModifiedBy>
  <dcterms:created xsi:type="dcterms:W3CDTF">2026-04-13T20:34:49Z</dcterms:created>
  <dcterms:modified xsi:type="dcterms:W3CDTF">2026-04-27T22:23:13Z</dcterms:modified>
</cp:coreProperties>
</file>