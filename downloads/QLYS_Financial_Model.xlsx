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rijaymehta/Library/CloudStorage/GoogleDrive-asmehta4@gmail.com/My Drive/Stock Studies/"/>
    </mc:Choice>
  </mc:AlternateContent>
  <xr:revisionPtr revIDLastSave="0" documentId="13_ncr:1_{86B5D521-1B23-824B-BE8F-3A96CED44ED9}" xr6:coauthVersionLast="47" xr6:coauthVersionMax="47" xr10:uidLastSave="{00000000-0000-0000-0000-000000000000}"/>
  <bookViews>
    <workbookView xWindow="0" yWindow="660" windowWidth="30240" windowHeight="18980" xr2:uid="{00000000-000D-0000-FFFF-FFFF00000000}"/>
  </bookViews>
  <sheets>
    <sheet name="Cover Page" sheetId="16" r:id="rId1"/>
    <sheet name="Scenario Summary" sheetId="12" r:id="rId2"/>
    <sheet name="SWOT" sheetId="2" r:id="rId3"/>
    <sheet name="Valuation &gt;&gt;&gt;" sheetId="15" r:id="rId4"/>
    <sheet name="Assumptions" sheetId="3" r:id="rId5"/>
    <sheet name="Revenue Build" sheetId="4" r:id="rId6"/>
    <sheet name="Income Statement" sheetId="5" r:id="rId7"/>
    <sheet name="Balance Sheet" sheetId="6" r:id="rId8"/>
    <sheet name="Cash Flow" sheetId="7" r:id="rId9"/>
    <sheet name="DCF &amp; Sensitivity" sheetId="8" r:id="rId10"/>
    <sheet name="Comps" sheetId="10" r:id="rId11"/>
    <sheet name="Appendix &gt;&gt;&gt;" sheetId="14" r:id="rId12"/>
    <sheet name="Shadow DCF" sheetId="13" r:id="rId13"/>
    <sheet name="Sources" sheetId="11"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3" l="1"/>
  <c r="D14" i="8"/>
  <c r="D13" i="8"/>
  <c r="H13" i="6"/>
  <c r="G13" i="6"/>
  <c r="F13" i="6"/>
  <c r="E13" i="6"/>
  <c r="I10" i="6"/>
  <c r="J10" i="6" s="1"/>
  <c r="K10" i="6" s="1"/>
  <c r="L10" i="6" s="1"/>
  <c r="M10" i="6" s="1"/>
  <c r="C27" i="16"/>
  <c r="C25" i="16"/>
  <c r="C17" i="16"/>
  <c r="H53" i="3"/>
  <c r="G53" i="3"/>
  <c r="F53" i="3"/>
  <c r="E53" i="3"/>
  <c r="C12" i="12"/>
  <c r="D108" i="13"/>
  <c r="J86" i="13"/>
  <c r="I86" i="13"/>
  <c r="H86" i="13"/>
  <c r="G86" i="13"/>
  <c r="F86" i="13"/>
  <c r="J85" i="13"/>
  <c r="I85" i="13"/>
  <c r="H85" i="13"/>
  <c r="G85" i="13"/>
  <c r="F85" i="13"/>
  <c r="J84" i="13"/>
  <c r="I84" i="13"/>
  <c r="H84" i="13"/>
  <c r="G84" i="13"/>
  <c r="F84" i="13"/>
  <c r="J83" i="13"/>
  <c r="I83" i="13"/>
  <c r="H83" i="13"/>
  <c r="G83" i="13"/>
  <c r="G87" i="13" s="1"/>
  <c r="F83" i="13"/>
  <c r="F81" i="13"/>
  <c r="F93" i="13" s="1"/>
  <c r="D72" i="13"/>
  <c r="J50" i="13"/>
  <c r="I50" i="13"/>
  <c r="H50" i="13"/>
  <c r="G50" i="13"/>
  <c r="F50" i="13"/>
  <c r="J49" i="13"/>
  <c r="I49" i="13"/>
  <c r="H49" i="13"/>
  <c r="G49" i="13"/>
  <c r="F49" i="13"/>
  <c r="J48" i="13"/>
  <c r="I48" i="13"/>
  <c r="H48" i="13"/>
  <c r="G48" i="13"/>
  <c r="F48" i="13"/>
  <c r="J47" i="13"/>
  <c r="I47" i="13"/>
  <c r="H47" i="13"/>
  <c r="G47" i="13"/>
  <c r="F47" i="13"/>
  <c r="F45" i="13"/>
  <c r="D36" i="13"/>
  <c r="F9" i="13"/>
  <c r="F10" i="13" s="1"/>
  <c r="J14" i="13"/>
  <c r="I14" i="13"/>
  <c r="H14" i="13"/>
  <c r="G14" i="13"/>
  <c r="F14" i="13"/>
  <c r="J13" i="13"/>
  <c r="I13" i="13"/>
  <c r="H13" i="13"/>
  <c r="G13" i="13"/>
  <c r="F13" i="13"/>
  <c r="J12" i="13"/>
  <c r="I12" i="13"/>
  <c r="H12" i="13"/>
  <c r="G12" i="13"/>
  <c r="F12" i="13"/>
  <c r="J11" i="13"/>
  <c r="I11" i="13"/>
  <c r="H11" i="13"/>
  <c r="G11" i="13"/>
  <c r="F11" i="13"/>
  <c r="E29" i="12"/>
  <c r="D29" i="12"/>
  <c r="C29" i="12"/>
  <c r="E28" i="12"/>
  <c r="D28" i="12"/>
  <c r="C28" i="12"/>
  <c r="E27" i="12"/>
  <c r="D27" i="12"/>
  <c r="C27" i="12"/>
  <c r="E26" i="12"/>
  <c r="D26" i="12"/>
  <c r="C26" i="12"/>
  <c r="C35" i="12" s="1"/>
  <c r="E23" i="12"/>
  <c r="D23" i="12"/>
  <c r="C23" i="12"/>
  <c r="E30" i="12"/>
  <c r="D30" i="12"/>
  <c r="C30" i="12"/>
  <c r="E25" i="12"/>
  <c r="D25" i="12"/>
  <c r="C25" i="12"/>
  <c r="E24" i="12"/>
  <c r="D24" i="12"/>
  <c r="C24" i="12"/>
  <c r="M41" i="3"/>
  <c r="M51" i="10"/>
  <c r="M52" i="10"/>
  <c r="E51" i="10"/>
  <c r="O51" i="10"/>
  <c r="O52" i="10"/>
  <c r="N52" i="10"/>
  <c r="L52" i="10"/>
  <c r="K52" i="10"/>
  <c r="J52" i="10"/>
  <c r="I52" i="10"/>
  <c r="H52" i="10"/>
  <c r="G52" i="10"/>
  <c r="F52" i="10"/>
  <c r="N51" i="10"/>
  <c r="L51" i="10"/>
  <c r="K51" i="10"/>
  <c r="J51" i="10"/>
  <c r="I51" i="10"/>
  <c r="H51" i="10"/>
  <c r="G51" i="10"/>
  <c r="F51" i="10"/>
  <c r="E52" i="10"/>
  <c r="D69" i="3"/>
  <c r="C24" i="16" s="1"/>
  <c r="D68" i="3"/>
  <c r="I9" i="4"/>
  <c r="L41" i="3"/>
  <c r="K41" i="3"/>
  <c r="J41" i="3"/>
  <c r="I41" i="3"/>
  <c r="J40" i="3"/>
  <c r="M40" i="3"/>
  <c r="L40" i="3"/>
  <c r="K40" i="3"/>
  <c r="I40" i="3"/>
  <c r="M39" i="3"/>
  <c r="L39" i="3"/>
  <c r="K39" i="3"/>
  <c r="J39" i="3"/>
  <c r="I39" i="3"/>
  <c r="H37" i="7"/>
  <c r="G37" i="7"/>
  <c r="F37" i="7"/>
  <c r="E37" i="7"/>
  <c r="D37" i="7"/>
  <c r="H36" i="7"/>
  <c r="H38" i="7" s="1"/>
  <c r="G36" i="7"/>
  <c r="G38" i="7" s="1"/>
  <c r="F36" i="7"/>
  <c r="F38" i="7" s="1"/>
  <c r="E36" i="7"/>
  <c r="E38" i="7" s="1"/>
  <c r="D36" i="7"/>
  <c r="D38" i="7" s="1"/>
  <c r="M24" i="7"/>
  <c r="M28" i="7" s="1"/>
  <c r="L24" i="7"/>
  <c r="L28" i="7" s="1"/>
  <c r="K24" i="7"/>
  <c r="K28" i="7" s="1"/>
  <c r="J24" i="7"/>
  <c r="J28" i="7" s="1"/>
  <c r="I24" i="7"/>
  <c r="I28" i="7" s="1"/>
  <c r="H24" i="7"/>
  <c r="H28" i="7" s="1"/>
  <c r="H31" i="7" s="1"/>
  <c r="H33" i="7" s="1"/>
  <c r="G24" i="7"/>
  <c r="G28" i="7" s="1"/>
  <c r="G31" i="7" s="1"/>
  <c r="G33" i="7" s="1"/>
  <c r="G45" i="6" s="1"/>
  <c r="F24" i="7"/>
  <c r="F28" i="7" s="1"/>
  <c r="F31" i="7" s="1"/>
  <c r="F33" i="7" s="1"/>
  <c r="F45" i="6" s="1"/>
  <c r="E24" i="7"/>
  <c r="E28" i="7" s="1"/>
  <c r="E31" i="7" s="1"/>
  <c r="E33" i="7" s="1"/>
  <c r="E45" i="6" s="1"/>
  <c r="D24" i="7"/>
  <c r="D28" i="7" s="1"/>
  <c r="D31" i="7" s="1"/>
  <c r="D33" i="7" s="1"/>
  <c r="H20" i="7"/>
  <c r="G20" i="7"/>
  <c r="F20" i="7"/>
  <c r="E20" i="7"/>
  <c r="D20" i="7"/>
  <c r="H11" i="7"/>
  <c r="G11" i="7"/>
  <c r="F11" i="7"/>
  <c r="E11" i="7"/>
  <c r="D11" i="7"/>
  <c r="H10" i="7"/>
  <c r="G10" i="7"/>
  <c r="F10" i="7"/>
  <c r="E10" i="7"/>
  <c r="D10" i="7"/>
  <c r="H42" i="6"/>
  <c r="H44" i="6" s="1"/>
  <c r="G42" i="6"/>
  <c r="G44" i="6" s="1"/>
  <c r="F42" i="6"/>
  <c r="F44" i="6" s="1"/>
  <c r="E42" i="6"/>
  <c r="E44" i="6" s="1"/>
  <c r="M41" i="5"/>
  <c r="L41" i="5"/>
  <c r="K41" i="5"/>
  <c r="J41" i="5"/>
  <c r="I41" i="5"/>
  <c r="H41" i="5"/>
  <c r="G41" i="5"/>
  <c r="F41" i="5"/>
  <c r="E41" i="5"/>
  <c r="D41" i="5"/>
  <c r="M36" i="5"/>
  <c r="L36" i="5"/>
  <c r="K36" i="5"/>
  <c r="J36" i="5"/>
  <c r="I36" i="5"/>
  <c r="H36" i="5"/>
  <c r="G36" i="5"/>
  <c r="F36" i="5"/>
  <c r="E36" i="5"/>
  <c r="D36" i="5"/>
  <c r="H24" i="5"/>
  <c r="G24" i="5"/>
  <c r="F24" i="5"/>
  <c r="E24" i="5"/>
  <c r="D24" i="5"/>
  <c r="H32" i="4"/>
  <c r="H33" i="4" s="1"/>
  <c r="G32" i="4"/>
  <c r="G33" i="4" s="1"/>
  <c r="F32" i="4"/>
  <c r="F33" i="4" s="1"/>
  <c r="E32" i="4"/>
  <c r="E33" i="4" s="1"/>
  <c r="D32" i="4"/>
  <c r="H28" i="4"/>
  <c r="G28" i="4"/>
  <c r="F28" i="4"/>
  <c r="E28" i="4"/>
  <c r="M27" i="4"/>
  <c r="L27" i="4"/>
  <c r="K27" i="4"/>
  <c r="J27" i="4"/>
  <c r="I27" i="4"/>
  <c r="H27" i="4"/>
  <c r="G27" i="4"/>
  <c r="F27" i="4"/>
  <c r="E27" i="4"/>
  <c r="H22" i="4"/>
  <c r="G22" i="4"/>
  <c r="F22" i="4"/>
  <c r="E22" i="4"/>
  <c r="M16" i="4"/>
  <c r="L16" i="4"/>
  <c r="K16" i="4"/>
  <c r="J16" i="4"/>
  <c r="I16" i="4"/>
  <c r="M15" i="4"/>
  <c r="L15" i="4"/>
  <c r="K15" i="4"/>
  <c r="J15" i="4"/>
  <c r="I15" i="4"/>
  <c r="H12" i="4"/>
  <c r="H11" i="4"/>
  <c r="G11" i="4"/>
  <c r="F11" i="4"/>
  <c r="E11" i="4"/>
  <c r="M10" i="4"/>
  <c r="M24" i="3" s="1"/>
  <c r="L10" i="4"/>
  <c r="L24" i="3" s="1"/>
  <c r="K10" i="4"/>
  <c r="K24" i="3" s="1"/>
  <c r="J10" i="4"/>
  <c r="J24" i="3" s="1"/>
  <c r="I10" i="4"/>
  <c r="D67" i="3"/>
  <c r="M36" i="3"/>
  <c r="L36" i="3"/>
  <c r="K36" i="3"/>
  <c r="J36" i="3"/>
  <c r="I36" i="3"/>
  <c r="H36" i="3"/>
  <c r="G36" i="3"/>
  <c r="F36" i="3"/>
  <c r="E36" i="3"/>
  <c r="D36" i="3"/>
  <c r="M30" i="3"/>
  <c r="L30" i="3"/>
  <c r="K30" i="3"/>
  <c r="J30" i="3"/>
  <c r="I30" i="3"/>
  <c r="H30" i="3"/>
  <c r="G30" i="3"/>
  <c r="F30" i="3"/>
  <c r="E30" i="3"/>
  <c r="D30" i="3"/>
  <c r="H26" i="3"/>
  <c r="G26" i="3"/>
  <c r="F26" i="3"/>
  <c r="E26" i="3"/>
  <c r="D26" i="3"/>
  <c r="M25" i="3"/>
  <c r="L25" i="3"/>
  <c r="K25" i="3"/>
  <c r="J25" i="3"/>
  <c r="I25" i="3"/>
  <c r="H25" i="3"/>
  <c r="G25" i="3"/>
  <c r="F25" i="3"/>
  <c r="E25" i="3"/>
  <c r="D25" i="3"/>
  <c r="H24" i="3"/>
  <c r="G24" i="3"/>
  <c r="F24" i="3"/>
  <c r="E24" i="3"/>
  <c r="H22" i="3"/>
  <c r="G22" i="3"/>
  <c r="F22" i="3"/>
  <c r="E22" i="3"/>
  <c r="D22" i="3"/>
  <c r="D51" i="8"/>
  <c r="D37" i="8"/>
  <c r="D18" i="8"/>
  <c r="D19" i="8" s="1"/>
  <c r="D16" i="8"/>
  <c r="D15" i="8"/>
  <c r="D17" i="8" s="1"/>
  <c r="D12" i="8"/>
  <c r="D11" i="8"/>
  <c r="I87" i="13" l="1"/>
  <c r="H87" i="13"/>
  <c r="J87" i="13"/>
  <c r="C22" i="16"/>
  <c r="D20" i="8"/>
  <c r="H15" i="13"/>
  <c r="I15" i="13"/>
  <c r="J15" i="13"/>
  <c r="J51" i="13"/>
  <c r="I51" i="13"/>
  <c r="G15" i="13"/>
  <c r="D30" i="8"/>
  <c r="C23" i="16"/>
  <c r="I32" i="7"/>
  <c r="H45" i="6"/>
  <c r="D55" i="10"/>
  <c r="C28" i="16"/>
  <c r="I24" i="3"/>
  <c r="I11" i="4"/>
  <c r="I23" i="4" s="1"/>
  <c r="E35" i="12"/>
  <c r="G51" i="13"/>
  <c r="F87" i="13"/>
  <c r="F88" i="13" s="1"/>
  <c r="H51" i="13"/>
  <c r="F51" i="13"/>
  <c r="F52" i="13" s="1"/>
  <c r="F94" i="13"/>
  <c r="G81" i="13"/>
  <c r="F82" i="13"/>
  <c r="F89" i="13"/>
  <c r="F92" i="13" s="1"/>
  <c r="F53" i="13"/>
  <c r="F56" i="13" s="1"/>
  <c r="F46" i="13"/>
  <c r="G45" i="13"/>
  <c r="F58" i="13"/>
  <c r="F57" i="13"/>
  <c r="G9" i="13"/>
  <c r="G10" i="13" s="1"/>
  <c r="F17" i="13"/>
  <c r="F20" i="13" s="1"/>
  <c r="F21" i="13"/>
  <c r="F22" i="13"/>
  <c r="F62" i="13"/>
  <c r="G62" i="13"/>
  <c r="H62" i="13"/>
  <c r="J62" i="13"/>
  <c r="F98" i="13"/>
  <c r="G98" i="13"/>
  <c r="H98" i="13"/>
  <c r="I98" i="13"/>
  <c r="J98" i="13"/>
  <c r="J26" i="13"/>
  <c r="I26" i="13"/>
  <c r="H26" i="13"/>
  <c r="G26" i="13"/>
  <c r="F26" i="13"/>
  <c r="I62" i="13"/>
  <c r="D35" i="12"/>
  <c r="F15" i="13"/>
  <c r="F16" i="13" s="1"/>
  <c r="D58" i="10"/>
  <c r="I43" i="3"/>
  <c r="J43" i="3"/>
  <c r="L43" i="3"/>
  <c r="M43" i="3"/>
  <c r="K43" i="3"/>
  <c r="H40" i="7"/>
  <c r="H42" i="7"/>
  <c r="G42" i="7"/>
  <c r="G40" i="7"/>
  <c r="F40" i="7"/>
  <c r="F42" i="7"/>
  <c r="E40" i="7"/>
  <c r="E42" i="7"/>
  <c r="D40" i="7"/>
  <c r="D42" i="7"/>
  <c r="H29" i="4"/>
  <c r="H30" i="4" s="1"/>
  <c r="G29" i="4"/>
  <c r="G30" i="4" s="1"/>
  <c r="F29" i="4"/>
  <c r="F30" i="4" s="1"/>
  <c r="E29" i="4"/>
  <c r="E30" i="4" s="1"/>
  <c r="M28" i="4"/>
  <c r="M29" i="4" s="1"/>
  <c r="M30" i="4" s="1"/>
  <c r="M17" i="4"/>
  <c r="L17" i="4"/>
  <c r="L28" i="4"/>
  <c r="L29" i="4" s="1"/>
  <c r="L30" i="4" s="1"/>
  <c r="K17" i="4"/>
  <c r="K28" i="4"/>
  <c r="K29" i="4" s="1"/>
  <c r="K30" i="4" s="1"/>
  <c r="J17" i="4"/>
  <c r="J28" i="4"/>
  <c r="J29" i="4" s="1"/>
  <c r="J30" i="4" s="1"/>
  <c r="I17" i="4"/>
  <c r="I28" i="4"/>
  <c r="I29" i="4" s="1"/>
  <c r="I30" i="4" s="1"/>
  <c r="H16" i="4"/>
  <c r="H23" i="4"/>
  <c r="H17" i="4"/>
  <c r="G23" i="4"/>
  <c r="G16" i="4"/>
  <c r="G12" i="4"/>
  <c r="G17" i="4"/>
  <c r="F23" i="4"/>
  <c r="F12" i="4"/>
  <c r="F17" i="4"/>
  <c r="F16" i="4"/>
  <c r="E17" i="4"/>
  <c r="E23" i="4"/>
  <c r="E16" i="4"/>
  <c r="E12" i="4"/>
  <c r="H9" i="5"/>
  <c r="H39" i="7" s="1"/>
  <c r="H23" i="3"/>
  <c r="H31" i="3"/>
  <c r="H32" i="3"/>
  <c r="G31" i="3"/>
  <c r="G9" i="5"/>
  <c r="G39" i="7" s="1"/>
  <c r="G32" i="3"/>
  <c r="G23" i="3"/>
  <c r="F32" i="3"/>
  <c r="F9" i="5"/>
  <c r="F39" i="7" s="1"/>
  <c r="F23" i="3"/>
  <c r="F31" i="3"/>
  <c r="E9" i="5"/>
  <c r="E39" i="7" s="1"/>
  <c r="E31" i="3"/>
  <c r="E32" i="3"/>
  <c r="E23" i="3"/>
  <c r="D9" i="5"/>
  <c r="D39" i="7" s="1"/>
  <c r="D32" i="3"/>
  <c r="D31" i="3"/>
  <c r="I21" i="4" l="1"/>
  <c r="I18" i="4" s="1"/>
  <c r="H81" i="13"/>
  <c r="G82" i="13"/>
  <c r="G88" i="13"/>
  <c r="G89" i="13"/>
  <c r="G92" i="13" s="1"/>
  <c r="G93" i="13"/>
  <c r="G94" i="13"/>
  <c r="F90" i="13"/>
  <c r="F91" i="13"/>
  <c r="F95" i="13" s="1"/>
  <c r="F99" i="13" s="1"/>
  <c r="F54" i="13"/>
  <c r="F55" i="13"/>
  <c r="F59" i="13" s="1"/>
  <c r="F63" i="13" s="1"/>
  <c r="F19" i="13"/>
  <c r="F23" i="13" s="1"/>
  <c r="F27" i="13" s="1"/>
  <c r="F18" i="13"/>
  <c r="G16" i="13"/>
  <c r="G17" i="13"/>
  <c r="G20" i="13" s="1"/>
  <c r="G22" i="13"/>
  <c r="H9" i="13"/>
  <c r="H10" i="13" s="1"/>
  <c r="G21" i="13"/>
  <c r="G58" i="13"/>
  <c r="G57" i="13"/>
  <c r="G46" i="13"/>
  <c r="G52" i="13"/>
  <c r="G53" i="13"/>
  <c r="G56" i="13" s="1"/>
  <c r="H45" i="13"/>
  <c r="I25" i="8"/>
  <c r="J25" i="8"/>
  <c r="M25" i="8"/>
  <c r="L25" i="8"/>
  <c r="K25" i="8"/>
  <c r="I24" i="4"/>
  <c r="H18" i="4"/>
  <c r="H24" i="4"/>
  <c r="G18" i="4"/>
  <c r="G24" i="4"/>
  <c r="F18" i="4"/>
  <c r="F24" i="4"/>
  <c r="E18" i="4"/>
  <c r="E24" i="4"/>
  <c r="H25" i="5"/>
  <c r="H48" i="3"/>
  <c r="H50" i="3"/>
  <c r="H50" i="5"/>
  <c r="H51" i="3"/>
  <c r="H49" i="3"/>
  <c r="H52" i="3"/>
  <c r="H10" i="5"/>
  <c r="H14" i="5"/>
  <c r="H19" i="5"/>
  <c r="H40" i="3" s="1"/>
  <c r="H21" i="5"/>
  <c r="H41" i="3" s="1"/>
  <c r="H23" i="5"/>
  <c r="H42" i="3" s="1"/>
  <c r="G25" i="5"/>
  <c r="G50" i="5"/>
  <c r="G51" i="3"/>
  <c r="G50" i="3"/>
  <c r="G10" i="5"/>
  <c r="G14" i="5"/>
  <c r="G19" i="5"/>
  <c r="G40" i="3" s="1"/>
  <c r="G21" i="5"/>
  <c r="G41" i="3" s="1"/>
  <c r="G23" i="5"/>
  <c r="G42" i="3" s="1"/>
  <c r="G48" i="3"/>
  <c r="G49" i="3"/>
  <c r="G52" i="3"/>
  <c r="F10" i="5"/>
  <c r="F14" i="5"/>
  <c r="F19" i="5"/>
  <c r="F40" i="3" s="1"/>
  <c r="F21" i="5"/>
  <c r="F41" i="3" s="1"/>
  <c r="F23" i="5"/>
  <c r="F42" i="3" s="1"/>
  <c r="F25" i="5"/>
  <c r="F51" i="3"/>
  <c r="F50" i="5"/>
  <c r="F48" i="3"/>
  <c r="F49" i="3"/>
  <c r="F50" i="3"/>
  <c r="F52" i="3"/>
  <c r="E25" i="5"/>
  <c r="E48" i="3"/>
  <c r="E50" i="3"/>
  <c r="E50" i="5"/>
  <c r="E51" i="3"/>
  <c r="E49" i="3"/>
  <c r="E52" i="3"/>
  <c r="E10" i="5"/>
  <c r="E14" i="5"/>
  <c r="E19" i="5"/>
  <c r="E40" i="3" s="1"/>
  <c r="E21" i="5"/>
  <c r="E41" i="3" s="1"/>
  <c r="E23" i="5"/>
  <c r="E42" i="3" s="1"/>
  <c r="D25" i="5"/>
  <c r="D50" i="5"/>
  <c r="D50" i="3"/>
  <c r="D51" i="3"/>
  <c r="D14" i="5"/>
  <c r="D19" i="5"/>
  <c r="D40" i="3" s="1"/>
  <c r="D21" i="5"/>
  <c r="D41" i="3" s="1"/>
  <c r="D23" i="5"/>
  <c r="D42" i="3" s="1"/>
  <c r="D52" i="3"/>
  <c r="H43" i="7"/>
  <c r="G43" i="7"/>
  <c r="F43" i="7"/>
  <c r="E43" i="7"/>
  <c r="D43" i="7"/>
  <c r="G55" i="13" l="1"/>
  <c r="G54" i="13"/>
  <c r="I12" i="4"/>
  <c r="J24" i="4"/>
  <c r="I22" i="3"/>
  <c r="I22" i="4"/>
  <c r="J9" i="4"/>
  <c r="J11" i="4" s="1"/>
  <c r="I32" i="4"/>
  <c r="G59" i="13"/>
  <c r="G63" i="13" s="1"/>
  <c r="H52" i="13"/>
  <c r="H53" i="13"/>
  <c r="H56" i="13" s="1"/>
  <c r="I81" i="13"/>
  <c r="H82" i="13"/>
  <c r="H88" i="13"/>
  <c r="H89" i="13"/>
  <c r="H92" i="13" s="1"/>
  <c r="H93" i="13"/>
  <c r="H94" i="13"/>
  <c r="G90" i="13"/>
  <c r="G91" i="13"/>
  <c r="G95" i="13" s="1"/>
  <c r="G99" i="13" s="1"/>
  <c r="G18" i="13"/>
  <c r="G19" i="13"/>
  <c r="G23" i="13" s="1"/>
  <c r="G27" i="13" s="1"/>
  <c r="I9" i="13"/>
  <c r="I10" i="13" s="1"/>
  <c r="H16" i="13"/>
  <c r="H21" i="13"/>
  <c r="H17" i="13"/>
  <c r="H20" i="13" s="1"/>
  <c r="H22" i="13"/>
  <c r="H46" i="13"/>
  <c r="I45" i="13"/>
  <c r="H57" i="13"/>
  <c r="H58" i="13"/>
  <c r="H15" i="5"/>
  <c r="H39" i="3" s="1"/>
  <c r="H43" i="3" s="1"/>
  <c r="H28" i="5"/>
  <c r="G15" i="5"/>
  <c r="G39" i="3" s="1"/>
  <c r="G43" i="3" s="1"/>
  <c r="G28" i="5"/>
  <c r="F15" i="5"/>
  <c r="F39" i="3" s="1"/>
  <c r="F43" i="3" s="1"/>
  <c r="F28" i="5"/>
  <c r="E15" i="5"/>
  <c r="E39" i="3" s="1"/>
  <c r="E43" i="3" s="1"/>
  <c r="E28" i="5"/>
  <c r="D15" i="5"/>
  <c r="D39" i="3" s="1"/>
  <c r="D43" i="3" s="1"/>
  <c r="D28" i="5"/>
  <c r="I23" i="3" l="1"/>
  <c r="I32" i="3"/>
  <c r="I9" i="5"/>
  <c r="I31" i="3"/>
  <c r="J21" i="4"/>
  <c r="J23" i="4"/>
  <c r="I33" i="4"/>
  <c r="I26" i="3"/>
  <c r="H54" i="13"/>
  <c r="H55" i="13"/>
  <c r="I58" i="13"/>
  <c r="I57" i="13"/>
  <c r="I52" i="13"/>
  <c r="I55" i="13" s="1"/>
  <c r="H59" i="13"/>
  <c r="H63" i="13" s="1"/>
  <c r="J81" i="13"/>
  <c r="I82" i="13"/>
  <c r="I88" i="13"/>
  <c r="I89" i="13"/>
  <c r="I92" i="13" s="1"/>
  <c r="I93" i="13"/>
  <c r="I94" i="13"/>
  <c r="H90" i="13"/>
  <c r="H91" i="13"/>
  <c r="H95" i="13" s="1"/>
  <c r="H99" i="13" s="1"/>
  <c r="J9" i="13"/>
  <c r="I16" i="13"/>
  <c r="I21" i="13"/>
  <c r="I17" i="13"/>
  <c r="I20" i="13" s="1"/>
  <c r="I22" i="13"/>
  <c r="H18" i="13"/>
  <c r="H19" i="13"/>
  <c r="H23" i="13" s="1"/>
  <c r="H27" i="13" s="1"/>
  <c r="I53" i="13"/>
  <c r="J45" i="13"/>
  <c r="I46" i="13"/>
  <c r="I14" i="7"/>
  <c r="I24" i="6" s="1"/>
  <c r="I30" i="6"/>
  <c r="I25" i="6"/>
  <c r="I10" i="5"/>
  <c r="I13" i="5"/>
  <c r="I14" i="5" s="1"/>
  <c r="I18" i="5"/>
  <c r="I20" i="5"/>
  <c r="I21" i="5" s="1"/>
  <c r="H29" i="5"/>
  <c r="H45" i="3" s="1"/>
  <c r="H34" i="5"/>
  <c r="H47" i="5"/>
  <c r="G29" i="5"/>
  <c r="G45" i="3" s="1"/>
  <c r="G34" i="5"/>
  <c r="G47" i="5"/>
  <c r="G48" i="5" s="1"/>
  <c r="F29" i="5"/>
  <c r="F45" i="3" s="1"/>
  <c r="F34" i="5"/>
  <c r="F47" i="5"/>
  <c r="F48" i="5" s="1"/>
  <c r="E29" i="5"/>
  <c r="E45" i="3" s="1"/>
  <c r="E34" i="5"/>
  <c r="E47" i="5"/>
  <c r="E48" i="5" s="1"/>
  <c r="D29" i="5"/>
  <c r="D45" i="3" s="1"/>
  <c r="D34" i="5"/>
  <c r="D47" i="5"/>
  <c r="D48" i="5" s="1"/>
  <c r="I22" i="5" l="1"/>
  <c r="I23" i="5" s="1"/>
  <c r="I46" i="5"/>
  <c r="I10" i="7" s="1"/>
  <c r="I49" i="5"/>
  <c r="I37" i="6" s="1"/>
  <c r="I11" i="6"/>
  <c r="I12" i="7" s="1"/>
  <c r="I18" i="7"/>
  <c r="I16" i="6"/>
  <c r="J12" i="4"/>
  <c r="J18" i="4"/>
  <c r="K24" i="4"/>
  <c r="J32" i="4"/>
  <c r="J22" i="3"/>
  <c r="J22" i="4"/>
  <c r="K9" i="4"/>
  <c r="K11" i="4" s="1"/>
  <c r="I56" i="13"/>
  <c r="I59" i="13" s="1"/>
  <c r="I63" i="13" s="1"/>
  <c r="I54" i="13"/>
  <c r="D33" i="12"/>
  <c r="D34" i="12" s="1"/>
  <c r="J52" i="13"/>
  <c r="J57" i="13"/>
  <c r="J46" i="13"/>
  <c r="J58" i="13"/>
  <c r="J53" i="13"/>
  <c r="J56" i="13" s="1"/>
  <c r="J82" i="13"/>
  <c r="J88" i="13"/>
  <c r="J89" i="13"/>
  <c r="J92" i="13" s="1"/>
  <c r="J93" i="13"/>
  <c r="J94" i="13"/>
  <c r="E33" i="12"/>
  <c r="E34" i="12" s="1"/>
  <c r="I90" i="13"/>
  <c r="I91" i="13"/>
  <c r="I95" i="13" s="1"/>
  <c r="I99" i="13" s="1"/>
  <c r="J10" i="13"/>
  <c r="J21" i="13"/>
  <c r="J17" i="13"/>
  <c r="J20" i="13" s="1"/>
  <c r="J16" i="13"/>
  <c r="J22" i="13"/>
  <c r="C33" i="12"/>
  <c r="C34" i="12" s="1"/>
  <c r="I18" i="13"/>
  <c r="I19" i="13"/>
  <c r="I23" i="13" s="1"/>
  <c r="I27" i="13" s="1"/>
  <c r="H48" i="5"/>
  <c r="D56" i="10"/>
  <c r="I15" i="5"/>
  <c r="I19" i="5"/>
  <c r="I24" i="5"/>
  <c r="I50" i="5"/>
  <c r="I11" i="7"/>
  <c r="I27" i="6"/>
  <c r="I34" i="6" s="1"/>
  <c r="I13" i="7"/>
  <c r="I37" i="7"/>
  <c r="H35" i="5"/>
  <c r="H37" i="5" s="1"/>
  <c r="G35" i="5"/>
  <c r="G37" i="5" s="1"/>
  <c r="F35" i="5"/>
  <c r="F37" i="5" s="1"/>
  <c r="E35" i="5"/>
  <c r="E37" i="5"/>
  <c r="E42" i="5" s="1"/>
  <c r="D35" i="5"/>
  <c r="D37" i="5" s="1"/>
  <c r="K23" i="4" l="1"/>
  <c r="K21" i="4"/>
  <c r="K12" i="4" s="1"/>
  <c r="J33" i="4"/>
  <c r="J26" i="3"/>
  <c r="J31" i="3"/>
  <c r="J23" i="3"/>
  <c r="J32" i="3"/>
  <c r="J9" i="5"/>
  <c r="J18" i="7" s="1"/>
  <c r="J54" i="13"/>
  <c r="J55" i="13"/>
  <c r="J59" i="13" s="1"/>
  <c r="J90" i="13"/>
  <c r="J91" i="13"/>
  <c r="J95" i="13" s="1"/>
  <c r="J18" i="13"/>
  <c r="J19" i="13"/>
  <c r="J23" i="13" s="1"/>
  <c r="J14" i="7"/>
  <c r="J24" i="6" s="1"/>
  <c r="J30" i="6"/>
  <c r="J25" i="6"/>
  <c r="J10" i="5"/>
  <c r="J13" i="5"/>
  <c r="J14" i="5" s="1"/>
  <c r="J18" i="5"/>
  <c r="J20" i="5"/>
  <c r="J21" i="5" s="1"/>
  <c r="J22" i="5"/>
  <c r="J23" i="5" s="1"/>
  <c r="J46" i="5"/>
  <c r="J49" i="5"/>
  <c r="J37" i="6" s="1"/>
  <c r="J11" i="6"/>
  <c r="J12" i="7" s="1"/>
  <c r="K18" i="4"/>
  <c r="L24" i="4"/>
  <c r="L9" i="4"/>
  <c r="L11" i="4" s="1"/>
  <c r="K22" i="4"/>
  <c r="K32" i="4"/>
  <c r="K22" i="3"/>
  <c r="H38" i="5"/>
  <c r="H42" i="5"/>
  <c r="D57" i="10" s="1"/>
  <c r="H9" i="7"/>
  <c r="H14" i="7" s="1"/>
  <c r="G38" i="5"/>
  <c r="G42" i="5"/>
  <c r="G9" i="7"/>
  <c r="G14" i="7" s="1"/>
  <c r="F38" i="5"/>
  <c r="F42" i="5"/>
  <c r="F9" i="7"/>
  <c r="F14" i="7" s="1"/>
  <c r="E38" i="5"/>
  <c r="E9" i="7"/>
  <c r="E14" i="7" s="1"/>
  <c r="D38" i="5"/>
  <c r="D42" i="5"/>
  <c r="D9" i="7"/>
  <c r="D14" i="7" s="1"/>
  <c r="I25" i="5"/>
  <c r="I28" i="5"/>
  <c r="D68" i="13" l="1"/>
  <c r="D69" i="13" s="1"/>
  <c r="D36" i="12"/>
  <c r="D37" i="12"/>
  <c r="D66" i="13"/>
  <c r="D67" i="13" s="1"/>
  <c r="J63" i="13"/>
  <c r="D65" i="13" s="1"/>
  <c r="D71" i="13" s="1"/>
  <c r="D74" i="13" s="1"/>
  <c r="D76" i="13" s="1"/>
  <c r="D18" i="12" s="1"/>
  <c r="D104" i="13"/>
  <c r="D105" i="13" s="1"/>
  <c r="E36" i="12"/>
  <c r="J99" i="13"/>
  <c r="D101" i="13" s="1"/>
  <c r="D102" i="13"/>
  <c r="D103" i="13" s="1"/>
  <c r="E37" i="12"/>
  <c r="C36" i="12"/>
  <c r="D32" i="13"/>
  <c r="D33" i="13" s="1"/>
  <c r="J27" i="13"/>
  <c r="D29" i="13" s="1"/>
  <c r="D30" i="13"/>
  <c r="D31" i="13" s="1"/>
  <c r="C37" i="12"/>
  <c r="J10" i="7"/>
  <c r="J16" i="6"/>
  <c r="H43" i="5"/>
  <c r="F43" i="5"/>
  <c r="E43" i="5"/>
  <c r="J15" i="5"/>
  <c r="J19" i="5"/>
  <c r="J24" i="5"/>
  <c r="J50" i="5"/>
  <c r="J11" i="7"/>
  <c r="J27" i="6"/>
  <c r="J34" i="6" s="1"/>
  <c r="J13" i="7"/>
  <c r="J37" i="7"/>
  <c r="L23" i="4"/>
  <c r="L21" i="4"/>
  <c r="L12" i="4" s="1"/>
  <c r="K26" i="3"/>
  <c r="K33" i="4"/>
  <c r="K9" i="5"/>
  <c r="K23" i="3"/>
  <c r="K31" i="3"/>
  <c r="K32" i="3"/>
  <c r="I47" i="5"/>
  <c r="I48" i="5" s="1"/>
  <c r="I34" i="5"/>
  <c r="I29" i="5"/>
  <c r="I45" i="3" s="1"/>
  <c r="G43" i="5"/>
  <c r="D70" i="13" l="1"/>
  <c r="D73" i="13" s="1"/>
  <c r="D75" i="13" s="1"/>
  <c r="D17" i="12" s="1"/>
  <c r="D19" i="12" s="1"/>
  <c r="D20" i="12" s="1"/>
  <c r="D107" i="13"/>
  <c r="D110" i="13" s="1"/>
  <c r="D112" i="13" s="1"/>
  <c r="E18" i="12" s="1"/>
  <c r="D106" i="13"/>
  <c r="D109" i="13" s="1"/>
  <c r="D111" i="13" s="1"/>
  <c r="E17" i="12" s="1"/>
  <c r="D35" i="13"/>
  <c r="D38" i="13" s="1"/>
  <c r="D40" i="13" s="1"/>
  <c r="C18" i="12" s="1"/>
  <c r="D34" i="13"/>
  <c r="D37" i="13" s="1"/>
  <c r="D39" i="13" s="1"/>
  <c r="C17" i="12" s="1"/>
  <c r="K14" i="7"/>
  <c r="K24" i="6" s="1"/>
  <c r="K30" i="6"/>
  <c r="K25" i="6"/>
  <c r="J25" i="5"/>
  <c r="J28" i="5"/>
  <c r="M24" i="4"/>
  <c r="L18" i="4"/>
  <c r="L32" i="4"/>
  <c r="L22" i="4"/>
  <c r="L22" i="3"/>
  <c r="M9" i="4"/>
  <c r="M11" i="4" s="1"/>
  <c r="K10" i="5"/>
  <c r="K13" i="5"/>
  <c r="K14" i="5" s="1"/>
  <c r="K18" i="5"/>
  <c r="K20" i="5"/>
  <c r="K21" i="5" s="1"/>
  <c r="K22" i="5"/>
  <c r="K23" i="5" s="1"/>
  <c r="K46" i="5"/>
  <c r="K49" i="5"/>
  <c r="K11" i="6"/>
  <c r="K12" i="7" s="1"/>
  <c r="K18" i="7"/>
  <c r="I35" i="5"/>
  <c r="I37" i="5" s="1"/>
  <c r="E19" i="12" l="1"/>
  <c r="E20" i="12" s="1"/>
  <c r="C19" i="12"/>
  <c r="B40" i="12" s="1"/>
  <c r="J29" i="5"/>
  <c r="J45" i="3" s="1"/>
  <c r="J34" i="5"/>
  <c r="J35" i="5" s="1"/>
  <c r="J37" i="5" s="1"/>
  <c r="J47" i="5"/>
  <c r="J48" i="5" s="1"/>
  <c r="K10" i="7"/>
  <c r="K16" i="6"/>
  <c r="L33" i="4"/>
  <c r="L26" i="3"/>
  <c r="L31" i="3"/>
  <c r="L32" i="3"/>
  <c r="L23" i="3"/>
  <c r="L9" i="5"/>
  <c r="M21" i="4"/>
  <c r="M12" i="4" s="1"/>
  <c r="M23" i="4"/>
  <c r="K15" i="5"/>
  <c r="K19" i="5"/>
  <c r="K24" i="5"/>
  <c r="K37" i="6"/>
  <c r="K50" i="5"/>
  <c r="K11" i="7"/>
  <c r="K27" i="6"/>
  <c r="K34" i="6" s="1"/>
  <c r="K13" i="7"/>
  <c r="K37" i="7"/>
  <c r="I38" i="5"/>
  <c r="I42" i="5"/>
  <c r="I43" i="5" s="1"/>
  <c r="I38" i="6"/>
  <c r="I9" i="7"/>
  <c r="I15" i="7" s="1"/>
  <c r="I20" i="7" s="1"/>
  <c r="C20" i="12" l="1"/>
  <c r="L14" i="7"/>
  <c r="L24" i="6" s="1"/>
  <c r="L30" i="6"/>
  <c r="L25" i="6"/>
  <c r="J38" i="5"/>
  <c r="J42" i="5"/>
  <c r="J43" i="5" s="1"/>
  <c r="J9" i="7"/>
  <c r="J15" i="7" s="1"/>
  <c r="J20" i="7" s="1"/>
  <c r="L46" i="5"/>
  <c r="L49" i="5"/>
  <c r="L37" i="6" s="1"/>
  <c r="L11" i="6"/>
  <c r="L12" i="7" s="1"/>
  <c r="L18" i="7"/>
  <c r="L10" i="5"/>
  <c r="L13" i="5"/>
  <c r="L14" i="5" s="1"/>
  <c r="L18" i="5"/>
  <c r="L20" i="5"/>
  <c r="L21" i="5" s="1"/>
  <c r="L22" i="5"/>
  <c r="L23" i="5" s="1"/>
  <c r="M18" i="4"/>
  <c r="M32" i="4"/>
  <c r="M22" i="4"/>
  <c r="M22" i="3"/>
  <c r="I40" i="6"/>
  <c r="I42" i="6" s="1"/>
  <c r="J38" i="6"/>
  <c r="I36" i="7"/>
  <c r="I38" i="7" s="1"/>
  <c r="K25" i="5"/>
  <c r="K28" i="5"/>
  <c r="L10" i="7" l="1"/>
  <c r="L16" i="6"/>
  <c r="J21" i="7"/>
  <c r="J31" i="7" s="1"/>
  <c r="J36" i="7"/>
  <c r="J38" i="7" s="1"/>
  <c r="L50" i="5"/>
  <c r="L11" i="7"/>
  <c r="L27" i="6"/>
  <c r="L34" i="6" s="1"/>
  <c r="L13" i="7"/>
  <c r="L37" i="7"/>
  <c r="L15" i="5"/>
  <c r="L19" i="5"/>
  <c r="L24" i="5"/>
  <c r="M33" i="4"/>
  <c r="M26" i="3"/>
  <c r="M23" i="3"/>
  <c r="M9" i="5"/>
  <c r="M31" i="3"/>
  <c r="M32" i="3"/>
  <c r="J40" i="6"/>
  <c r="J42" i="6" s="1"/>
  <c r="I21" i="7"/>
  <c r="I31" i="7" s="1"/>
  <c r="I9" i="6" s="1"/>
  <c r="I13" i="6" s="1"/>
  <c r="I19" i="6"/>
  <c r="I39" i="7"/>
  <c r="I40" i="7"/>
  <c r="I42" i="7"/>
  <c r="K47" i="5"/>
  <c r="K48" i="5" s="1"/>
  <c r="K34" i="5"/>
  <c r="K29" i="5"/>
  <c r="K45" i="3" s="1"/>
  <c r="M14" i="7" l="1"/>
  <c r="M24" i="6" s="1"/>
  <c r="M30" i="6"/>
  <c r="M25" i="6"/>
  <c r="M20" i="5"/>
  <c r="M21" i="5" s="1"/>
  <c r="J19" i="6"/>
  <c r="J39" i="7"/>
  <c r="J40" i="7"/>
  <c r="J42" i="7"/>
  <c r="M10" i="5"/>
  <c r="M13" i="5"/>
  <c r="M14" i="5" s="1"/>
  <c r="M18" i="5"/>
  <c r="M22" i="5"/>
  <c r="M23" i="5" s="1"/>
  <c r="M46" i="5"/>
  <c r="M49" i="5"/>
  <c r="M11" i="6"/>
  <c r="M12" i="7" s="1"/>
  <c r="M18" i="7"/>
  <c r="I23" i="8"/>
  <c r="I26" i="8" s="1"/>
  <c r="I43" i="7"/>
  <c r="K35" i="5"/>
  <c r="K37" i="5" s="1"/>
  <c r="L25" i="5"/>
  <c r="L28" i="5"/>
  <c r="I33" i="7"/>
  <c r="J32" i="7" l="1"/>
  <c r="J33" i="7" s="1"/>
  <c r="K32" i="7" s="1"/>
  <c r="I45" i="6"/>
  <c r="M10" i="7"/>
  <c r="M16" i="6"/>
  <c r="J43" i="7"/>
  <c r="J23" i="8"/>
  <c r="J26" i="8" s="1"/>
  <c r="M15" i="5"/>
  <c r="M19" i="5"/>
  <c r="M24" i="5"/>
  <c r="M37" i="6"/>
  <c r="M50" i="5"/>
  <c r="M11" i="7"/>
  <c r="M27" i="6"/>
  <c r="M34" i="6" s="1"/>
  <c r="M13" i="7"/>
  <c r="M37" i="7"/>
  <c r="K38" i="6"/>
  <c r="K38" i="5"/>
  <c r="K42" i="5"/>
  <c r="K43" i="5" s="1"/>
  <c r="K9" i="7"/>
  <c r="K15" i="7" s="1"/>
  <c r="K20" i="7" s="1"/>
  <c r="L47" i="5"/>
  <c r="L48" i="5" s="1"/>
  <c r="L34" i="5"/>
  <c r="L29" i="5"/>
  <c r="L45" i="3" s="1"/>
  <c r="I20" i="6"/>
  <c r="I44" i="6" s="1"/>
  <c r="J9" i="6"/>
  <c r="J45" i="6" l="1"/>
  <c r="J13" i="6"/>
  <c r="J20" i="6" s="1"/>
  <c r="J44" i="6" s="1"/>
  <c r="M25" i="5"/>
  <c r="M28" i="5"/>
  <c r="M29" i="5" s="1"/>
  <c r="K40" i="6"/>
  <c r="K42" i="6" s="1"/>
  <c r="K36" i="7"/>
  <c r="K38" i="7" s="1"/>
  <c r="L35" i="5"/>
  <c r="L37" i="5" s="1"/>
  <c r="L38" i="6" s="1"/>
  <c r="M45" i="3" l="1"/>
  <c r="C26" i="16"/>
  <c r="M34" i="5"/>
  <c r="M35" i="5" s="1"/>
  <c r="M37" i="5" s="1"/>
  <c r="M38" i="6" s="1"/>
  <c r="M40" i="6" s="1"/>
  <c r="M42" i="6" s="1"/>
  <c r="M47" i="5"/>
  <c r="L40" i="6"/>
  <c r="L42" i="6" s="1"/>
  <c r="K19" i="6"/>
  <c r="K21" i="7"/>
  <c r="K31" i="7" s="1"/>
  <c r="K39" i="7"/>
  <c r="K40" i="7"/>
  <c r="K42" i="7"/>
  <c r="L38" i="5"/>
  <c r="L42" i="5"/>
  <c r="L43" i="5" s="1"/>
  <c r="L9" i="7"/>
  <c r="L15" i="7" s="1"/>
  <c r="L20" i="7" s="1"/>
  <c r="M48" i="5" l="1"/>
  <c r="D36" i="8"/>
  <c r="D38" i="8" s="1"/>
  <c r="M38" i="5"/>
  <c r="M42" i="5"/>
  <c r="M43" i="5" s="1"/>
  <c r="M9" i="7"/>
  <c r="M15" i="7" s="1"/>
  <c r="M20" i="7" s="1"/>
  <c r="K9" i="6"/>
  <c r="K13" i="6" s="1"/>
  <c r="K33" i="7"/>
  <c r="L32" i="7" s="1"/>
  <c r="K43" i="7"/>
  <c r="K23" i="8"/>
  <c r="K26" i="8" s="1"/>
  <c r="L36" i="7"/>
  <c r="L38" i="7" s="1"/>
  <c r="K45" i="6" l="1"/>
  <c r="D39" i="8"/>
  <c r="D45" i="8" s="1"/>
  <c r="M21" i="7"/>
  <c r="M31" i="7" s="1"/>
  <c r="M36" i="7"/>
  <c r="M38" i="7" s="1"/>
  <c r="K20" i="6"/>
  <c r="K44" i="6" s="1"/>
  <c r="L19" i="6"/>
  <c r="L21" i="7"/>
  <c r="L31" i="7" s="1"/>
  <c r="L39" i="7"/>
  <c r="L40" i="7"/>
  <c r="L42" i="7"/>
  <c r="M19" i="6" l="1"/>
  <c r="M40" i="7"/>
  <c r="M39" i="7"/>
  <c r="M42" i="7"/>
  <c r="L43" i="7"/>
  <c r="L23" i="8"/>
  <c r="L26" i="8" s="1"/>
  <c r="L33" i="7"/>
  <c r="M32" i="7" s="1"/>
  <c r="M33" i="7" s="1"/>
  <c r="L9" i="6"/>
  <c r="L45" i="6" l="1"/>
  <c r="L13" i="6"/>
  <c r="L20" i="6" s="1"/>
  <c r="L44" i="6" s="1"/>
  <c r="M43" i="7"/>
  <c r="M23" i="8"/>
  <c r="D31" i="8" s="1"/>
  <c r="D32" i="8" s="1"/>
  <c r="M9" i="6"/>
  <c r="M13" i="6" s="1"/>
  <c r="M20" i="6" l="1"/>
  <c r="M44" i="6" s="1"/>
  <c r="M45" i="6"/>
  <c r="M26" i="8"/>
  <c r="D42" i="8" s="1"/>
  <c r="D46" i="8" l="1"/>
  <c r="D33" i="8"/>
  <c r="D43" i="8" s="1"/>
  <c r="D44" i="8" l="1"/>
  <c r="D50" i="8"/>
  <c r="D54" i="8" s="1"/>
  <c r="C19" i="16" s="1"/>
  <c r="D60" i="8"/>
  <c r="B77" i="8" l="1"/>
  <c r="D49" i="8"/>
  <c r="D59" i="8"/>
  <c r="D57" i="8"/>
  <c r="D53" i="8" l="1"/>
  <c r="C18" i="16" s="1"/>
  <c r="B66" i="8" l="1"/>
  <c r="D5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C22" authorId="0" shapeId="0" xr:uid="{84A0ADDD-DF20-F945-A057-053900E6D094}">
      <text>
        <r>
          <rPr>
            <b/>
            <sz val="10"/>
            <color rgb="FF000000"/>
            <rFont val="Tahoma"/>
            <family val="2"/>
          </rPr>
          <t>Arijay Mehta:</t>
        </r>
        <r>
          <rPr>
            <sz val="10"/>
            <color rgb="FF000000"/>
            <rFont val="Tahoma"/>
            <family val="2"/>
          </rPr>
          <t xml:space="preserve">
</t>
        </r>
        <r>
          <rPr>
            <sz val="10"/>
            <color rgb="FF000000"/>
            <rFont val="Tahoma"/>
            <family val="2"/>
          </rPr>
          <t>WACC of 9.81% uses adjusted beta of 1.00 (cyber SaaS peer median), not raw 5-yr regression beta of 0.61. Raw beta gave 7.665% WACC which understated risk for a small-cap SaaS name. See Assumptions row 62-64 for derivation. Sensitivity table on DCF tab shows valuation across 8-12% WACC.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D62" authorId="0" shapeId="0" xr:uid="{FCD8AD4C-C88B-CB43-B009-9C0877A28C22}">
      <text>
        <r>
          <rPr>
            <b/>
            <sz val="10"/>
            <color rgb="FF000000"/>
            <rFont val="Tahoma"/>
            <family val="2"/>
          </rPr>
          <t>Arijay Mehta:</t>
        </r>
        <r>
          <rPr>
            <sz val="10"/>
            <color rgb="FF000000"/>
            <rFont val="Tahoma"/>
            <family val="2"/>
          </rPr>
          <t xml:space="preserve">
</t>
        </r>
        <r>
          <rPr>
            <sz val="10"/>
            <color rgb="FF000000"/>
            <rFont val="Tahoma"/>
            <family val="2"/>
          </rPr>
          <t>Source: 5-year weekly regression beta vs S&amp;P 500. Implausibly low for a small-cap cyber SaaS — see adjusted beta below.</t>
        </r>
      </text>
    </comment>
    <comment ref="D63" authorId="0" shapeId="0" xr:uid="{7777CE76-62B8-844F-83FF-F1EC8D93CDFB}">
      <text>
        <r>
          <rPr>
            <b/>
            <sz val="10"/>
            <color rgb="FF000000"/>
            <rFont val="Tahoma"/>
            <family val="2"/>
          </rPr>
          <t>Arijay Mehta:</t>
        </r>
        <r>
          <rPr>
            <sz val="10"/>
            <color rgb="FF000000"/>
            <rFont val="Tahoma"/>
            <family val="2"/>
          </rPr>
          <t xml:space="preserve">
</t>
        </r>
        <r>
          <rPr>
            <sz val="10"/>
            <color rgb="FF000000"/>
            <rFont val="Tahoma"/>
            <family val="2"/>
          </rPr>
          <t>Adjusted beta of 1.00 reflects peer-median for cybersecurity SaaS Direct comps (CRWD, PANW, FTNT, ZS, etc.). Raw beta of 0.61 understates risk for a small-cap growth name. Used in WACC calculation below.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I32" authorId="0" shapeId="0" xr:uid="{F079A1BA-B892-2C47-83DA-77B6A1618411}">
      <text>
        <r>
          <rPr>
            <b/>
            <sz val="10"/>
            <color rgb="FF000000"/>
            <rFont val="Tahoma"/>
            <family val="2"/>
          </rPr>
          <t>Arijay Mehta:</t>
        </r>
        <r>
          <rPr>
            <sz val="10"/>
            <color rgb="FF000000"/>
            <rFont val="Tahoma"/>
            <family val="2"/>
          </rPr>
          <t xml:space="preserve">
</t>
        </r>
        <r>
          <rPr>
            <sz val="10"/>
            <color rgb="FF000000"/>
            <rFont val="Tahoma"/>
            <family val="2"/>
          </rPr>
          <t>Interest income held flat-to-declining ($23.5M → $17.5M by 2030). Reflects expected lower-rate environment and buyback-driven cash deployment. Not formula-driven — disclosed as a standalone assumption. Immaterial to DCF output.</t>
        </r>
      </text>
    </comment>
    <comment ref="J32" authorId="0" shapeId="0" xr:uid="{21F40DEA-66FF-DF40-A3F9-B516AE482BDF}">
      <text>
        <r>
          <rPr>
            <b/>
            <sz val="10"/>
            <color rgb="FF000000"/>
            <rFont val="Tahoma"/>
            <family val="2"/>
          </rPr>
          <t>Arijay Mehta:</t>
        </r>
        <r>
          <rPr>
            <sz val="10"/>
            <color rgb="FF000000"/>
            <rFont val="Tahoma"/>
            <family val="2"/>
          </rPr>
          <t xml:space="preserve">
</t>
        </r>
        <r>
          <rPr>
            <sz val="10"/>
            <color rgb="FF000000"/>
            <rFont val="Tahoma"/>
            <family val="2"/>
          </rPr>
          <t>See I32 for basis.</t>
        </r>
      </text>
    </comment>
    <comment ref="K32" authorId="0" shapeId="0" xr:uid="{502F1958-A5E5-5044-9282-5BDAA64E33AE}">
      <text>
        <r>
          <rPr>
            <b/>
            <sz val="10"/>
            <color rgb="FF000000"/>
            <rFont val="Tahoma"/>
            <family val="2"/>
          </rPr>
          <t>Arijay Mehta:</t>
        </r>
        <r>
          <rPr>
            <sz val="10"/>
            <color rgb="FF000000"/>
            <rFont val="Tahoma"/>
            <family val="2"/>
          </rPr>
          <t xml:space="preserve">
See I32 for basis.</t>
        </r>
      </text>
    </comment>
    <comment ref="L32" authorId="0" shapeId="0" xr:uid="{58DAAA2A-DC6D-8D47-B6BE-5D1367FC45AA}">
      <text>
        <r>
          <rPr>
            <b/>
            <sz val="10"/>
            <color rgb="FF000000"/>
            <rFont val="Tahoma"/>
            <family val="2"/>
          </rPr>
          <t>Arijay Mehta:</t>
        </r>
        <r>
          <rPr>
            <sz val="10"/>
            <color rgb="FF000000"/>
            <rFont val="Tahoma"/>
            <family val="2"/>
          </rPr>
          <t xml:space="preserve">
See I32 for basis.</t>
        </r>
      </text>
    </comment>
    <comment ref="M32" authorId="0" shapeId="0" xr:uid="{161CF508-B95E-204C-B773-F97CEC495FFA}">
      <text>
        <r>
          <rPr>
            <b/>
            <sz val="10"/>
            <color rgb="FF000000"/>
            <rFont val="Tahoma"/>
            <family val="2"/>
          </rPr>
          <t>Arijay Mehta:</t>
        </r>
        <r>
          <rPr>
            <sz val="10"/>
            <color rgb="FF000000"/>
            <rFont val="Tahoma"/>
            <family val="2"/>
          </rPr>
          <t xml:space="preserve">
See I32 for basis.</t>
        </r>
      </text>
    </comment>
  </commentList>
</comments>
</file>

<file path=xl/sharedStrings.xml><?xml version="1.0" encoding="utf-8"?>
<sst xmlns="http://schemas.openxmlformats.org/spreadsheetml/2006/main" count="1137" uniqueCount="585">
  <si>
    <t>Qualys, Inc. (QLYS)</t>
  </si>
  <si>
    <t>All amounts in $ millions unless noted</t>
  </si>
  <si>
    <t>WACC CALCULATION</t>
  </si>
  <si>
    <t>Risk-Free Rate</t>
  </si>
  <si>
    <t>%</t>
  </si>
  <si>
    <t>Equity Risk Premium</t>
  </si>
  <si>
    <t>x</t>
  </si>
  <si>
    <t>Cost of Equity</t>
  </si>
  <si>
    <t>Cost of Debt (pre-tax)</t>
  </si>
  <si>
    <t>Tax Rate</t>
  </si>
  <si>
    <t>Cost of Debt (after-tax)</t>
  </si>
  <si>
    <t>Debt / Total Capital</t>
  </si>
  <si>
    <t>Equity / Total Capital</t>
  </si>
  <si>
    <t>WACC</t>
  </si>
  <si>
    <t>FCF PROJECTION</t>
  </si>
  <si>
    <t>Units</t>
  </si>
  <si>
    <t>2021A</t>
  </si>
  <si>
    <t>2022A</t>
  </si>
  <si>
    <t>2023A</t>
  </si>
  <si>
    <t>2024A</t>
  </si>
  <si>
    <t>2025A</t>
  </si>
  <si>
    <t>2026E</t>
  </si>
  <si>
    <t>2027E</t>
  </si>
  <si>
    <t>2028E</t>
  </si>
  <si>
    <t>2029E</t>
  </si>
  <si>
    <t>2030E</t>
  </si>
  <si>
    <t>Free Cash Flow (ex-SBC)</t>
  </si>
  <si>
    <t>$M</t>
  </si>
  <si>
    <t>Discount Period</t>
  </si>
  <si>
    <t>#</t>
  </si>
  <si>
    <t>Discount Factor</t>
  </si>
  <si>
    <t>Present Value of FCF</t>
  </si>
  <si>
    <t>TERMINAL VALUE</t>
  </si>
  <si>
    <t>Method 1: Perpetuity Growth</t>
  </si>
  <si>
    <t>Terminal Growth Rate</t>
  </si>
  <si>
    <t>Terminal FCF (ex-SBC)</t>
  </si>
  <si>
    <t>Terminal Value</t>
  </si>
  <si>
    <t>PV of Terminal Value</t>
  </si>
  <si>
    <t>Method 2: Exit Multiple</t>
  </si>
  <si>
    <t>Terminal EBITDA</t>
  </si>
  <si>
    <t>Exit EV/EBITDA Multiple</t>
  </si>
  <si>
    <t>VALUATION SUMMARY</t>
  </si>
  <si>
    <t>Sum of PV of FCFs</t>
  </si>
  <si>
    <t>PV of Terminal Value (Perpetuity)</t>
  </si>
  <si>
    <t>Enterprise Value (Perpetuity)</t>
  </si>
  <si>
    <t>PV of Terminal Value (Multiple)</t>
  </si>
  <si>
    <t>Enterprise Value (Multiple)</t>
  </si>
  <si>
    <t>Less: Net Debt (neg = net cash)</t>
  </si>
  <si>
    <t>Equity Value (Perpetuity)</t>
  </si>
  <si>
    <t>Equity Value (Multiple)</t>
  </si>
  <si>
    <t>Shares Outstanding</t>
  </si>
  <si>
    <t>M</t>
  </si>
  <si>
    <t>Implied Share Price (Perpetuity)</t>
  </si>
  <si>
    <t>$/sh</t>
  </si>
  <si>
    <t>Implied Share Price (Multiple)</t>
  </si>
  <si>
    <t>Current Share Price</t>
  </si>
  <si>
    <t>Upside / (Downside) — Perpetuity</t>
  </si>
  <si>
    <t>Upside / (Downside) — Multiple</t>
  </si>
  <si>
    <t>TV as % of EV (Perpetuity)</t>
  </si>
  <si>
    <t>TV as % of EV (Multiple)</t>
  </si>
  <si>
    <t>Company Overview</t>
  </si>
  <si>
    <t>Sector</t>
  </si>
  <si>
    <t>Technology: Cybersecurity</t>
  </si>
  <si>
    <t>Product</t>
  </si>
  <si>
    <t>Enterprise TruRisk Platform: 20+ integrated cloud-based IT security and compliance solutions</t>
  </si>
  <si>
    <t>Customers</t>
  </si>
  <si>
    <t>10,000+ globally, majority of Forbes Global 100</t>
  </si>
  <si>
    <t>Revenue Model</t>
  </si>
  <si>
    <t>100% subscription/SaaS. ~94% from existing customer expansion, ~6% from new logos</t>
  </si>
  <si>
    <t>Capital Structure</t>
  </si>
  <si>
    <t>Zero debt. Consistent buybacks (~2% annual share reduction)</t>
  </si>
  <si>
    <t>Bear</t>
  </si>
  <si>
    <t>Bull</t>
  </si>
  <si>
    <t>Table of Contents</t>
  </si>
  <si>
    <t>Assumptions</t>
  </si>
  <si>
    <t>Revenue Build</t>
  </si>
  <si>
    <t>Income Statement</t>
  </si>
  <si>
    <t>Balance Sheet</t>
  </si>
  <si>
    <t>Cash Flow</t>
  </si>
  <si>
    <t>SWOT Analysis</t>
  </si>
  <si>
    <t>Strengths</t>
  </si>
  <si>
    <t>Zero debt, consistent FCF generation, disciplined buyback program (~$185M/yr)</t>
  </si>
  <si>
    <t>Margins expanding as legacy on-prem hardware fully depreciates and cloud hosting scales</t>
  </si>
  <si>
    <t>Weaknesses</t>
  </si>
  <si>
    <t>S&amp;M % of revenue increasing (18.6% to 21.4%) despite growing partner channel</t>
  </si>
  <si>
    <t>Opportunities</t>
  </si>
  <si>
    <t>Threats</t>
  </si>
  <si>
    <t>Metric</t>
  </si>
  <si>
    <t>2026E Start</t>
  </si>
  <si>
    <t>Base</t>
  </si>
  <si>
    <t>Scenario</t>
  </si>
  <si>
    <t>Net Dollar Expansion Rate</t>
  </si>
  <si>
    <t>New Customer Logos Added</t>
  </si>
  <si>
    <t>New Customer ARPU</t>
  </si>
  <si>
    <t>$K</t>
  </si>
  <si>
    <t>Gross Margin %</t>
  </si>
  <si>
    <t>R&amp;D % of Revenue</t>
  </si>
  <si>
    <t>S&amp;M % of Revenue</t>
  </si>
  <si>
    <t>Exit EV/EBITDA</t>
  </si>
  <si>
    <t>Notes</t>
  </si>
  <si>
    <t>REVENUE DRIVERS</t>
  </si>
  <si>
    <t>Total Revenue</t>
  </si>
  <si>
    <t>Revenue Growth %</t>
  </si>
  <si>
    <t>Ending Customer Count</t>
  </si>
  <si>
    <t>Blended ARPU</t>
  </si>
  <si>
    <t>GEOGRAPHIC MIX</t>
  </si>
  <si>
    <t>US Revenue %</t>
  </si>
  <si>
    <t>Actuals from 10-K Item 1. Trending down ~2pts/yr. Floored at 50%.</t>
  </si>
  <si>
    <t>International Revenue %</t>
  </si>
  <si>
    <t>US Revenue</t>
  </si>
  <si>
    <t>International Revenue</t>
  </si>
  <si>
    <t>CHANNEL MIX</t>
  </si>
  <si>
    <t>Direct Revenue %</t>
  </si>
  <si>
    <t>Actuals from 10-K. Partner share rising ~2-3 pts/yr. Direct = 100 - Partner.</t>
  </si>
  <si>
    <t>Channel Partner Revenue %</t>
  </si>
  <si>
    <t>FY25: 49% partner (10-K Item 1). FY21: 41%.</t>
  </si>
  <si>
    <t>MARGIN ASSUMPTIONS</t>
  </si>
  <si>
    <t>Has been expanding as D&amp;A declines and cloud costs scale.</t>
  </si>
  <si>
    <t>R&amp;D dollars growing but slower than revenue — R&amp;D as % of revenue declining over time. 10-K says they will "continue to devote resources".</t>
  </si>
  <si>
    <t>Sales &amp; Marketing % of Revenue</t>
  </si>
  <si>
    <t>G&amp;A % of Revenue</t>
  </si>
  <si>
    <t>2021 was 18.6% due to $27.3M CEO accelerated SBC vesting (one-time). Normalized ~11%. Do not trend from 2021 base.</t>
  </si>
  <si>
    <t>Operating Margin %</t>
  </si>
  <si>
    <t>Formula: Gross Margin - R&amp;D% - S&amp;M% - G&amp;A%. Should match IS operating margin.</t>
  </si>
  <si>
    <t>Effective Tax Rate</t>
  </si>
  <si>
    <t>2023 low (15.2%) due to IRS foreign tax credit rule change. 2025 higher (19.7%) due to OBBBA. Normalized at 20%.</t>
  </si>
  <si>
    <t>Check</t>
  </si>
  <si>
    <t>BALANCE SHEET DRIVERS</t>
  </si>
  <si>
    <t>Days Sales Outstanding (DSO)</t>
  </si>
  <si>
    <t>days</t>
  </si>
  <si>
    <t>Deferred Revenue % of Revenue</t>
  </si>
  <si>
    <t>Most likely DR is decreasing because they are switching from multiyear upfront to annual billing</t>
  </si>
  <si>
    <t>Capex % of Revenue</t>
  </si>
  <si>
    <t>Capex dropped from 5.9% (2021) to 0.7% (2025) as QLYS shifted to cloud hosting. Normalizing ~1%.</t>
  </si>
  <si>
    <t>Depreciation % of Revenue</t>
  </si>
  <si>
    <t>Declining as legacy hardware fully depreciates. PP&amp;E net: $47M(2022)→$23M(2025).</t>
  </si>
  <si>
    <t>SBC % of Revenue</t>
  </si>
  <si>
    <t>2021 elevated (16.4%) due to $27.3M CEO vesting. Risk: SBC is ~11% of revenue — FCF ex-SBC is materially lower than headline FCF.</t>
  </si>
  <si>
    <t>CAPITAL ALLOCATION</t>
  </si>
  <si>
    <t>Dividends</t>
  </si>
  <si>
    <t>QLYS has never paid dividends. All 10-Ks: "We do not anticipate declaring or paying any cash dividends."</t>
  </si>
  <si>
    <t>Share Buybacks</t>
  </si>
  <si>
    <t>From 10-K CF statements. Board has authorized $1.6B cumulative. Forward ~$185-200M/yr.</t>
  </si>
  <si>
    <t>Diluted Shares Outstanding</t>
  </si>
  <si>
    <t>From 10-K EPS denominator. ~2%/yr decline: buybacks retire ~1.4M shares, offset by ~0.7M issuances.</t>
  </si>
  <si>
    <t>DCF ASSUMPTIONS</t>
  </si>
  <si>
    <t>10-Year US Treasury yield as of April 2026.</t>
  </si>
  <si>
    <t>Standard Damodaran US ERP estimate.</t>
  </si>
  <si>
    <t xml:space="preserve">Price volatility measure, not representative of risk on the overall company </t>
  </si>
  <si>
    <t>Cost of Equity per CAPM</t>
  </si>
  <si>
    <t>QLYS has zero debt.</t>
  </si>
  <si>
    <t>Terminal EV/EBITDA Multiple</t>
  </si>
  <si>
    <t>Conservative for high-margin SaaS. Peer median is higher.</t>
  </si>
  <si>
    <t>EXISTING CUSTOMER REVENUE</t>
  </si>
  <si>
    <t>Prior Year Revenue</t>
  </si>
  <si>
    <t>Existing Customer Revenue</t>
  </si>
  <si>
    <t xml:space="preserve">  Existing as % of Total Revenue</t>
  </si>
  <si>
    <t>NEW CUSTOMER REVENUE</t>
  </si>
  <si>
    <t xml:space="preserve">New Revenue / New Customer ARPU. Backed into this based on New Customer ARPU Assumption. </t>
  </si>
  <si>
    <t xml:space="preserve">Company says that customers usually start with 1-2 products. We have estimated this to be half Blended ARPU in Row 39. </t>
  </si>
  <si>
    <t>New Customer Revenue</t>
  </si>
  <si>
    <t>New Customer Revenue = The residual revenue after existing customer expansion</t>
  </si>
  <si>
    <t xml:space="preserve">  New as % of Total Revenue</t>
  </si>
  <si>
    <t>TOTAL REVENUE</t>
  </si>
  <si>
    <t xml:space="preserve">  Growth from Existing Customers</t>
  </si>
  <si>
    <t xml:space="preserve">  Growth from New Customers</t>
  </si>
  <si>
    <t>CUSTOMER METRICS</t>
  </si>
  <si>
    <t>Beginning Customer Count</t>
  </si>
  <si>
    <t>(+) New Logos Added</t>
  </si>
  <si>
    <t>(-) Logos Churned (implied)</t>
  </si>
  <si>
    <t>Implied Logo Churn Rate</t>
  </si>
  <si>
    <t>Risk: if QLYS is quietly churning logos and masking it with NDER, growth is weaker than it appears.</t>
  </si>
  <si>
    <t>ARPU Growth %</t>
  </si>
  <si>
    <t>ARPU growth ≈ revenue growth when customer count flat. Driven by upsell.</t>
  </si>
  <si>
    <t>REVENUE</t>
  </si>
  <si>
    <t>COST OF REVENUE</t>
  </si>
  <si>
    <t>Cost of Revenue</t>
  </si>
  <si>
    <t>Actuals from 10-K. Forward = Revenue × (1 - Gross Margin %).</t>
  </si>
  <si>
    <t>Gross Profit</t>
  </si>
  <si>
    <t>OPERATING EXPENSES</t>
  </si>
  <si>
    <t>Research &amp; Development</t>
  </si>
  <si>
    <t xml:space="preserve">  R&amp;D % of Revenue</t>
  </si>
  <si>
    <t>Sales &amp; Marketing</t>
  </si>
  <si>
    <t xml:space="preserve">  S&amp;M % of Revenue</t>
  </si>
  <si>
    <t>General &amp; Administrative</t>
  </si>
  <si>
    <t xml:space="preserve">  G&amp;A % of Revenue</t>
  </si>
  <si>
    <t>Total Operating Expenses</t>
  </si>
  <si>
    <t xml:space="preserve">  OpEx % of Revenue</t>
  </si>
  <si>
    <t>OPERATING INCOME</t>
  </si>
  <si>
    <t>Operating Income (EBIT)</t>
  </si>
  <si>
    <t>BELOW THE LINE</t>
  </si>
  <si>
    <t>Interest Income</t>
  </si>
  <si>
    <t xml:space="preserve">QLYS has zero debt, so there's no interest expense. This is purely interest earned on their cash balance that is invested in low risk securities </t>
  </si>
  <si>
    <t>Other Income / (Expense)</t>
  </si>
  <si>
    <t>Mostly due to FX gains and losses</t>
  </si>
  <si>
    <t>Pre-Tax Income</t>
  </si>
  <si>
    <t>Income Tax Expense</t>
  </si>
  <si>
    <t>Net Income</t>
  </si>
  <si>
    <t>Net Margin %</t>
  </si>
  <si>
    <t>PER SHARE</t>
  </si>
  <si>
    <t>EPS (Diluted)</t>
  </si>
  <si>
    <t>EPS Growth %</t>
  </si>
  <si>
    <t>SUPPLEMENTAL</t>
  </si>
  <si>
    <t>Depreciation &amp; Amortization</t>
  </si>
  <si>
    <t>Embedded inside Cost of Revenue, R&amp;D, S&amp;M, and G&amp;A on the GAAP income statement. Broken out individually in CF Statement as Non-Cash Exp.</t>
  </si>
  <si>
    <t>EBITDA</t>
  </si>
  <si>
    <t>EBITDA Margin %</t>
  </si>
  <si>
    <t>Stock-Based Compensation</t>
  </si>
  <si>
    <t>CURRENT ASSETS</t>
  </si>
  <si>
    <t>Cash + cash equiv + restricted cash (current) + ST marketable securities.</t>
  </si>
  <si>
    <t>Accounts Receivable</t>
  </si>
  <si>
    <t>Forward: Revenue × DSO / 365.</t>
  </si>
  <si>
    <t>Prepaid &amp; Other Current Assets</t>
  </si>
  <si>
    <t>Held flat. Prepaid expenses and other. Stable at ~$40M.</t>
  </si>
  <si>
    <t>Total Current Assets</t>
  </si>
  <si>
    <t>NON-CURRENT ASSETS</t>
  </si>
  <si>
    <t>PP&amp;E, net</t>
  </si>
  <si>
    <t>Goodwill &amp; Intangibles</t>
  </si>
  <si>
    <t>Held flat. No acquisitions assumed. Intangibles amortize down slightly but immaterial.</t>
  </si>
  <si>
    <t>Operating Lease ROU Assets</t>
  </si>
  <si>
    <t>Held flat. Mirror of lease liabilities. Changes only with new lease agreements.</t>
  </si>
  <si>
    <t>Includes long-term marketable securities, deferred tax assets, and other. Forward years grow as excess cash is invested in marketable securities (linked to CF net purchases).</t>
  </si>
  <si>
    <t>Total Assets</t>
  </si>
  <si>
    <t>CURRENT LIABILITIES</t>
  </si>
  <si>
    <t>Accounts Payable</t>
  </si>
  <si>
    <t>Held flat. Minimal for a SaaS company with no inventory or physical supply chain.</t>
  </si>
  <si>
    <t>Accrued Liabilities</t>
  </si>
  <si>
    <t>Deferred Revenue (Current)</t>
  </si>
  <si>
    <t>Current Lease Liabilities</t>
  </si>
  <si>
    <t>Held flat. Annual lease payment obligations. Stable unless they sign or exit major leases.</t>
  </si>
  <si>
    <t>Total Current Liabilities</t>
  </si>
  <si>
    <t>NON-CURRENT LIABILITIES</t>
  </si>
  <si>
    <t>Deferred Revenue (Non-Current)</t>
  </si>
  <si>
    <t>Non-Current Lease Liabilities</t>
  </si>
  <si>
    <t>Held flat. Long-term portion of operating leases (primarily offices). Jumped in 2024 from a new lease, now stable.</t>
  </si>
  <si>
    <t>Long-Term Debt</t>
  </si>
  <si>
    <t>QLYS has zero debt across all periods.</t>
  </si>
  <si>
    <t>Other Non-Current Liabilities</t>
  </si>
  <si>
    <t>Held flat. Declining slightly over time ($7M → $5.3M). Likely includes uncertain tax positions and other small items</t>
  </si>
  <si>
    <t>Total Liabilities</t>
  </si>
  <si>
    <t>SHAREHOLDERS' EQUITY</t>
  </si>
  <si>
    <t>Common Stock &amp; APIC</t>
  </si>
  <si>
    <t>Accumulated Deficit / Retained Earnings</t>
  </si>
  <si>
    <t>Repurchased shares retired (no treasury). Deficit shrinking as NI &gt; buyback impact.</t>
  </si>
  <si>
    <t>Other Comprehensive Income/(Loss)</t>
  </si>
  <si>
    <t>Held flat. FX translation adjustments on foreign subsidiaries. Small and volatile, not worth projecting.</t>
  </si>
  <si>
    <t>Total Shareholders' Equity</t>
  </si>
  <si>
    <t>Total Liabilities + Equity</t>
  </si>
  <si>
    <t>CHECK: Assets - (L+E)</t>
  </si>
  <si>
    <t>Cash Flow Statement</t>
  </si>
  <si>
    <t>OPERATING ACTIVITIES</t>
  </si>
  <si>
    <t>Change in Accounts Receivable</t>
  </si>
  <si>
    <t>Actuals from 10-K CF. Forward estimated at ~1.3% of revenue.</t>
  </si>
  <si>
    <t>Change in Deferred Revenue</t>
  </si>
  <si>
    <t>Actuals from 10-K CF. Forward estimated at ~3% of revenue.</t>
  </si>
  <si>
    <t>Other Working Capital Changes</t>
  </si>
  <si>
    <t>Cash from Operations (CFO)</t>
  </si>
  <si>
    <t>Actuals from 10-K. Forward = sum of components above.</t>
  </si>
  <si>
    <t>INVESTING ACTIVITIES</t>
  </si>
  <si>
    <t>Capital Expenditures</t>
  </si>
  <si>
    <t>Actuals from 10-K. Forward = Revenue × Capex% assumption.</t>
  </si>
  <si>
    <t>Acquisitions</t>
  </si>
  <si>
    <t>Net Purchases of Marketable Securities</t>
  </si>
  <si>
    <t>Cash from Investing (CFI)</t>
  </si>
  <si>
    <t>FINANCING ACTIVITIES</t>
  </si>
  <si>
    <t>Dividends Paid</t>
  </si>
  <si>
    <t>Debt Issuance / (Repayment)</t>
  </si>
  <si>
    <t>Other Financing (Options/ESPP/Tax Withholding)</t>
  </si>
  <si>
    <t>Net of option proceeds, ESPP proceeds, and tax withholding on RSU vesting.</t>
  </si>
  <si>
    <t>Cash from Financing (CFF)</t>
  </si>
  <si>
    <t>SUMMARY</t>
  </si>
  <si>
    <t>Net Change in Cash</t>
  </si>
  <si>
    <t>Beginning Cash</t>
  </si>
  <si>
    <t>Ending Cash</t>
  </si>
  <si>
    <t>FREE CASH FLOW</t>
  </si>
  <si>
    <t>Cash from Operations</t>
  </si>
  <si>
    <t>Less: Capital Expenditures</t>
  </si>
  <si>
    <t>Free Cash Flow</t>
  </si>
  <si>
    <t>FCF Margin %</t>
  </si>
  <si>
    <t>FCF per Share</t>
  </si>
  <si>
    <t>FCF (ex-SBC)</t>
  </si>
  <si>
    <t>FCF minus stock-based compensation. Conservative measure for DCF.</t>
  </si>
  <si>
    <t>FCF (ex-SBC) Margin %</t>
  </si>
  <si>
    <t>SENSITIVITY: WACC vs Terminal Growth Rate</t>
  </si>
  <si>
    <t>Implied Share Price (Perpetuity Method)</t>
  </si>
  <si>
    <t>Implied Share Price (Exit Multiple Method)</t>
  </si>
  <si>
    <t>Comparable Company Analysis</t>
  </si>
  <si>
    <t>Company</t>
  </si>
  <si>
    <t>Ticker</t>
  </si>
  <si>
    <t>Market Cap ($M)</t>
  </si>
  <si>
    <t>EV ($M)</t>
  </si>
  <si>
    <t>Revenue ($M)</t>
  </si>
  <si>
    <t>Rev Growth %</t>
  </si>
  <si>
    <t>EV/Revenue</t>
  </si>
  <si>
    <t>EV/EBITDA</t>
  </si>
  <si>
    <t>P/E</t>
  </si>
  <si>
    <t>P/FCF</t>
  </si>
  <si>
    <t>QLYS</t>
  </si>
  <si>
    <t>CRWD</t>
  </si>
  <si>
    <t>PANW</t>
  </si>
  <si>
    <t>FTNT</t>
  </si>
  <si>
    <t>TENB</t>
  </si>
  <si>
    <t>RPD</t>
  </si>
  <si>
    <t>S</t>
  </si>
  <si>
    <t>VRNS</t>
  </si>
  <si>
    <t>ZS</t>
  </si>
  <si>
    <t>QLYS Implied Valuation</t>
  </si>
  <si>
    <t>At Peer Median EV/Revenue</t>
  </si>
  <si>
    <t>At Peer Median EV/EBITDA</t>
  </si>
  <si>
    <t>At Peer Median P/E</t>
  </si>
  <si>
    <t>At Peer Median P/FCF</t>
  </si>
  <si>
    <t>Data Sources &amp; References</t>
  </si>
  <si>
    <t>Qualys, Inc. (QLYS) Financial Model</t>
  </si>
  <si>
    <t>SEC FILINGS</t>
  </si>
  <si>
    <t>FY2023 10-K</t>
  </si>
  <si>
    <t>Filed Feb 22, 2024. FY2021-2023. Accession: 0001107843-24-000008.</t>
  </si>
  <si>
    <t>FY2024 10-K</t>
  </si>
  <si>
    <t>Filed Feb 21, 2025. FY2022-2024. Accession: 0001107843-25-000009.</t>
  </si>
  <si>
    <t>FY2025 10-K</t>
  </si>
  <si>
    <t>Filed Feb 20, 2026. FY2023-2025. Accession: 0001107843-26-000008.</t>
  </si>
  <si>
    <t>FINANCIAL DATA</t>
  </si>
  <si>
    <t>Consolidated Statements of Operations from each 10-K.</t>
  </si>
  <si>
    <t>Consolidated Balance Sheets (FY2022-2025).</t>
  </si>
  <si>
    <t>Consolidated Statements of Cash Flows.</t>
  </si>
  <si>
    <t>Revenue Drivers</t>
  </si>
  <si>
    <t>Item 7 MD&amp;A: NDER, geo/channel mix, existing vs new customer splits.</t>
  </si>
  <si>
    <t>SBC</t>
  </si>
  <si>
    <t>Note 9/10 (Stockholders Equity). Includes PRSU detail.</t>
  </si>
  <si>
    <t>Tax</t>
  </si>
  <si>
    <t>Note 11/12 (Income Taxes). Effective rate reconciliation, OBBBA impact.</t>
  </si>
  <si>
    <t>Segments</t>
  </si>
  <si>
    <t>Note 12/13 (Segment &amp; Geographic). US vs Foreign revenue.</t>
  </si>
  <si>
    <t>MARKET DATA (April 2026)</t>
  </si>
  <si>
    <t>Stock Price: $80.52</t>
  </si>
  <si>
    <t>Risk-Free Rate: 4.31%</t>
  </si>
  <si>
    <t>US 10-Year Treasury. CNBC, Treasury.gov.</t>
  </si>
  <si>
    <t>Equity Risk Premium: 5.5%</t>
  </si>
  <si>
    <t>Damodaran (NYU Stern).</t>
  </si>
  <si>
    <t>Peer Data</t>
  </si>
  <si>
    <t>SCENARIO SELECTOR</t>
  </si>
  <si>
    <t>No Debt</t>
  </si>
  <si>
    <t>No Dividends - Use Buybacks to return $ to shareholders</t>
  </si>
  <si>
    <t>n.a</t>
  </si>
  <si>
    <t>SENSITIVITY: WACC vs. Exit Multiple</t>
  </si>
  <si>
    <t>The terminal growth rate does not effect the valuation nearly as much as WACC</t>
  </si>
  <si>
    <t>Yahoo Finance</t>
  </si>
  <si>
    <t xml:space="preserve">   </t>
  </si>
  <si>
    <t>DCF Valuation &amp; Sensitivity Analysis</t>
  </si>
  <si>
    <t xml:space="preserve">Based on the revenue and cost assumptions in the assumptions toggle, finding the current market price within this table tells you what WACC and Multiple the market is placing on Qualys. </t>
  </si>
  <si>
    <t>Qualys, Inc.</t>
  </si>
  <si>
    <t>CrowdStrike Holdings, Inc.</t>
  </si>
  <si>
    <t>Palo Alto Networks, Inc.</t>
  </si>
  <si>
    <t>Fortinet, Inc.</t>
  </si>
  <si>
    <t>Tenable Holdings</t>
  </si>
  <si>
    <t>Rapid7 Inc</t>
  </si>
  <si>
    <t>SentinelOne Inc</t>
  </si>
  <si>
    <t>Varonis Systems</t>
  </si>
  <si>
    <t>Zscaler, Inc.</t>
  </si>
  <si>
    <t>NET</t>
  </si>
  <si>
    <t>Cloudflare, Inc.</t>
  </si>
  <si>
    <t>OKTA</t>
  </si>
  <si>
    <t>Okta, Inc.</t>
  </si>
  <si>
    <t>DDOG</t>
  </si>
  <si>
    <t>Datadog, Inc.</t>
  </si>
  <si>
    <t>ESTC</t>
  </si>
  <si>
    <t>Elastic NV</t>
  </si>
  <si>
    <t>MNDY</t>
  </si>
  <si>
    <t>Monday.com Ltd</t>
  </si>
  <si>
    <t>GTLB</t>
  </si>
  <si>
    <t>GitLab Inc</t>
  </si>
  <si>
    <t>Direct</t>
  </si>
  <si>
    <t>CHKP</t>
  </si>
  <si>
    <t>Check Point Software Technologies Ltd.</t>
  </si>
  <si>
    <t>Broader</t>
  </si>
  <si>
    <t>ADBE</t>
  </si>
  <si>
    <t>Adobe Inc.</t>
  </si>
  <si>
    <t>NOW</t>
  </si>
  <si>
    <t>ServiceNow, Inc.</t>
  </si>
  <si>
    <t>INTU</t>
  </si>
  <si>
    <t>Intuit Inc.</t>
  </si>
  <si>
    <t>WDAY</t>
  </si>
  <si>
    <t>Workday, Inc.</t>
  </si>
  <si>
    <t>PLTR</t>
  </si>
  <si>
    <t>Palantir Technologies</t>
  </si>
  <si>
    <t>CDNS</t>
  </si>
  <si>
    <t>Cadence Design Systems, Inc.</t>
  </si>
  <si>
    <t>SNPS</t>
  </si>
  <si>
    <t>Synopsys, Inc.</t>
  </si>
  <si>
    <t>SNOW</t>
  </si>
  <si>
    <t>Snowflake Inc.</t>
  </si>
  <si>
    <t>HUBS</t>
  </si>
  <si>
    <t>HubSpot, Inc.</t>
  </si>
  <si>
    <t>PTC</t>
  </si>
  <si>
    <t>PTC Inc.</t>
  </si>
  <si>
    <t>DT</t>
  </si>
  <si>
    <t>Dynatrace, Inc.</t>
  </si>
  <si>
    <t>NTNX</t>
  </si>
  <si>
    <t>Nutanix Inc</t>
  </si>
  <si>
    <t>VEEV</t>
  </si>
  <si>
    <t>Veeva Systems</t>
  </si>
  <si>
    <t>TEAM</t>
  </si>
  <si>
    <t>Atlassian Corporation</t>
  </si>
  <si>
    <t>DOCU</t>
  </si>
  <si>
    <t>DocuSign, Inc.</t>
  </si>
  <si>
    <t>PATH</t>
  </si>
  <si>
    <t>UiPath, Inc.</t>
  </si>
  <si>
    <t>BILL</t>
  </si>
  <si>
    <t>BILL Holdings, Inc.</t>
  </si>
  <si>
    <t>FRSH</t>
  </si>
  <si>
    <t>Freshworks Inc</t>
  </si>
  <si>
    <t>GEN</t>
  </si>
  <si>
    <t>Gen Digital Inc.</t>
  </si>
  <si>
    <t>FFIV</t>
  </si>
  <si>
    <t>F5, Inc.</t>
  </si>
  <si>
    <t>Comparison Tier</t>
  </si>
  <si>
    <t>DIRECT Peer Median (excl. QLYS)</t>
  </si>
  <si>
    <t>DIRECT Peer Mean (excl. QLYS)</t>
  </si>
  <si>
    <t>If the market valued QLYS at the same revenue multiple as peers, what would the stock be worth? Converts from enterprise value to share price by adding net cash and dividing by shares.</t>
  </si>
  <si>
    <t>If QLYS traded at the same earnings multiple as profitable peers, what would one share cost? Already an equity multiple so no net cash adjustment.</t>
  </si>
  <si>
    <t>Same as P/E but using cash flow instead of earnings. Most complete comp set since almost every peer has positive FCF.</t>
  </si>
  <si>
    <t>Same logic as EV/Revenue but using profitability. Rewards QLYS for actually generating EBITDA, which half the peer group doesn't.</t>
  </si>
  <si>
    <t>94% of revenue from existing customer base. Highly recurring, low churn risk on revenue</t>
  </si>
  <si>
    <t>Deep enterprise stickiness - 20+ modules on single platform, high switching costs once deployed</t>
  </si>
  <si>
    <t>Blue-chip customer base - majority of Forbes Global 100, validates enterprise credibility</t>
  </si>
  <si>
    <t>NDER flat at 103% for 3 consecutive years. No visible catalyst for expansion to re-accelerate</t>
  </si>
  <si>
    <t>Module upsell. New customers start with 1-2 of 20+ products, significant whitespace within existing base</t>
  </si>
  <si>
    <t>International revenue mix trending up (44% to 50%). Geographic diversification without new product investment</t>
  </si>
  <si>
    <t>Cloud migration complete - legacy on-prem security competitors still transitioning, creates share opportunity</t>
  </si>
  <si>
    <t>Buybacks compounding per-share value. ~2% annual share count reduction on top of organic growth</t>
  </si>
  <si>
    <t>Platform is deep but narrow. Only provide vulnerability management and compliance. Bigger players offer end-to-end incl. endpoint, network and cloud</t>
  </si>
  <si>
    <t>CrowdStrike, Palo Alto, Zscaler competing for same enterprise wallet. Platform consolidation may favor larger vendors</t>
  </si>
  <si>
    <t>Asset-light model - no inventory, no hardware (moved to cloud), minimal capex (&lt;1% of revenue). Nearly all revenue converts to cash.</t>
  </si>
  <si>
    <t>Management provides minimal disclosure - no exact customer count, no cohort data, no segment breakdowns. Makes independent verification of growth drivers difficult.</t>
  </si>
  <si>
    <t>Regulatory and government tailwinds - SEC cyber disclosure rules and expanding FedRAMP/defense compliance mandates both drive demand for vulnerability assessment and compliance reporting.</t>
  </si>
  <si>
    <t>Terminal value is 80%+ of enterprise value - small changes in WACC or exit multiple swing the implied price by 30%+. Valuation is highly assumption-dependent.</t>
  </si>
  <si>
    <t xml:space="preserve">Even non-discretionary cybersecurity budgets get reviewed in downturns. The bigger players may be cheaper. </t>
  </si>
  <si>
    <t>AI could shift competitive dynamics in security tooling - TBD whether this benefits incumbents like QLYS (who have the data and platform to integrate AI) or enables new entrants to commoditize vulnerability scanning.</t>
  </si>
  <si>
    <t>NM</t>
  </si>
  <si>
    <t>S&amp;M as % of revenue has been increasing historically (18.6% to 21.4%), not declining. Forward projections assume leverage, but history does not support this yet. Partner channel growth has not reduced S&amp;M spend.</t>
  </si>
  <si>
    <t>Actuals = CFO residual (accrued expenses, tax payables, etc.). Forward = -1% of revenue; offset flows through Accrued Liabilities on BS</t>
  </si>
  <si>
    <t>Linked to CF Other Working Capital Changes (prior period + CF change). Forward reflects small net cash outflows from accrued expenses, tax payables, and other accruals.</t>
  </si>
  <si>
    <t>BS = prior period + CF Change in Deferred Revenue. Represents billings collected but not yet recognized. Grows with subscription base.</t>
  </si>
  <si>
    <t>Multi-year prepaid subscriptions recognized beyond 12 months. Small relative to current DR. Most QLYS contracts are annual.</t>
  </si>
  <si>
    <t>Prior period + SBC + Other Financing (tax withholding on RSU vesting). Grows primarily with stock-based compensation, which is the main driver of APIC increases.</t>
  </si>
  <si>
    <t>Forward grows with PP&amp;E and capitalized software. Linked to Assumptions page.</t>
  </si>
  <si>
    <t>Forward as % of revenue from Assumptions page. ~11% of revenue. Treated as real cost (FCF ex-SBC used in DCF).</t>
  </si>
  <si>
    <t>Actuals volatile — depends on treasury decisions. Forward = ~15% of CFO reinvested in securities (smoothing assumption).</t>
  </si>
  <si>
    <t>Forward held flat at ~$200M/year. QLYS has been a consistent repurchaser; no disclosed buyback program size to anchor to.</t>
  </si>
  <si>
    <t>Actuals = Cash + cash equiv + restricted cash from 10-K CF reconciliation. Forward = Beginning Cash + Net Change in Cash.</t>
  </si>
  <si>
    <t xml:space="preserve"> FCF / diluted shares outstanding. Share count declines with buybacks.</t>
  </si>
  <si>
    <t>Uses FCF ex-SBC, not headline FCF. SBC is ~11% of revenue. Treating it as a real economic cost to shareholders.</t>
  </si>
  <si>
    <t>Find the current market price ($80.50) in this grid to see what terminal growth rate the market is implying at various WACCs.</t>
  </si>
  <si>
    <t>FY25: Cash $250 + ST Mkt $196 + LT Mkt $251 = $698. Net cash position...negative net debt adds to equity value.</t>
  </si>
  <si>
    <t>Terminal value = ~80%+ of EV. Model is far more sensitive to WACC and exit multiple than terminal growth rate, Sensitivity tables below confirm this.</t>
  </si>
  <si>
    <t>Driven by Revenue Build page (NDER on existing base + new logo acquisition). Not a top-line growth rate assumption.</t>
  </si>
  <si>
    <t>Forward from Assumptions page scenario toggle. Reflects scale leverage on cloud hosting costs.</t>
  </si>
  <si>
    <t>From Assumptions scenario toggle. Largest opex line. Driven by headcount growth.</t>
  </si>
  <si>
    <t>From Assumptions scenario toggle. Key lever. Thesis question is whether S&amp;M leverage is real.</t>
  </si>
  <si>
    <t>Hardcoded at 10%. Not in scenario toggle. Stable metric, not a key uncertainty.</t>
  </si>
  <si>
    <t>Held flat at 20% in forward periods. Actuals fluctuate (15-21%) due to stock comp tax benefits and R&amp;D credits.</t>
  </si>
  <si>
    <t>Declines annually with ~$200M/year buyback on CF page, partially offset by SBC dilution.</t>
  </si>
  <si>
    <t>Found in 10-K MD&amp;A. Risk: has been flat at 103% for 3 years. Deceleration below 100% would mean net contraction of existing revenue.</t>
  </si>
  <si>
    <t>High concentration on existing customers is both a strength (predictable) and a risk (dependent on NDER staying above 100%).</t>
  </si>
  <si>
    <t>Back-solved: ~13% annual logo churn. High vs. enterprise SaaS peers (~5-10%), but offset by strong NDER. QLYS loses small customers but expands larger ones.</t>
  </si>
  <si>
    <t xml:space="preserve">Company says in all Annual Reports "Customers are over 10,000". Held flat at 10,000 which is a key model limitation. </t>
  </si>
  <si>
    <t>If actual count is growing, model understates new logo ARPU. If shrinking, model overstates it. No way to verify with current disclosure.</t>
  </si>
  <si>
    <t>2026E Start is fixed. 2030E = Bear/Base/Bull terminal values. 2027-2029 interpolate linearly between start and terminal. Each metric toggles independently via column H dropdown.</t>
  </si>
  <si>
    <t>Actuals = AR / Revenue × 365. Fluctuates with billing timing. Held flat at FY25 level. No disclosed trend in collection terms.</t>
  </si>
  <si>
    <t>Risk-Free Rate + Beta × Equity Risk Premium</t>
  </si>
  <si>
    <t>Should be slighlty  above nominal GDP (~2.5%) for Cybersecurity SaaS. Mimimal impact on valuation vs. WACC and Exit Multiple</t>
  </si>
  <si>
    <t>Scenario Summary</t>
  </si>
  <si>
    <t>What is the market pricing? Side-by-side DCF outputs across Bear / Base / Bull.</t>
  </si>
  <si>
    <t>(as of model date)</t>
  </si>
  <si>
    <t>VALUATION OUTPUT</t>
  </si>
  <si>
    <t>Blended (avg of both methods)</t>
  </si>
  <si>
    <t>Average of TGR + Multiple</t>
  </si>
  <si>
    <t>Upside / (Downside) vs Market</t>
  </si>
  <si>
    <t>vs. current market price</t>
  </si>
  <si>
    <t>KEY OPERATING ASSUMPTIONS (2030E TERMINAL)</t>
  </si>
  <si>
    <t>Historical has been 103% for 3yrs</t>
  </si>
  <si>
    <t>Back-solved from New Rev / ARPU</t>
  </si>
  <si>
    <t>New Customer ARPU ($K)</t>
  </si>
  <si>
    <t>Roughly half of blended ARPU</t>
  </si>
  <si>
    <t>FY25A: 82.8%</t>
  </si>
  <si>
    <t>FY25A: 17.5%</t>
  </si>
  <si>
    <t>FY25A: 21.4% — trending UP</t>
  </si>
  <si>
    <t>Long-run perpetuity rate</t>
  </si>
  <si>
    <t>Peer Direct median ~24x</t>
  </si>
  <si>
    <t>2030E TERMINAL FINANCIALS</t>
  </si>
  <si>
    <t>5-yr Revenue CAGR</t>
  </si>
  <si>
    <t>FY25A-FY30E compound rate</t>
  </si>
  <si>
    <t>= GM - R&amp;D - S&amp;M - G&amp;A</t>
  </si>
  <si>
    <t>EBITDA ($M)</t>
  </si>
  <si>
    <t>FCF ex-SBC ($M)</t>
  </si>
  <si>
    <t>Hardcoded constants: WACC, shares, net debt, capex/D&amp;A/SBC %, tax rate, working capital rules. Scenario-driven: NDER, new logos, new ARPU, GM%, R&amp;D%, S&amp;M%, terminal growth, exit multiple.</t>
  </si>
  <si>
    <t>BEAR SCENARIO</t>
  </si>
  <si>
    <t>(Inputs: Assumptions!E10:E17)</t>
  </si>
  <si>
    <t>Line Item</t>
  </si>
  <si>
    <t>Revenue</t>
  </si>
  <si>
    <t xml:space="preserve">  Revenue Growth %</t>
  </si>
  <si>
    <t>R&amp;D %</t>
  </si>
  <si>
    <t>S&amp;M %</t>
  </si>
  <si>
    <t>G&amp;A %</t>
  </si>
  <si>
    <t>EBIT ($M)</t>
  </si>
  <si>
    <t>D&amp;A ($M)</t>
  </si>
  <si>
    <t>NOPAT (EBIT × (1-t))</t>
  </si>
  <si>
    <t>(+) D&amp;A</t>
  </si>
  <si>
    <t>(-) Capex</t>
  </si>
  <si>
    <t>PV of FCF</t>
  </si>
  <si>
    <t>Terminal Value (Perpetuity)</t>
  </si>
  <si>
    <t>PV of TV (Perpetuity)</t>
  </si>
  <si>
    <t>Terminal Value (Exit Multiple)</t>
  </si>
  <si>
    <t>PV of TV (Multiple)</t>
  </si>
  <si>
    <t>(-) Net Debt</t>
  </si>
  <si>
    <t>→ Implied Price — Perpetuity</t>
  </si>
  <si>
    <t>→ Implied Price — Multiple</t>
  </si>
  <si>
    <t>BASE SCENARIO</t>
  </si>
  <si>
    <t>(Inputs: Assumptions!F10:F17)</t>
  </si>
  <si>
    <t>BULL SCENARIO</t>
  </si>
  <si>
    <t>(Inputs: Assumptions!G10:G17)</t>
  </si>
  <si>
    <t>(+) Δ Working Capital (DR growth)</t>
  </si>
  <si>
    <t>DCF perpetuity (live from Shadow DCF)</t>
  </si>
  <si>
    <t>DCF exit multiple (live from Shadow DCF)</t>
  </si>
  <si>
    <t xml:space="preserve"> </t>
  </si>
  <si>
    <t>APPENDIX — Shadow DCF (Supporting Analysis)</t>
  </si>
  <si>
    <t>Not the primary valuation — see DCF &amp; Sensitivity tab for book-of-record. This tab exists to support Scenario Summary.</t>
  </si>
  <si>
    <t>Purpose</t>
  </si>
  <si>
    <t>Data source</t>
  </si>
  <si>
    <t>Reconciliation note</t>
  </si>
  <si>
    <t>Book of record</t>
  </si>
  <si>
    <t>For a full, scenario-toggled valuation with complete IS/BS/CF linkages, use the main DCF &amp; Sensitivity tab. Shadow DCF exists for comparison only.</t>
  </si>
  <si>
    <t>2025A: $669M (live from Shadow DCF)</t>
  </si>
  <si>
    <t>Terminal year (live from Shadow DCF)</t>
  </si>
  <si>
    <t>Live from Shadow DCF</t>
  </si>
  <si>
    <t>Single-page comparison of Bear / Base / Bull DCF outputs against the current market price. Answers the question, "What scenario is the market pricing today?"</t>
  </si>
  <si>
    <t>Shadow DCF ties to the main DCF within ~3% on perpetuity and &lt;1% on multiple for Base case. The small gap is because Shadow uses a simplified FCF build (NOPAT + D&amp;A − Capex + ΔDeferred Revenue) rather than routing through the full Cash Flow statement. This is a deliberate tradeoff, It is simpler and more auditable.</t>
  </si>
  <si>
    <t>Implied Share Price  (Perpetuity)</t>
  </si>
  <si>
    <t>Implied Share Price  (Exit Multiple)</t>
  </si>
  <si>
    <t>Summary</t>
  </si>
  <si>
    <t>Scenario Analysis Summary</t>
  </si>
  <si>
    <t>Appendix &gt;&gt;&gt;</t>
  </si>
  <si>
    <t>Valuation &gt;&gt;&gt;</t>
  </si>
  <si>
    <t>Current DR % of Total DR</t>
  </si>
  <si>
    <t>Cash</t>
  </si>
  <si>
    <t>Marketable Securities</t>
  </si>
  <si>
    <t>QUALYS, INC.</t>
  </si>
  <si>
    <t>5-Year DCF + Scenario Analysis</t>
  </si>
  <si>
    <t>Net Dollar Expansion Rate (terminal)</t>
  </si>
  <si>
    <t>Terminal Operating Margin</t>
  </si>
  <si>
    <t>NASDAQ: QLYS</t>
  </si>
  <si>
    <t>Cybersecurity — SaaS Vulnerability Management</t>
  </si>
  <si>
    <t>› Summary</t>
  </si>
  <si>
    <t xml:space="preserve">   Scenario Summary</t>
  </si>
  <si>
    <t xml:space="preserve">   SWOT</t>
  </si>
  <si>
    <t>› Valuation</t>
  </si>
  <si>
    <t xml:space="preserve">   Assumptions</t>
  </si>
  <si>
    <t xml:space="preserve">   Revenue Build</t>
  </si>
  <si>
    <t xml:space="preserve">   Income Statement</t>
  </si>
  <si>
    <t xml:space="preserve">   Balance Sheet</t>
  </si>
  <si>
    <t xml:space="preserve">   Cash Flow</t>
  </si>
  <si>
    <t xml:space="preserve">   DCF &amp; Sensitivity</t>
  </si>
  <si>
    <t xml:space="preserve">   Comps</t>
  </si>
  <si>
    <t>› Appendix</t>
  </si>
  <si>
    <t xml:space="preserve">   Shadow DCF</t>
  </si>
  <si>
    <t xml:space="preserve">   Sources</t>
  </si>
  <si>
    <t>Key Assumptions</t>
  </si>
  <si>
    <t>Valuation Snapshot</t>
  </si>
  <si>
    <t>Net Debt ($M)</t>
  </si>
  <si>
    <t>Diluted Shares Outstanding (M)</t>
  </si>
  <si>
    <t>Base Case (Perpetuity Growth)</t>
  </si>
  <si>
    <t>Base Case  (Exit Multiple)</t>
  </si>
  <si>
    <t>CHECK: BS Cash vs CFS Ending Cash</t>
  </si>
  <si>
    <t>Short-Term Investments</t>
  </si>
  <si>
    <t>Beta (raw, 5-yr regression)</t>
  </si>
  <si>
    <t>Adjusted Beta</t>
  </si>
  <si>
    <t>Beta (Adjusted, peer-median)</t>
  </si>
  <si>
    <t>WACC note: Uses adjusted beta of 1.00 (cyber SaaS peer median), not raw regression beta 0.61. Raw beta gave 7.67% WACC which understated risk. See Assumptions tab rows 62-64 and DCF Sensitivity table for ranges.</t>
  </si>
  <si>
    <t>Beta: 0.61 raw (5Y monthly) → 1.00 adjusted</t>
  </si>
  <si>
    <t>Yahoo Finance (raw); peer-median adjustment per Direct cyber comps (CRWD, PANW, FTNT, ZS, etc.)</t>
  </si>
  <si>
    <r>
      <t>Share prices pull from the "</t>
    </r>
    <r>
      <rPr>
        <i/>
        <sz val="10"/>
        <color theme="1"/>
        <rFont val="Calibri"/>
        <family val="2"/>
        <scheme val="minor"/>
      </rPr>
      <t>Appendix --&gt; Shadow DCF tab</t>
    </r>
    <r>
      <rPr>
        <sz val="10"/>
        <color theme="1"/>
        <rFont val="Calibri"/>
        <family val="2"/>
        <scheme val="minor"/>
      </rPr>
      <t>", which runs bear, base, and bull DCFs simultaneously (one per scenario column).</t>
    </r>
  </si>
  <si>
    <t>QLYS trades at a meaningful discount to cyber peers on every multiple. Slower growth (~10% vs peer ~14-22%) explains part of it, but the magnitude — especially on profitability multiples (9.8x EV/EBITDA vs 24x peer median) — suggests room for re-rating if NDER stabilizes. Our DCF (peer-median WACC 9.81%) is consistent: market is fairly pricing the Bear case, with ~85% upside if Base operating assumptions hold.</t>
  </si>
  <si>
    <t>At peer-median WACC, the market is pricing the Bear case. The subsequent question is,  "What does it take to get to Base?" 
Answer: NDER holding ~101% (vs Bear's 95%) and S&amp;M discipline. Both are tractable, observable in quarterly results.</t>
  </si>
  <si>
    <t>TAKEAWAY</t>
  </si>
  <si>
    <t>At $80.52, the market implies EV of ~$2,241M, or 3.4x EV/Revenue, 9.5x EV/EBITDA, and 7.4x EV/FCF. This is a meaningful discount to cyber peers (24x EV/EBITDA median).</t>
  </si>
  <si>
    <t>Even the Bear scenario (NDER 95%, S&amp;M deleverage, GM compression) implies $87–$98 / share, a 8–21% upside.
Base case is $124–$169 (55–110% upside). To justify $80.52, you'd need a future scenario worse than the Bear: NDER below 95%, meaningful logo churn, or competitive displacement by PANW/CRWD.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</si>
</sst>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0.0"/>
    <numFmt numFmtId="165" formatCode="#,##0.0"/>
    <numFmt numFmtId="166" formatCode="_(* #,##0.0_);_(* \(#,##0.0\);_(* &quot;-&quot;??_);_(@_)"/>
    <numFmt numFmtId="167" formatCode="_(* #,##0_);_(* \(#,##0\);_(* &quot;-&quot;??_);_(@_)"/>
    <numFmt numFmtId="168" formatCode="0.0\x"/>
    <numFmt numFmtId="169" formatCode="0.0%"/>
    <numFmt numFmtId="170" formatCode="0&quot;%&quot;"/>
    <numFmt numFmtId="171" formatCode="&quot;$&quot;#,##0.00"/>
    <numFmt numFmtId="172" formatCode="&quot;$&quot;0.0&quot;K&quot;"/>
    <numFmt numFmtId="173" formatCode="0.0&quot;x&quot;"/>
    <numFmt numFmtId="174" formatCode="0.0&quot;%&quot;"/>
    <numFmt numFmtId="176" formatCode="&quot;$&quot;#,##0.0"/>
    <numFmt numFmtId="177" formatCode="0.000"/>
    <numFmt numFmtId="181" formatCode="&quot;$&quot;#,##0;\(&quot;$&quot;#,##0\);\-"/>
    <numFmt numFmtId="182" formatCode="0.00&quot;x&quot;"/>
  </numFmts>
  <fonts count="72" x14ac:knownFonts="1">
    <font>
      <sz val="11"/>
      <color theme="1"/>
      <name val="Calibri"/>
      <family val="2"/>
      <scheme val="minor"/>
    </font>
    <font>
      <sz val="11"/>
      <color theme="1"/>
      <name val="Calibri"/>
      <family val="2"/>
      <scheme val="minor"/>
    </font>
    <font>
      <sz val="10"/>
      <color rgb="FF0000FF"/>
      <name val="Calibri"/>
      <family val="2"/>
    </font>
    <font>
      <b/>
      <sz val="10"/>
      <color rgb="FF000000"/>
      <name val="Calibri"/>
      <family val="2"/>
    </font>
    <font>
      <sz val="10"/>
      <color rgb="FF000000"/>
      <name val="Calibri"/>
      <family val="2"/>
    </font>
    <font>
      <i/>
      <sz val="10"/>
      <color rgb="FF000000"/>
      <name val="Calibri"/>
      <family val="2"/>
    </font>
    <font>
      <b/>
      <sz val="12"/>
      <color rgb="FF000000"/>
      <name val="Calibri"/>
      <family val="2"/>
    </font>
    <font>
      <b/>
      <sz val="10"/>
      <color rgb="FF000000"/>
      <name val="Calibri"/>
      <family val="2"/>
      <scheme val="minor"/>
    </font>
    <font>
      <sz val="10"/>
      <color rgb="FF000000"/>
      <name val="Calibri"/>
      <family val="2"/>
      <scheme val="minor"/>
    </font>
    <font>
      <sz val="10"/>
      <color rgb="FF008000"/>
      <name val="Calibri"/>
      <family val="2"/>
      <scheme val="minor"/>
    </font>
    <font>
      <i/>
      <sz val="10"/>
      <color rgb="FF000000"/>
      <name val="Calibri"/>
      <family val="2"/>
      <scheme val="minor"/>
    </font>
    <font>
      <sz val="10"/>
      <color theme="1"/>
      <name val="Calibri"/>
      <family val="2"/>
      <scheme val="minor"/>
    </font>
    <font>
      <i/>
      <sz val="10"/>
      <color theme="1"/>
      <name val="Calibri"/>
      <family val="2"/>
      <scheme val="minor"/>
    </font>
    <font>
      <sz val="10"/>
      <color rgb="FF0000FF"/>
      <name val="Calibri"/>
      <family val="2"/>
      <scheme val="minor"/>
    </font>
    <font>
      <sz val="10"/>
      <color rgb="FF008000"/>
      <name val="Calibri"/>
      <family val="2"/>
    </font>
    <font>
      <i/>
      <sz val="10"/>
      <color theme="1"/>
      <name val="Calibri (Body)"/>
    </font>
    <font>
      <b/>
      <i/>
      <sz val="10"/>
      <color rgb="FF000000"/>
      <name val="Calibri (Body)"/>
    </font>
    <font>
      <i/>
      <sz val="10"/>
      <color rgb="FF000000"/>
      <name val="Calibri (Body)"/>
    </font>
    <font>
      <b/>
      <sz val="10"/>
      <color rgb="FF000000"/>
      <name val="Calibri (Body)"/>
    </font>
    <font>
      <sz val="10"/>
      <color theme="1"/>
      <name val="Calibri (Body)"/>
    </font>
    <font>
      <sz val="10"/>
      <color rgb="FF000000"/>
      <name val="Calibri (Body)"/>
    </font>
    <font>
      <sz val="10"/>
      <color rgb="FF008000"/>
      <name val="Calibri (Body)"/>
    </font>
    <font>
      <sz val="10"/>
      <color rgb="FF0000FF"/>
      <name val="Calibri (Body)"/>
    </font>
    <font>
      <i/>
      <sz val="10"/>
      <color rgb="FF008000"/>
      <name val="Calibri (Body)"/>
    </font>
    <font>
      <b/>
      <sz val="12"/>
      <color rgb="FF000000"/>
      <name val="Calibri"/>
      <family val="2"/>
      <scheme val="minor"/>
    </font>
    <font>
      <i/>
      <sz val="10"/>
      <color rgb="FF888888"/>
      <name val="Calibri (Body)"/>
    </font>
    <font>
      <i/>
      <sz val="10"/>
      <color rgb="FF0000FF"/>
      <name val="Calibri (Body)"/>
    </font>
    <font>
      <sz val="10"/>
      <name val="Calibri (Body)"/>
    </font>
    <font>
      <b/>
      <sz val="10"/>
      <name val="Calibri (Body)"/>
    </font>
    <font>
      <b/>
      <sz val="12"/>
      <name val="Calibri"/>
      <family val="2"/>
      <scheme val="minor"/>
    </font>
    <font>
      <i/>
      <sz val="10"/>
      <color rgb="FF008000"/>
      <name val="Calibri"/>
      <family val="2"/>
    </font>
    <font>
      <b/>
      <i/>
      <sz val="10"/>
      <color rgb="FF000000"/>
      <name val="Calibri"/>
      <family val="2"/>
      <scheme val="minor"/>
    </font>
    <font>
      <i/>
      <sz val="10"/>
      <color rgb="FF555555"/>
      <name val="Calibri (Body)"/>
    </font>
    <font>
      <b/>
      <sz val="10"/>
      <color rgb="FF1F4E79"/>
      <name val="Calibri (Body)"/>
    </font>
    <font>
      <b/>
      <sz val="9"/>
      <color rgb="FFFFFFFF"/>
      <name val="Arial"/>
      <family val="2"/>
    </font>
    <font>
      <sz val="10"/>
      <color rgb="FF000000"/>
      <name val="Calibri"/>
      <family val="2"/>
    </font>
    <font>
      <sz val="10"/>
      <color rgb="FF008000"/>
      <name val="Calibri"/>
      <family val="2"/>
    </font>
    <font>
      <sz val="10"/>
      <color rgb="FF008000"/>
      <name val="Calibri"/>
      <family val="2"/>
    </font>
    <font>
      <sz val="10"/>
      <color rgb="FF000000"/>
      <name val="Calibri"/>
      <family val="2"/>
    </font>
    <font>
      <sz val="10"/>
      <color rgb="FF0000FF"/>
      <name val="Calibri"/>
      <family val="2"/>
    </font>
    <font>
      <b/>
      <sz val="10"/>
      <color rgb="FF0000FF"/>
      <name val="Calibri"/>
      <family val="2"/>
    </font>
    <font>
      <i/>
      <sz val="9"/>
      <color rgb="FF000000"/>
      <name val="Calibri"/>
      <family val="2"/>
    </font>
    <font>
      <b/>
      <sz val="10"/>
      <color theme="1"/>
      <name val="Calibri"/>
      <family val="2"/>
    </font>
    <font>
      <b/>
      <sz val="10"/>
      <color theme="0"/>
      <name val="Calibri"/>
      <family val="2"/>
    </font>
    <font>
      <b/>
      <sz val="11"/>
      <name val="Calibri"/>
      <family val="2"/>
      <scheme val="minor"/>
    </font>
    <font>
      <b/>
      <sz val="10"/>
      <color theme="1"/>
      <name val="Calibri (Body)"/>
    </font>
    <font>
      <sz val="10"/>
      <color theme="1"/>
      <name val="Calibri"/>
      <family val="2"/>
    </font>
    <font>
      <b/>
      <sz val="16"/>
      <color theme="1"/>
      <name val="Calibri"/>
      <family val="2"/>
      <scheme val="minor"/>
    </font>
    <font>
      <sz val="11"/>
      <color rgb="FF555555"/>
      <name val="Calibri"/>
      <family val="2"/>
      <scheme val="minor"/>
    </font>
    <font>
      <sz val="12"/>
      <color rgb="FF555555"/>
      <name val="Calibri"/>
      <family val="2"/>
      <scheme val="minor"/>
    </font>
    <font>
      <i/>
      <sz val="11"/>
      <color rgb="FF555555"/>
      <name val="Calibri"/>
      <family val="2"/>
      <scheme val="minor"/>
    </font>
    <font>
      <b/>
      <sz val="11"/>
      <color theme="1"/>
      <name val="Calibri"/>
      <family val="2"/>
      <scheme val="minor"/>
    </font>
    <font>
      <i/>
      <sz val="11"/>
      <color theme="1"/>
      <name val="Calibri"/>
      <family val="2"/>
      <scheme val="minor"/>
    </font>
    <font>
      <i/>
      <sz val="9"/>
      <color rgb="FF777777"/>
      <name val="Calibri"/>
      <family val="2"/>
      <scheme val="minor"/>
    </font>
    <font>
      <i/>
      <sz val="9"/>
      <color rgb="FF555555"/>
      <name val="Calibri"/>
      <family val="2"/>
      <scheme val="minor"/>
    </font>
    <font>
      <b/>
      <sz val="13"/>
      <color rgb="FFFFFFFF"/>
      <name val="Calibri"/>
      <family val="2"/>
      <scheme val="minor"/>
    </font>
    <font>
      <b/>
      <sz val="11"/>
      <color rgb="FF000000"/>
      <name val="Calibri"/>
      <family val="2"/>
      <scheme val="minor"/>
    </font>
    <font>
      <b/>
      <sz val="14"/>
      <color rgb="FFFFFFFF"/>
      <name val="Calibri"/>
      <family val="2"/>
      <scheme val="minor"/>
    </font>
    <font>
      <i/>
      <sz val="10"/>
      <color rgb="FF555555"/>
      <name val="Calibri"/>
      <family val="2"/>
      <scheme val="minor"/>
    </font>
    <font>
      <sz val="14"/>
      <color theme="1"/>
      <name val="Calibri"/>
      <family val="2"/>
      <scheme val="minor"/>
    </font>
    <font>
      <b/>
      <sz val="18"/>
      <color theme="1"/>
      <name val="Calibri"/>
      <family val="2"/>
      <scheme val="minor"/>
    </font>
    <font>
      <sz val="10"/>
      <color rgb="FF000000"/>
      <name val="Tahoma"/>
      <family val="2"/>
    </font>
    <font>
      <b/>
      <sz val="10"/>
      <color rgb="FF000000"/>
      <name val="Tahoma"/>
      <family val="2"/>
    </font>
    <font>
      <b/>
      <sz val="32"/>
      <color theme="1"/>
      <name val="Calibri"/>
      <family val="2"/>
      <scheme val="minor"/>
    </font>
    <font>
      <b/>
      <sz val="10"/>
      <color theme="1"/>
      <name val="Calibri"/>
      <family val="2"/>
      <scheme val="minor"/>
    </font>
    <font>
      <b/>
      <sz val="10"/>
      <color rgb="FF008000"/>
      <name val="Calibri"/>
      <family val="2"/>
    </font>
    <font>
      <b/>
      <i/>
      <sz val="10"/>
      <color rgb="FF333333"/>
      <name val="Calibri"/>
      <family val="2"/>
      <scheme val="minor"/>
    </font>
    <font>
      <b/>
      <sz val="10"/>
      <color rgb="FF008000"/>
      <name val="Calibri"/>
      <family val="2"/>
      <scheme val="minor"/>
    </font>
    <font>
      <i/>
      <sz val="10"/>
      <color rgb="FF777777"/>
      <name val="Calibri"/>
      <family val="2"/>
      <scheme val="minor"/>
    </font>
    <font>
      <b/>
      <i/>
      <sz val="10"/>
      <color theme="1"/>
      <name val="Calibri"/>
      <family val="2"/>
      <scheme val="minor"/>
    </font>
    <font>
      <i/>
      <sz val="10"/>
      <color rgb="FF008000"/>
      <name val="Calibri"/>
      <family val="2"/>
      <scheme val="minor"/>
    </font>
    <font>
      <b/>
      <i/>
      <sz val="12"/>
      <color rgb="FF1F3864"/>
      <name val="Calibri"/>
      <family val="2"/>
      <scheme val="minor"/>
    </font>
  </fonts>
  <fills count="15">
    <fill>
      <patternFill patternType="none"/>
    </fill>
    <fill>
      <patternFill patternType="gray125"/>
    </fill>
    <fill>
      <patternFill patternType="solid">
        <fgColor rgb="FFD6E4F0"/>
        <bgColor rgb="FFD6E4F0"/>
      </patternFill>
    </fill>
    <fill>
      <patternFill patternType="solid">
        <fgColor theme="4" tint="0.79998168889431442"/>
        <bgColor indexed="64"/>
      </patternFill>
    </fill>
    <fill>
      <patternFill patternType="solid">
        <fgColor theme="4" tint="0.79998168889431442"/>
        <bgColor rgb="FFFFF2CC"/>
      </patternFill>
    </fill>
    <fill>
      <patternFill patternType="darkGray">
        <fgColor rgb="FF0B1F3A"/>
        <bgColor theme="0" tint="-0.249977111117893"/>
      </patternFill>
    </fill>
    <fill>
      <patternFill patternType="solid">
        <fgColor theme="1" tint="0.499984740745262"/>
        <bgColor indexed="64"/>
      </patternFill>
    </fill>
    <fill>
      <patternFill patternType="solid">
        <fgColor rgb="FFFFF2CC"/>
        <bgColor indexed="64"/>
      </patternFill>
    </fill>
    <fill>
      <patternFill patternType="solid">
        <fgColor rgb="FFC00000"/>
        <bgColor indexed="64"/>
      </patternFill>
    </fill>
    <fill>
      <patternFill patternType="solid">
        <fgColor rgb="FF548235"/>
        <bgColor indexed="64"/>
      </patternFill>
    </fill>
    <fill>
      <patternFill patternType="solid">
        <fgColor rgb="FF2E75B6"/>
        <bgColor indexed="64"/>
      </patternFill>
    </fill>
    <fill>
      <patternFill patternType="solid">
        <fgColor rgb="FFD9E1F2"/>
        <bgColor indexed="64"/>
      </patternFill>
    </fill>
    <fill>
      <patternFill patternType="solid">
        <fgColor rgb="FFE2EFDA"/>
        <bgColor indexed="64"/>
      </patternFill>
    </fill>
    <fill>
      <patternFill patternType="solid">
        <fgColor rgb="FF808080"/>
        <bgColor indexed="64"/>
      </patternFill>
    </fill>
    <fill>
      <patternFill patternType="solid">
        <fgColor rgb="FFF2F2F2"/>
        <bgColor indexed="64"/>
      </patternFill>
    </fill>
  </fills>
  <borders count="24">
    <border>
      <left/>
      <right/>
      <top/>
      <bottom/>
      <diagonal/>
    </border>
    <border>
      <left/>
      <right/>
      <top/>
      <bottom style="medium">
        <color auto="1"/>
      </bottom>
      <diagonal/>
    </border>
    <border>
      <left/>
      <right/>
      <top/>
      <bottom style="medium">
        <color rgb="FF333333"/>
      </bottom>
      <diagonal/>
    </border>
    <border>
      <left/>
      <right/>
      <top style="thin">
        <color theme="0" tint="-4.9989318521683403E-2"/>
      </top>
      <bottom style="thin">
        <color theme="0" tint="-4.9989318521683403E-2"/>
      </bottom>
      <diagonal/>
    </border>
    <border>
      <left/>
      <right/>
      <top style="medium">
        <color theme="1"/>
      </top>
      <bottom style="thin">
        <color theme="0" tint="-4.9989318521683403E-2"/>
      </bottom>
      <diagonal/>
    </border>
    <border>
      <left/>
      <right/>
      <top style="medium">
        <color auto="1"/>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right/>
      <top/>
      <bottom style="thin">
        <color rgb="FFD9D9D9"/>
      </bottom>
      <diagonal/>
    </border>
    <border>
      <left/>
      <right/>
      <top style="medium">
        <color theme="1"/>
      </top>
      <bottom style="thin">
        <color rgb="FFD9D9D9"/>
      </bottom>
      <diagonal/>
    </border>
    <border>
      <left/>
      <right/>
      <top style="thin">
        <color theme="1"/>
      </top>
      <bottom style="thin">
        <color theme="0" tint="-4.9989318521683403E-2"/>
      </bottom>
      <diagonal/>
    </border>
    <border>
      <left/>
      <right/>
      <top style="thin">
        <color theme="1"/>
      </top>
      <bottom style="thin">
        <color theme="1"/>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style="thin">
        <color indexed="64"/>
      </top>
      <bottom/>
      <diagonal/>
    </border>
    <border>
      <left/>
      <right style="thin">
        <color auto="1"/>
      </right>
      <top style="thin">
        <color indexed="64"/>
      </top>
      <bottom/>
      <diagonal/>
    </border>
    <border>
      <left style="thin">
        <color auto="1"/>
      </left>
      <right/>
      <top/>
      <bottom style="thin">
        <color indexed="64"/>
      </bottom>
      <diagonal/>
    </border>
    <border>
      <left/>
      <right style="thin">
        <color auto="1"/>
      </right>
      <top/>
      <bottom style="thin">
        <color indexed="64"/>
      </bottom>
      <diagonal/>
    </border>
    <border>
      <left/>
      <right/>
      <top/>
      <bottom style="medium">
        <color theme="1"/>
      </bottom>
      <diagonal/>
    </border>
    <border>
      <left/>
      <right/>
      <top style="medium">
        <color rgb="FF1F3864"/>
      </top>
      <bottom/>
      <diagonal/>
    </border>
    <border>
      <left/>
      <right/>
      <top style="thin">
        <color rgb="FFE7E6E6"/>
      </top>
      <bottom style="thin">
        <color rgb="FFE7E6E6"/>
      </bottom>
      <diagonal/>
    </border>
    <border>
      <left/>
      <right/>
      <top style="thin">
        <color rgb="FFE7E6E6"/>
      </top>
      <bottom/>
      <diagonal/>
    </border>
  </borders>
  <cellStyleXfs count="3">
    <xf numFmtId="0" fontId="0" fillId="0" borderId="0"/>
    <xf numFmtId="43" fontId="1" fillId="0" borderId="0"/>
    <xf numFmtId="9" fontId="1" fillId="0" borderId="0" applyFont="0" applyFill="0" applyBorder="0" applyAlignment="0" applyProtection="0"/>
  </cellStyleXfs>
  <cellXfs count="297">
    <xf numFmtId="0" fontId="0" fillId="0" borderId="0" xfId="0"/>
    <xf numFmtId="0" fontId="3"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2" fillId="0" borderId="0" xfId="0" applyFont="1"/>
    <xf numFmtId="0" fontId="11" fillId="0" borderId="3" xfId="0" applyFont="1" applyBorder="1"/>
    <xf numFmtId="0" fontId="4" fillId="0" borderId="3" xfId="0" applyFont="1" applyBorder="1"/>
    <xf numFmtId="0" fontId="8" fillId="0" borderId="3" xfId="0" applyFont="1" applyBorder="1"/>
    <xf numFmtId="0" fontId="8" fillId="0" borderId="4" xfId="0" applyFont="1" applyBorder="1"/>
    <xf numFmtId="164" fontId="9" fillId="0" borderId="4" xfId="0" applyNumberFormat="1" applyFont="1" applyBorder="1"/>
    <xf numFmtId="164" fontId="13" fillId="0" borderId="3" xfId="0" applyNumberFormat="1" applyFont="1" applyBorder="1"/>
    <xf numFmtId="0" fontId="4" fillId="0" borderId="4" xfId="0" applyFont="1" applyBorder="1"/>
    <xf numFmtId="164" fontId="14" fillId="0" borderId="3" xfId="0" applyNumberFormat="1" applyFont="1" applyBorder="1"/>
    <xf numFmtId="0" fontId="2" fillId="0" borderId="3" xfId="0" applyFont="1" applyBorder="1"/>
    <xf numFmtId="164" fontId="3" fillId="3" borderId="0" xfId="0" applyNumberFormat="1" applyFont="1" applyFill="1" applyAlignment="1">
      <alignment horizontal="right"/>
    </xf>
    <xf numFmtId="164" fontId="3" fillId="4" borderId="0" xfId="0" applyNumberFormat="1" applyFont="1" applyFill="1" applyAlignment="1">
      <alignment horizontal="right"/>
    </xf>
    <xf numFmtId="0" fontId="3" fillId="2" borderId="2" xfId="0" applyFont="1" applyFill="1" applyBorder="1" applyAlignment="1">
      <alignment horizontal="right" vertical="center"/>
    </xf>
    <xf numFmtId="0" fontId="15" fillId="0" borderId="0" xfId="0" applyFont="1"/>
    <xf numFmtId="164" fontId="16" fillId="4" borderId="0" xfId="0" applyNumberFormat="1" applyFont="1" applyFill="1" applyAlignment="1">
      <alignment horizontal="center"/>
    </xf>
    <xf numFmtId="0" fontId="17" fillId="0" borderId="0" xfId="0" applyFont="1"/>
    <xf numFmtId="165" fontId="2" fillId="0" borderId="4" xfId="0" applyNumberFormat="1" applyFont="1" applyBorder="1"/>
    <xf numFmtId="165" fontId="2" fillId="0" borderId="3" xfId="0" applyNumberFormat="1" applyFont="1" applyBorder="1"/>
    <xf numFmtId="165" fontId="4" fillId="0" borderId="4" xfId="0" applyNumberFormat="1" applyFont="1" applyBorder="1"/>
    <xf numFmtId="0" fontId="18" fillId="0" borderId="0" xfId="0" applyFont="1"/>
    <xf numFmtId="0" fontId="19" fillId="0" borderId="0" xfId="0" applyFont="1"/>
    <xf numFmtId="164" fontId="19" fillId="0" borderId="0" xfId="0" applyNumberFormat="1" applyFont="1"/>
    <xf numFmtId="164" fontId="18" fillId="3" borderId="0" xfId="0" applyNumberFormat="1" applyFont="1" applyFill="1" applyAlignment="1">
      <alignment horizontal="right"/>
    </xf>
    <xf numFmtId="164" fontId="18" fillId="4" borderId="0" xfId="0" applyNumberFormat="1" applyFont="1" applyFill="1" applyAlignment="1">
      <alignment horizontal="right"/>
    </xf>
    <xf numFmtId="0" fontId="20" fillId="0" borderId="4" xfId="0" applyFont="1" applyBorder="1"/>
    <xf numFmtId="164" fontId="21" fillId="0" borderId="4" xfId="0" applyNumberFormat="1" applyFont="1" applyBorder="1"/>
    <xf numFmtId="0" fontId="17" fillId="0" borderId="3" xfId="0" applyFont="1" applyBorder="1"/>
    <xf numFmtId="164" fontId="15" fillId="0" borderId="3" xfId="0" applyNumberFormat="1" applyFont="1" applyBorder="1"/>
    <xf numFmtId="164" fontId="17" fillId="0" borderId="3" xfId="0" applyNumberFormat="1" applyFont="1" applyBorder="1"/>
    <xf numFmtId="164" fontId="22" fillId="0" borderId="4" xfId="0" applyNumberFormat="1" applyFont="1" applyBorder="1"/>
    <xf numFmtId="0" fontId="20" fillId="0" borderId="3" xfId="0" applyFont="1" applyBorder="1"/>
    <xf numFmtId="164" fontId="20" fillId="0" borderId="3" xfId="0" applyNumberFormat="1" applyFont="1" applyBorder="1"/>
    <xf numFmtId="164" fontId="22" fillId="0" borderId="3" xfId="0" applyNumberFormat="1" applyFont="1" applyBorder="1"/>
    <xf numFmtId="164" fontId="21" fillId="0" borderId="3" xfId="0" applyNumberFormat="1" applyFont="1" applyBorder="1"/>
    <xf numFmtId="164" fontId="20" fillId="0" borderId="4" xfId="0" applyNumberFormat="1" applyFont="1" applyBorder="1"/>
    <xf numFmtId="0" fontId="17" fillId="0" borderId="0" xfId="0" applyFont="1" applyAlignment="1">
      <alignment wrapText="1"/>
    </xf>
    <xf numFmtId="164" fontId="19" fillId="0" borderId="3" xfId="0" applyNumberFormat="1" applyFont="1" applyBorder="1"/>
    <xf numFmtId="164" fontId="23" fillId="0" borderId="3" xfId="0" applyNumberFormat="1" applyFont="1" applyBorder="1"/>
    <xf numFmtId="0" fontId="24" fillId="0" borderId="0" xfId="0" applyFont="1"/>
    <xf numFmtId="0" fontId="25" fillId="0" borderId="0" xfId="0" applyFont="1"/>
    <xf numFmtId="0" fontId="19" fillId="0" borderId="4" xfId="0" applyFont="1" applyBorder="1"/>
    <xf numFmtId="0" fontId="22" fillId="0" borderId="4" xfId="0" applyFont="1" applyBorder="1"/>
    <xf numFmtId="166" fontId="20" fillId="0" borderId="4" xfId="1" applyNumberFormat="1" applyFont="1" applyBorder="1"/>
    <xf numFmtId="0" fontId="15" fillId="0" borderId="3" xfId="0" applyFont="1" applyBorder="1"/>
    <xf numFmtId="164" fontId="26" fillId="0" borderId="3" xfId="0" applyNumberFormat="1" applyFont="1" applyBorder="1"/>
    <xf numFmtId="0" fontId="19" fillId="0" borderId="3" xfId="0" applyFont="1" applyBorder="1"/>
    <xf numFmtId="166" fontId="20" fillId="0" borderId="3" xfId="1" applyNumberFormat="1" applyFont="1" applyBorder="1"/>
    <xf numFmtId="166" fontId="17" fillId="0" borderId="3" xfId="1" applyNumberFormat="1" applyFont="1" applyBorder="1"/>
    <xf numFmtId="0" fontId="18" fillId="0" borderId="4" xfId="0" applyFont="1" applyBorder="1"/>
    <xf numFmtId="164" fontId="18" fillId="0" borderId="4" xfId="0" applyNumberFormat="1" applyFont="1" applyBorder="1"/>
    <xf numFmtId="167" fontId="22" fillId="0" borderId="4" xfId="1" applyNumberFormat="1" applyFont="1" applyBorder="1"/>
    <xf numFmtId="167" fontId="20" fillId="0" borderId="4" xfId="1" applyNumberFormat="1" applyFont="1" applyBorder="1"/>
    <xf numFmtId="167" fontId="20" fillId="0" borderId="3" xfId="1" applyNumberFormat="1" applyFont="1" applyBorder="1"/>
    <xf numFmtId="167" fontId="22" fillId="0" borderId="3" xfId="1" applyNumberFormat="1" applyFont="1" applyBorder="1"/>
    <xf numFmtId="166" fontId="15" fillId="0" borderId="3" xfId="1" applyNumberFormat="1" applyFont="1" applyBorder="1"/>
    <xf numFmtId="0" fontId="19" fillId="3" borderId="0" xfId="0" applyFont="1" applyFill="1"/>
    <xf numFmtId="0" fontId="22" fillId="0" borderId="3" xfId="0" applyFont="1" applyBorder="1"/>
    <xf numFmtId="0" fontId="18" fillId="3" borderId="0" xfId="0" applyFont="1" applyFill="1" applyAlignment="1">
      <alignment horizontal="right"/>
    </xf>
    <xf numFmtId="0" fontId="18" fillId="4" borderId="0" xfId="0" applyFont="1" applyFill="1" applyAlignment="1">
      <alignment horizontal="right"/>
    </xf>
    <xf numFmtId="3" fontId="21" fillId="0" borderId="3" xfId="0" applyNumberFormat="1" applyFont="1" applyBorder="1"/>
    <xf numFmtId="0" fontId="20" fillId="0" borderId="0" xfId="0" applyFont="1"/>
    <xf numFmtId="0" fontId="17" fillId="0" borderId="4" xfId="0" applyFont="1" applyBorder="1"/>
    <xf numFmtId="0" fontId="26" fillId="0" borderId="4" xfId="0" applyFont="1" applyBorder="1"/>
    <xf numFmtId="166" fontId="19" fillId="0" borderId="3" xfId="1" applyNumberFormat="1" applyFont="1" applyBorder="1"/>
    <xf numFmtId="164" fontId="23" fillId="0" borderId="4" xfId="0" applyNumberFormat="1" applyFont="1" applyBorder="1"/>
    <xf numFmtId="1" fontId="15" fillId="0" borderId="0" xfId="0" applyNumberFormat="1" applyFont="1"/>
    <xf numFmtId="1" fontId="19" fillId="0" borderId="4" xfId="0" applyNumberFormat="1" applyFont="1" applyBorder="1"/>
    <xf numFmtId="1" fontId="21" fillId="0" borderId="4" xfId="0" applyNumberFormat="1" applyFont="1" applyBorder="1"/>
    <xf numFmtId="1" fontId="22" fillId="0" borderId="4" xfId="0" applyNumberFormat="1" applyFont="1" applyBorder="1"/>
    <xf numFmtId="0" fontId="20" fillId="0" borderId="1" xfId="0" applyFont="1" applyBorder="1"/>
    <xf numFmtId="0" fontId="19" fillId="0" borderId="1" xfId="0" applyFont="1" applyBorder="1"/>
    <xf numFmtId="0" fontId="27" fillId="0" borderId="0" xfId="0" applyFont="1"/>
    <xf numFmtId="0" fontId="28" fillId="3" borderId="0" xfId="0" applyFont="1" applyFill="1"/>
    <xf numFmtId="0" fontId="28" fillId="0" borderId="3" xfId="0" applyFont="1" applyBorder="1" applyAlignment="1">
      <alignment horizontal="left"/>
    </xf>
    <xf numFmtId="0" fontId="27" fillId="0" borderId="3" xfId="0" applyFont="1" applyBorder="1"/>
    <xf numFmtId="0" fontId="29" fillId="0" borderId="0" xfId="0" applyFont="1"/>
    <xf numFmtId="0" fontId="4" fillId="0" borderId="5" xfId="0" applyFont="1" applyBorder="1"/>
    <xf numFmtId="164" fontId="14" fillId="0" borderId="5" xfId="0" applyNumberFormat="1" applyFont="1" applyBorder="1"/>
    <xf numFmtId="164" fontId="2" fillId="0" borderId="3" xfId="0" applyNumberFormat="1" applyFont="1" applyBorder="1"/>
    <xf numFmtId="164" fontId="4" fillId="0" borderId="3" xfId="0" applyNumberFormat="1" applyFont="1" applyBorder="1"/>
    <xf numFmtId="164" fontId="2" fillId="0" borderId="5" xfId="0" applyNumberFormat="1" applyFont="1" applyBorder="1"/>
    <xf numFmtId="0" fontId="14" fillId="0" borderId="5" xfId="0" applyFont="1" applyBorder="1"/>
    <xf numFmtId="164" fontId="4" fillId="0" borderId="5" xfId="0" applyNumberFormat="1" applyFont="1" applyBorder="1"/>
    <xf numFmtId="164" fontId="11" fillId="0" borderId="0" xfId="0" applyNumberFormat="1" applyFont="1"/>
    <xf numFmtId="0" fontId="4" fillId="0" borderId="6" xfId="0" applyFont="1" applyBorder="1"/>
    <xf numFmtId="164" fontId="4" fillId="0" borderId="6" xfId="0" applyNumberFormat="1" applyFont="1" applyBorder="1"/>
    <xf numFmtId="0" fontId="5" fillId="0" borderId="7" xfId="0" applyFont="1" applyBorder="1"/>
    <xf numFmtId="164" fontId="30" fillId="0" borderId="7" xfId="0" applyNumberFormat="1" applyFont="1" applyBorder="1"/>
    <xf numFmtId="0" fontId="11" fillId="0" borderId="4" xfId="0" applyFont="1" applyBorder="1"/>
    <xf numFmtId="0" fontId="9" fillId="0" borderId="3" xfId="0" applyFont="1" applyBorder="1"/>
    <xf numFmtId="0" fontId="31" fillId="0" borderId="0" xfId="0" applyFont="1"/>
    <xf numFmtId="0" fontId="8" fillId="0" borderId="0" xfId="0" applyFont="1"/>
    <xf numFmtId="0" fontId="32" fillId="0" borderId="0" xfId="0" applyFont="1"/>
    <xf numFmtId="0" fontId="33" fillId="0" borderId="0" xfId="0" applyFont="1"/>
    <xf numFmtId="0" fontId="27" fillId="0" borderId="5" xfId="0" applyFont="1" applyBorder="1"/>
    <xf numFmtId="165" fontId="19" fillId="0" borderId="3" xfId="0" applyNumberFormat="1" applyFont="1" applyBorder="1"/>
    <xf numFmtId="165" fontId="11" fillId="0" borderId="0" xfId="0" applyNumberFormat="1" applyFont="1"/>
    <xf numFmtId="165" fontId="14" fillId="0" borderId="3" xfId="0" applyNumberFormat="1" applyFont="1" applyBorder="1"/>
    <xf numFmtId="165" fontId="4" fillId="0" borderId="3" xfId="0" applyNumberFormat="1" applyFont="1" applyBorder="1"/>
    <xf numFmtId="165" fontId="14" fillId="0" borderId="4" xfId="0" applyNumberFormat="1" applyFont="1" applyBorder="1"/>
    <xf numFmtId="165" fontId="11" fillId="0" borderId="3" xfId="0" applyNumberFormat="1" applyFont="1" applyBorder="1"/>
    <xf numFmtId="0" fontId="17" fillId="0" borderId="3" xfId="0" applyFont="1" applyBorder="1" applyAlignment="1">
      <alignment horizontal="left" indent="1"/>
    </xf>
    <xf numFmtId="164" fontId="8" fillId="0" borderId="3" xfId="0" applyNumberFormat="1" applyFont="1" applyBorder="1"/>
    <xf numFmtId="0" fontId="34" fillId="5" borderId="8" xfId="0" applyFont="1" applyFill="1" applyBorder="1" applyAlignment="1">
      <alignment vertical="center"/>
    </xf>
    <xf numFmtId="0" fontId="34" fillId="5" borderId="9" xfId="0" applyFont="1" applyFill="1" applyBorder="1" applyAlignment="1">
      <alignment vertical="center"/>
    </xf>
    <xf numFmtId="164" fontId="35" fillId="0" borderId="4" xfId="0" applyNumberFormat="1" applyFont="1" applyBorder="1"/>
    <xf numFmtId="0" fontId="36" fillId="0" borderId="0" xfId="0" applyFont="1"/>
    <xf numFmtId="0" fontId="3" fillId="3" borderId="0" xfId="0" applyFont="1" applyFill="1"/>
    <xf numFmtId="0" fontId="37" fillId="0" borderId="4" xfId="0" applyFont="1" applyBorder="1"/>
    <xf numFmtId="0" fontId="37" fillId="0" borderId="3" xfId="0" applyFont="1" applyBorder="1"/>
    <xf numFmtId="0" fontId="38" fillId="0" borderId="0" xfId="0" applyFont="1"/>
    <xf numFmtId="0" fontId="38" fillId="0" borderId="3" xfId="0" applyFont="1" applyBorder="1"/>
    <xf numFmtId="0" fontId="39" fillId="0" borderId="3" xfId="0" applyFont="1" applyBorder="1"/>
    <xf numFmtId="0" fontId="39" fillId="0" borderId="0" xfId="0" applyFont="1"/>
    <xf numFmtId="164" fontId="38" fillId="0" borderId="3" xfId="0" applyNumberFormat="1" applyFont="1" applyBorder="1"/>
    <xf numFmtId="164" fontId="37" fillId="0" borderId="3" xfId="0" applyNumberFormat="1" applyFont="1" applyBorder="1"/>
    <xf numFmtId="166" fontId="37" fillId="0" borderId="3" xfId="1" applyNumberFormat="1" applyFont="1" applyBorder="1"/>
    <xf numFmtId="168" fontId="39" fillId="0" borderId="3" xfId="0" applyNumberFormat="1" applyFont="1" applyBorder="1"/>
    <xf numFmtId="0" fontId="42" fillId="3" borderId="3" xfId="0" applyFont="1" applyFill="1" applyBorder="1" applyAlignment="1">
      <alignment horizontal="right"/>
    </xf>
    <xf numFmtId="0" fontId="38" fillId="0" borderId="6" xfId="0" applyFont="1" applyBorder="1"/>
    <xf numFmtId="0" fontId="41" fillId="0" borderId="0" xfId="0" applyFont="1"/>
    <xf numFmtId="0" fontId="39" fillId="0" borderId="6" xfId="0" applyFont="1" applyBorder="1"/>
    <xf numFmtId="0" fontId="42" fillId="3" borderId="6" xfId="0" applyFont="1" applyFill="1" applyBorder="1" applyAlignment="1">
      <alignment horizontal="right"/>
    </xf>
    <xf numFmtId="0" fontId="43" fillId="6" borderId="11" xfId="0" applyFont="1" applyFill="1" applyBorder="1" applyAlignment="1">
      <alignment horizontal="left"/>
    </xf>
    <xf numFmtId="0" fontId="43" fillId="6" borderId="11" xfId="0" applyFont="1" applyFill="1" applyBorder="1" applyAlignment="1">
      <alignment horizontal="right"/>
    </xf>
    <xf numFmtId="0" fontId="3" fillId="3" borderId="11" xfId="0" applyFont="1" applyFill="1" applyBorder="1" applyAlignment="1">
      <alignment horizontal="right"/>
    </xf>
    <xf numFmtId="0" fontId="40" fillId="0" borderId="0" xfId="0" applyFont="1" applyAlignment="1">
      <alignment horizontal="right"/>
    </xf>
    <xf numFmtId="0" fontId="2" fillId="0" borderId="3" xfId="0" applyFont="1" applyBorder="1" applyAlignment="1">
      <alignment horizontal="right"/>
    </xf>
    <xf numFmtId="164" fontId="39" fillId="0" borderId="3" xfId="0" applyNumberFormat="1" applyFont="1" applyBorder="1"/>
    <xf numFmtId="165" fontId="37" fillId="0" borderId="3" xfId="0" applyNumberFormat="1" applyFont="1" applyBorder="1"/>
    <xf numFmtId="165" fontId="8" fillId="0" borderId="3" xfId="0" applyNumberFormat="1" applyFont="1" applyBorder="1"/>
    <xf numFmtId="165" fontId="9" fillId="0" borderId="3" xfId="0" applyNumberFormat="1" applyFont="1" applyBorder="1"/>
    <xf numFmtId="165" fontId="13" fillId="0" borderId="3" xfId="0" applyNumberFormat="1" applyFont="1" applyBorder="1"/>
    <xf numFmtId="165" fontId="7" fillId="0" borderId="3" xfId="0" applyNumberFormat="1" applyFont="1" applyBorder="1"/>
    <xf numFmtId="165" fontId="8" fillId="0" borderId="4" xfId="0" applyNumberFormat="1" applyFont="1" applyBorder="1"/>
    <xf numFmtId="0" fontId="31" fillId="0" borderId="4" xfId="0" applyFont="1" applyBorder="1"/>
    <xf numFmtId="0" fontId="44" fillId="0" borderId="0" xfId="0" applyFont="1"/>
    <xf numFmtId="165" fontId="28" fillId="3" borderId="11" xfId="0" applyNumberFormat="1" applyFont="1" applyFill="1" applyBorder="1" applyAlignment="1">
      <alignment horizontal="left"/>
    </xf>
    <xf numFmtId="164" fontId="19" fillId="0" borderId="6" xfId="0" applyNumberFormat="1" applyFont="1" applyBorder="1" applyAlignment="1">
      <alignment horizontal="right"/>
    </xf>
    <xf numFmtId="164" fontId="19" fillId="0" borderId="3" xfId="0" applyNumberFormat="1" applyFont="1" applyBorder="1" applyAlignment="1">
      <alignment horizontal="right"/>
    </xf>
    <xf numFmtId="170" fontId="28" fillId="3" borderId="11" xfId="2" applyNumberFormat="1" applyFont="1" applyFill="1" applyBorder="1" applyAlignment="1">
      <alignment horizontal="right"/>
    </xf>
    <xf numFmtId="168" fontId="28" fillId="0" borderId="10" xfId="0" applyNumberFormat="1" applyFont="1" applyBorder="1" applyAlignment="1">
      <alignment horizontal="left"/>
    </xf>
    <xf numFmtId="168" fontId="28" fillId="0" borderId="3" xfId="0" applyNumberFormat="1" applyFont="1" applyBorder="1" applyAlignment="1">
      <alignment horizontal="left"/>
    </xf>
    <xf numFmtId="169" fontId="28" fillId="0" borderId="6" xfId="2" applyNumberFormat="1" applyFont="1" applyBorder="1" applyAlignment="1">
      <alignment horizontal="left"/>
    </xf>
    <xf numFmtId="169" fontId="28" fillId="0" borderId="3" xfId="2" applyNumberFormat="1" applyFont="1" applyBorder="1" applyAlignment="1">
      <alignment horizontal="left"/>
    </xf>
    <xf numFmtId="165" fontId="19" fillId="0" borderId="10" xfId="0" applyNumberFormat="1" applyFont="1" applyBorder="1"/>
    <xf numFmtId="165" fontId="18" fillId="2" borderId="11" xfId="0" applyNumberFormat="1" applyFont="1" applyFill="1" applyBorder="1"/>
    <xf numFmtId="165" fontId="18" fillId="2" borderId="11" xfId="0" applyNumberFormat="1" applyFont="1" applyFill="1" applyBorder="1" applyAlignment="1">
      <alignment horizontal="right"/>
    </xf>
    <xf numFmtId="165" fontId="18" fillId="2" borderId="11" xfId="0" applyNumberFormat="1" applyFont="1" applyFill="1" applyBorder="1" applyAlignment="1">
      <alignment horizontal="left"/>
    </xf>
    <xf numFmtId="165" fontId="19" fillId="0" borderId="10" xfId="0" applyNumberFormat="1" applyFont="1" applyBorder="1" applyAlignment="1">
      <alignment horizontal="right"/>
    </xf>
    <xf numFmtId="165" fontId="19" fillId="0" borderId="3" xfId="0" applyNumberFormat="1" applyFont="1" applyBorder="1" applyAlignment="1">
      <alignment horizontal="right"/>
    </xf>
    <xf numFmtId="165" fontId="46" fillId="0" borderId="3" xfId="0" applyNumberFormat="1" applyFont="1" applyBorder="1"/>
    <xf numFmtId="168" fontId="19" fillId="0" borderId="0" xfId="0" applyNumberFormat="1" applyFont="1"/>
    <xf numFmtId="168" fontId="18" fillId="2" borderId="11" xfId="0" applyNumberFormat="1" applyFont="1" applyFill="1" applyBorder="1" applyAlignment="1">
      <alignment horizontal="right"/>
    </xf>
    <xf numFmtId="168" fontId="19" fillId="0" borderId="10" xfId="0" applyNumberFormat="1" applyFont="1" applyBorder="1" applyAlignment="1">
      <alignment horizontal="right"/>
    </xf>
    <xf numFmtId="168" fontId="19" fillId="0" borderId="3" xfId="0" applyNumberFormat="1" applyFont="1" applyBorder="1" applyAlignment="1">
      <alignment horizontal="right"/>
    </xf>
    <xf numFmtId="169" fontId="19" fillId="0" borderId="10" xfId="0" applyNumberFormat="1" applyFont="1" applyBorder="1" applyAlignment="1">
      <alignment horizontal="right"/>
    </xf>
    <xf numFmtId="169" fontId="19" fillId="0" borderId="3" xfId="0" applyNumberFormat="1" applyFont="1" applyBorder="1" applyAlignment="1">
      <alignment horizontal="right"/>
    </xf>
    <xf numFmtId="165" fontId="42" fillId="0" borderId="3" xfId="0" applyNumberFormat="1" applyFont="1" applyBorder="1"/>
    <xf numFmtId="165" fontId="45" fillId="0" borderId="3" xfId="0" applyNumberFormat="1" applyFont="1" applyBorder="1" applyAlignment="1">
      <alignment horizontal="right"/>
    </xf>
    <xf numFmtId="169" fontId="45" fillId="0" borderId="3" xfId="0" applyNumberFormat="1" applyFont="1" applyBorder="1" applyAlignment="1">
      <alignment horizontal="right"/>
    </xf>
    <xf numFmtId="168" fontId="45" fillId="0" borderId="3" xfId="0" applyNumberFormat="1" applyFont="1" applyBorder="1" applyAlignment="1">
      <alignment horizontal="right"/>
    </xf>
    <xf numFmtId="0" fontId="20" fillId="0" borderId="10" xfId="0" applyFont="1" applyBorder="1"/>
    <xf numFmtId="164" fontId="20" fillId="0" borderId="10" xfId="0" applyNumberFormat="1" applyFont="1" applyBorder="1"/>
    <xf numFmtId="0" fontId="45" fillId="0" borderId="0" xfId="0" applyFont="1"/>
    <xf numFmtId="0" fontId="28" fillId="0" borderId="0" xfId="0" applyFont="1" applyAlignment="1">
      <alignment horizontal="left"/>
    </xf>
    <xf numFmtId="164" fontId="46" fillId="0" borderId="3" xfId="0" applyNumberFormat="1" applyFont="1" applyBorder="1"/>
    <xf numFmtId="1" fontId="5" fillId="0" borderId="0" xfId="0" applyNumberFormat="1" applyFont="1" applyAlignment="1">
      <alignment horizontal="right"/>
    </xf>
    <xf numFmtId="0" fontId="47" fillId="0" borderId="0" xfId="0" applyFont="1"/>
    <xf numFmtId="0" fontId="48" fillId="0" borderId="0" xfId="0" applyFont="1"/>
    <xf numFmtId="0" fontId="49" fillId="0" borderId="0" xfId="0" applyFont="1"/>
    <xf numFmtId="0" fontId="50" fillId="0" borderId="0" xfId="0" applyFont="1"/>
    <xf numFmtId="0" fontId="51" fillId="0" borderId="0" xfId="0" applyFont="1"/>
    <xf numFmtId="0" fontId="51" fillId="7" borderId="0" xfId="0" applyFont="1" applyFill="1"/>
    <xf numFmtId="171" fontId="51" fillId="7" borderId="0" xfId="0" applyNumberFormat="1" applyFont="1" applyFill="1"/>
    <xf numFmtId="0" fontId="51" fillId="11" borderId="0" xfId="0" applyFont="1" applyFill="1"/>
    <xf numFmtId="176" fontId="0" fillId="0" borderId="0" xfId="0" applyNumberFormat="1"/>
    <xf numFmtId="169" fontId="0" fillId="0" borderId="0" xfId="0" applyNumberFormat="1"/>
    <xf numFmtId="0" fontId="52" fillId="0" borderId="0" xfId="0" applyFont="1"/>
    <xf numFmtId="0" fontId="53" fillId="0" borderId="0" xfId="0" applyFont="1"/>
    <xf numFmtId="0" fontId="54" fillId="0" borderId="0" xfId="0" applyFont="1"/>
    <xf numFmtId="0" fontId="55" fillId="8" borderId="0" xfId="0" applyFont="1" applyFill="1"/>
    <xf numFmtId="0" fontId="51" fillId="11" borderId="0" xfId="0" applyFont="1" applyFill="1" applyAlignment="1">
      <alignment horizontal="center"/>
    </xf>
    <xf numFmtId="169" fontId="48" fillId="0" borderId="0" xfId="0" applyNumberFormat="1" applyFont="1"/>
    <xf numFmtId="169" fontId="51" fillId="0" borderId="0" xfId="0" applyNumberFormat="1" applyFont="1"/>
    <xf numFmtId="176" fontId="51" fillId="0" borderId="0" xfId="0" applyNumberFormat="1" applyFont="1"/>
    <xf numFmtId="0" fontId="51" fillId="12" borderId="0" xfId="0" applyFont="1" applyFill="1"/>
    <xf numFmtId="176" fontId="51" fillId="12" borderId="0" xfId="0" applyNumberFormat="1" applyFont="1" applyFill="1"/>
    <xf numFmtId="177" fontId="0" fillId="0" borderId="0" xfId="0" applyNumberFormat="1"/>
    <xf numFmtId="0" fontId="55" fillId="9" borderId="0" xfId="0" applyFont="1" applyFill="1"/>
    <xf numFmtId="0" fontId="55" fillId="10" borderId="0" xfId="0" applyFont="1" applyFill="1"/>
    <xf numFmtId="0" fontId="56" fillId="0" borderId="0" xfId="0" applyFont="1"/>
    <xf numFmtId="0" fontId="58" fillId="0" borderId="0" xfId="0" applyFont="1"/>
    <xf numFmtId="0" fontId="51" fillId="3" borderId="0" xfId="0" applyFont="1" applyFill="1"/>
    <xf numFmtId="0" fontId="59" fillId="0" borderId="0" xfId="0" applyFont="1"/>
    <xf numFmtId="0" fontId="60" fillId="0" borderId="0" xfId="0" applyFont="1"/>
    <xf numFmtId="0" fontId="0" fillId="0" borderId="0" xfId="0" applyFill="1"/>
    <xf numFmtId="0" fontId="0" fillId="0" borderId="0" xfId="0" applyBorder="1"/>
    <xf numFmtId="174" fontId="19" fillId="0" borderId="0" xfId="0" applyNumberFormat="1" applyFont="1"/>
    <xf numFmtId="174" fontId="22" fillId="0" borderId="0" xfId="0" applyNumberFormat="1" applyFont="1"/>
    <xf numFmtId="174" fontId="15" fillId="0" borderId="0" xfId="0" applyNumberFormat="1" applyFont="1"/>
    <xf numFmtId="0" fontId="63" fillId="0" borderId="0" xfId="0" applyFont="1"/>
    <xf numFmtId="0" fontId="0" fillId="0" borderId="0" xfId="0" applyFont="1"/>
    <xf numFmtId="0" fontId="0" fillId="0" borderId="21" xfId="0" applyFont="1" applyBorder="1"/>
    <xf numFmtId="0" fontId="28" fillId="0" borderId="0" xfId="0" applyFont="1" applyBorder="1"/>
    <xf numFmtId="0" fontId="27" fillId="0" borderId="0" xfId="0" applyFont="1" applyBorder="1"/>
    <xf numFmtId="0" fontId="11" fillId="3" borderId="0" xfId="0" applyFont="1" applyFill="1"/>
    <xf numFmtId="0" fontId="11" fillId="0" borderId="0" xfId="0" applyFont="1" applyBorder="1"/>
    <xf numFmtId="171" fontId="11" fillId="0" borderId="0" xfId="0" applyNumberFormat="1" applyFont="1" applyBorder="1" applyAlignment="1">
      <alignment horizontal="left"/>
    </xf>
    <xf numFmtId="0" fontId="11" fillId="0" borderId="23" xfId="0" applyFont="1" applyBorder="1"/>
    <xf numFmtId="171" fontId="11" fillId="0" borderId="23" xfId="0" applyNumberFormat="1" applyFont="1" applyBorder="1" applyAlignment="1">
      <alignment horizontal="left"/>
    </xf>
    <xf numFmtId="0" fontId="11" fillId="0" borderId="22" xfId="0" applyFont="1" applyBorder="1"/>
    <xf numFmtId="171" fontId="11" fillId="0" borderId="22" xfId="0" applyNumberFormat="1" applyFont="1" applyBorder="1" applyAlignment="1">
      <alignment horizontal="left"/>
    </xf>
    <xf numFmtId="169" fontId="11" fillId="0" borderId="23" xfId="0" applyNumberFormat="1" applyFont="1" applyBorder="1" applyAlignment="1">
      <alignment horizontal="left"/>
    </xf>
    <xf numFmtId="173" fontId="11" fillId="0" borderId="23" xfId="0" applyNumberFormat="1" applyFont="1" applyBorder="1" applyAlignment="1">
      <alignment horizontal="left"/>
    </xf>
    <xf numFmtId="181" fontId="11" fillId="0" borderId="23" xfId="0" applyNumberFormat="1" applyFont="1" applyBorder="1" applyAlignment="1">
      <alignment horizontal="left"/>
    </xf>
    <xf numFmtId="164" fontId="11" fillId="0" borderId="22" xfId="0" applyNumberFormat="1" applyFont="1" applyBorder="1" applyAlignment="1">
      <alignment horizontal="left"/>
    </xf>
    <xf numFmtId="0" fontId="64" fillId="0" borderId="0" xfId="0" applyFont="1"/>
    <xf numFmtId="0" fontId="44" fillId="3" borderId="0" xfId="0" applyFont="1" applyFill="1"/>
    <xf numFmtId="0" fontId="11" fillId="0" borderId="6" xfId="0" applyFont="1" applyBorder="1"/>
    <xf numFmtId="176" fontId="2" fillId="0" borderId="6" xfId="0" applyNumberFormat="1" applyFont="1" applyBorder="1"/>
    <xf numFmtId="176" fontId="4" fillId="0" borderId="6" xfId="0" applyNumberFormat="1" applyFont="1" applyBorder="1"/>
    <xf numFmtId="176" fontId="2" fillId="0" borderId="4" xfId="0" applyNumberFormat="1" applyFont="1" applyBorder="1"/>
    <xf numFmtId="176" fontId="3" fillId="0" borderId="3" xfId="0" applyNumberFormat="1" applyFont="1" applyBorder="1"/>
    <xf numFmtId="176" fontId="40" fillId="0" borderId="3" xfId="0" applyNumberFormat="1" applyFont="1" applyBorder="1"/>
    <xf numFmtId="43" fontId="1" fillId="0" borderId="0" xfId="1"/>
    <xf numFmtId="177" fontId="20" fillId="0" borderId="3" xfId="0" applyNumberFormat="1" applyFont="1" applyBorder="1"/>
    <xf numFmtId="182" fontId="14" fillId="0" borderId="3" xfId="0" applyNumberFormat="1" applyFont="1" applyBorder="1"/>
    <xf numFmtId="177" fontId="9" fillId="0" borderId="3" xfId="0" applyNumberFormat="1" applyFont="1" applyBorder="1"/>
    <xf numFmtId="177" fontId="65" fillId="0" borderId="3" xfId="0" applyNumberFormat="1" applyFont="1" applyBorder="1"/>
    <xf numFmtId="10" fontId="9" fillId="0" borderId="0" xfId="0" applyNumberFormat="1" applyFont="1" applyBorder="1" applyAlignment="1">
      <alignment horizontal="left"/>
    </xf>
    <xf numFmtId="182" fontId="22" fillId="0" borderId="3" xfId="0" applyNumberFormat="1" applyFont="1" applyBorder="1"/>
    <xf numFmtId="0" fontId="53" fillId="0" borderId="23" xfId="0" applyFont="1" applyBorder="1" applyAlignment="1">
      <alignment horizontal="left" wrapText="1"/>
    </xf>
    <xf numFmtId="0" fontId="11" fillId="0" borderId="0" xfId="0" applyFont="1" applyFill="1"/>
    <xf numFmtId="0" fontId="66" fillId="14" borderId="16" xfId="0" applyFont="1" applyFill="1" applyBorder="1" applyAlignment="1">
      <alignment vertical="center"/>
    </xf>
    <xf numFmtId="0" fontId="11" fillId="14" borderId="12" xfId="0" applyFont="1" applyFill="1" applyBorder="1" applyAlignment="1">
      <alignment horizontal="left" vertical="center" wrapText="1"/>
    </xf>
    <xf numFmtId="0" fontId="11" fillId="14" borderId="17" xfId="0" applyFont="1" applyFill="1" applyBorder="1" applyAlignment="1">
      <alignment horizontal="left" vertical="center" wrapText="1"/>
    </xf>
    <xf numFmtId="0" fontId="66" fillId="14" borderId="14" xfId="0" applyFont="1" applyFill="1" applyBorder="1" applyAlignment="1">
      <alignment vertical="center"/>
    </xf>
    <xf numFmtId="0" fontId="11" fillId="14" borderId="0" xfId="0" applyFont="1" applyFill="1" applyBorder="1" applyAlignment="1">
      <alignment horizontal="left" vertical="center" wrapText="1"/>
    </xf>
    <xf numFmtId="0" fontId="11" fillId="14" borderId="15" xfId="0" applyFont="1" applyFill="1" applyBorder="1" applyAlignment="1">
      <alignment horizontal="left" vertical="center" wrapText="1"/>
    </xf>
    <xf numFmtId="0" fontId="66" fillId="14" borderId="18" xfId="0" applyFont="1" applyFill="1" applyBorder="1" applyAlignment="1">
      <alignment vertical="center"/>
    </xf>
    <xf numFmtId="0" fontId="11" fillId="14" borderId="13" xfId="0" applyFont="1" applyFill="1" applyBorder="1" applyAlignment="1">
      <alignment horizontal="left" vertical="center" wrapText="1"/>
    </xf>
    <xf numFmtId="0" fontId="11" fillId="14" borderId="19" xfId="0" applyFont="1" applyFill="1" applyBorder="1" applyAlignment="1">
      <alignment horizontal="left" vertical="center" wrapText="1"/>
    </xf>
    <xf numFmtId="0" fontId="64" fillId="0" borderId="0" xfId="0" applyFont="1" applyBorder="1"/>
    <xf numFmtId="171" fontId="67" fillId="7" borderId="0" xfId="0" applyNumberFormat="1" applyFont="1" applyFill="1" applyAlignment="1">
      <alignment horizontal="center"/>
    </xf>
    <xf numFmtId="0" fontId="68" fillId="0" borderId="0" xfId="0" applyFont="1"/>
    <xf numFmtId="0" fontId="11" fillId="0" borderId="0" xfId="0" applyFont="1" applyFill="1" applyBorder="1"/>
    <xf numFmtId="0" fontId="64" fillId="3" borderId="0" xfId="0" applyFont="1" applyFill="1" applyBorder="1" applyAlignment="1">
      <alignment horizontal="left"/>
    </xf>
    <xf numFmtId="0" fontId="64" fillId="3" borderId="0" xfId="0" applyFont="1" applyFill="1" applyBorder="1" applyAlignment="1">
      <alignment horizontal="right"/>
    </xf>
    <xf numFmtId="0" fontId="64" fillId="0" borderId="0" xfId="0" applyFont="1" applyFill="1" applyBorder="1" applyAlignment="1">
      <alignment horizontal="center"/>
    </xf>
    <xf numFmtId="0" fontId="69" fillId="3" borderId="0" xfId="0" applyFont="1" applyFill="1" applyBorder="1" applyAlignment="1">
      <alignment horizontal="center"/>
    </xf>
    <xf numFmtId="0" fontId="11" fillId="0" borderId="0" xfId="0" applyFont="1" applyBorder="1" applyAlignment="1">
      <alignment horizontal="right"/>
    </xf>
    <xf numFmtId="0" fontId="11" fillId="0" borderId="0" xfId="0" applyFont="1" applyAlignment="1">
      <alignment horizontal="right"/>
    </xf>
    <xf numFmtId="0" fontId="11" fillId="0" borderId="0" xfId="0" applyFont="1" applyFill="1" applyBorder="1" applyAlignment="1">
      <alignment horizontal="right"/>
    </xf>
    <xf numFmtId="0" fontId="11" fillId="0" borderId="0" xfId="0" applyFont="1" applyBorder="1" applyAlignment="1">
      <alignment horizontal="center"/>
    </xf>
    <xf numFmtId="0" fontId="64" fillId="0" borderId="20" xfId="0" applyFont="1" applyFill="1" applyBorder="1"/>
    <xf numFmtId="0" fontId="11" fillId="0" borderId="20" xfId="0" applyFont="1" applyFill="1" applyBorder="1" applyAlignment="1">
      <alignment horizontal="right"/>
    </xf>
    <xf numFmtId="0" fontId="12" fillId="0" borderId="0" xfId="0" applyFont="1" applyFill="1" applyBorder="1" applyAlignment="1">
      <alignment horizontal="center"/>
    </xf>
    <xf numFmtId="171" fontId="9" fillId="0" borderId="6" xfId="0" applyNumberFormat="1" applyFont="1" applyBorder="1" applyAlignment="1">
      <alignment horizontal="right"/>
    </xf>
    <xf numFmtId="171" fontId="9" fillId="0" borderId="0" xfId="0" applyNumberFormat="1" applyFont="1" applyFill="1" applyBorder="1" applyAlignment="1">
      <alignment horizontal="center"/>
    </xf>
    <xf numFmtId="0" fontId="12" fillId="0" borderId="0" xfId="0" applyFont="1" applyBorder="1" applyAlignment="1">
      <alignment horizontal="left"/>
    </xf>
    <xf numFmtId="171" fontId="9" fillId="0" borderId="3" xfId="0" applyNumberFormat="1" applyFont="1" applyBorder="1" applyAlignment="1">
      <alignment horizontal="right"/>
    </xf>
    <xf numFmtId="171" fontId="7" fillId="0" borderId="3" xfId="0" applyNumberFormat="1" applyFont="1" applyBorder="1" applyAlignment="1">
      <alignment horizontal="right"/>
    </xf>
    <xf numFmtId="171" fontId="7" fillId="0" borderId="0" xfId="0" applyNumberFormat="1" applyFont="1" applyFill="1" applyBorder="1" applyAlignment="1">
      <alignment horizontal="center"/>
    </xf>
    <xf numFmtId="0" fontId="12" fillId="0" borderId="3" xfId="0" applyFont="1" applyBorder="1"/>
    <xf numFmtId="169" fontId="10" fillId="0" borderId="3" xfId="0" applyNumberFormat="1" applyFont="1" applyBorder="1" applyAlignment="1">
      <alignment horizontal="right"/>
    </xf>
    <xf numFmtId="169" fontId="7" fillId="0" borderId="0" xfId="0" applyNumberFormat="1" applyFont="1" applyFill="1" applyBorder="1" applyAlignment="1">
      <alignment horizontal="center"/>
    </xf>
    <xf numFmtId="0" fontId="11" fillId="0" borderId="0" xfId="0" applyFont="1" applyFill="1" applyBorder="1" applyAlignment="1">
      <alignment horizontal="center"/>
    </xf>
    <xf numFmtId="0" fontId="12" fillId="0" borderId="0" xfId="0" applyFont="1" applyFill="1" applyBorder="1" applyAlignment="1">
      <alignment horizontal="left"/>
    </xf>
    <xf numFmtId="174" fontId="9" fillId="0" borderId="3" xfId="0" applyNumberFormat="1" applyFont="1" applyBorder="1" applyAlignment="1">
      <alignment horizontal="right"/>
    </xf>
    <xf numFmtId="174" fontId="9" fillId="0" borderId="0" xfId="0" applyNumberFormat="1" applyFont="1" applyFill="1" applyBorder="1" applyAlignment="1">
      <alignment horizontal="center"/>
    </xf>
    <xf numFmtId="3" fontId="9" fillId="0" borderId="3" xfId="0" applyNumberFormat="1" applyFont="1" applyBorder="1" applyAlignment="1">
      <alignment horizontal="right"/>
    </xf>
    <xf numFmtId="3" fontId="9" fillId="0" borderId="0" xfId="0" applyNumberFormat="1" applyFont="1" applyFill="1" applyBorder="1" applyAlignment="1">
      <alignment horizontal="center"/>
    </xf>
    <xf numFmtId="172" fontId="9" fillId="0" borderId="3" xfId="0" applyNumberFormat="1" applyFont="1" applyBorder="1" applyAlignment="1">
      <alignment horizontal="right"/>
    </xf>
    <xf numFmtId="172" fontId="9" fillId="0" borderId="0" xfId="0" applyNumberFormat="1" applyFont="1" applyFill="1" applyBorder="1" applyAlignment="1">
      <alignment horizontal="center"/>
    </xf>
    <xf numFmtId="174" fontId="70" fillId="0" borderId="3" xfId="0" applyNumberFormat="1" applyFont="1" applyBorder="1" applyAlignment="1">
      <alignment horizontal="right"/>
    </xf>
    <xf numFmtId="173" fontId="9" fillId="0" borderId="3" xfId="0" applyNumberFormat="1" applyFont="1" applyBorder="1" applyAlignment="1">
      <alignment horizontal="right"/>
    </xf>
    <xf numFmtId="173" fontId="9" fillId="0" borderId="0" xfId="0" applyNumberFormat="1" applyFont="1" applyFill="1" applyBorder="1" applyAlignment="1">
      <alignment horizontal="center"/>
    </xf>
    <xf numFmtId="0" fontId="11" fillId="0" borderId="0" xfId="0" applyFont="1" applyFill="1" applyAlignment="1">
      <alignment horizontal="center"/>
    </xf>
    <xf numFmtId="176" fontId="9" fillId="0" borderId="3" xfId="0" applyNumberFormat="1" applyFont="1" applyBorder="1" applyAlignment="1">
      <alignment horizontal="right"/>
    </xf>
    <xf numFmtId="176" fontId="9" fillId="0" borderId="0" xfId="0" applyNumberFormat="1" applyFont="1" applyFill="1" applyBorder="1" applyAlignment="1">
      <alignment horizontal="center"/>
    </xf>
    <xf numFmtId="169" fontId="8" fillId="0" borderId="0" xfId="0" applyNumberFormat="1" applyFont="1" applyFill="1" applyBorder="1" applyAlignment="1">
      <alignment horizontal="center"/>
    </xf>
    <xf numFmtId="0" fontId="12" fillId="0" borderId="0" xfId="0" quotePrefix="1" applyFont="1" applyBorder="1" applyAlignment="1">
      <alignment horizontal="left"/>
    </xf>
    <xf numFmtId="176" fontId="9" fillId="0" borderId="6" xfId="0" applyNumberFormat="1" applyFont="1" applyFill="1" applyBorder="1" applyAlignment="1">
      <alignment horizontal="center"/>
    </xf>
    <xf numFmtId="0" fontId="64" fillId="3" borderId="0" xfId="0" applyFont="1" applyFill="1" applyAlignment="1"/>
    <xf numFmtId="0" fontId="12" fillId="0" borderId="0" xfId="0" applyFont="1" applyFill="1"/>
    <xf numFmtId="0" fontId="12" fillId="0" borderId="0" xfId="0" applyFont="1" applyAlignment="1">
      <alignment horizontal="left" wrapText="1"/>
    </xf>
    <xf numFmtId="0" fontId="10" fillId="0" borderId="0" xfId="0" applyFont="1" applyAlignment="1">
      <alignment horizontal="left" wrapText="1"/>
    </xf>
    <xf numFmtId="0" fontId="71" fillId="0" borderId="0" xfId="0" applyFont="1"/>
    <xf numFmtId="0" fontId="57" fillId="13" borderId="0" xfId="0" applyFont="1" applyFill="1" applyAlignment="1">
      <alignment horizontal="left"/>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38100</xdr:colOff>
      <xdr:row>3</xdr:row>
      <xdr:rowOff>139700</xdr:rowOff>
    </xdr:from>
    <xdr:to>
      <xdr:col>9</xdr:col>
      <xdr:colOff>0</xdr:colOff>
      <xdr:row>16</xdr:row>
      <xdr:rowOff>38100</xdr:rowOff>
    </xdr:to>
    <xdr:sp macro="" textlink="">
      <xdr:nvSpPr>
        <xdr:cNvPr id="2" name="TextBox 1">
          <a:extLst>
            <a:ext uri="{FF2B5EF4-FFF2-40B4-BE49-F238E27FC236}">
              <a16:creationId xmlns:a16="http://schemas.microsoft.com/office/drawing/2014/main" id="{EDE13F91-9FA9-C043-8EC5-013842758034}"/>
            </a:ext>
          </a:extLst>
        </xdr:cNvPr>
        <xdr:cNvSpPr txBox="1"/>
      </xdr:nvSpPr>
      <xdr:spPr>
        <a:xfrm>
          <a:off x="215900" y="736600"/>
          <a:ext cx="1085850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sng">
              <a:solidFill>
                <a:schemeClr val="dk1"/>
              </a:solidFill>
              <a:effectLst/>
              <a:latin typeface="+mn-lt"/>
              <a:ea typeface="+mn-ea"/>
              <a:cs typeface="Arial" panose="020B0604020202020204" pitchFamily="34" charset="0"/>
            </a:rPr>
            <a:t>Key</a:t>
          </a:r>
          <a:r>
            <a:rPr lang="en-US" sz="1000" b="1" i="0" u="sng" baseline="0">
              <a:solidFill>
                <a:schemeClr val="dk1"/>
              </a:solidFill>
              <a:effectLst/>
              <a:latin typeface="+mn-lt"/>
              <a:ea typeface="+mn-ea"/>
              <a:cs typeface="Arial" panose="020B0604020202020204" pitchFamily="34" charset="0"/>
            </a:rPr>
            <a:t> Investment Questions:</a:t>
          </a:r>
        </a:p>
        <a:p>
          <a:endParaRPr lang="en-US" sz="1000" b="1" i="0" u="sng">
            <a:solidFill>
              <a:schemeClr val="dk1"/>
            </a:solidFill>
            <a:effectLst/>
            <a:latin typeface="+mn-lt"/>
            <a:ea typeface="+mn-ea"/>
            <a:cs typeface="Arial" panose="020B0604020202020204" pitchFamily="34" charset="0"/>
          </a:endParaRPr>
        </a:p>
        <a:p>
          <a:r>
            <a:rPr lang="en-US" sz="1000" b="1" i="0">
              <a:solidFill>
                <a:schemeClr val="dk1"/>
              </a:solidFill>
              <a:effectLst/>
              <a:latin typeface="+mn-lt"/>
              <a:ea typeface="+mn-ea"/>
              <a:cs typeface="Arial" panose="020B0604020202020204" pitchFamily="34" charset="0"/>
            </a:rPr>
            <a:t>1. Can NDER re-accelerate above 103%, or is that the ceiling?</a:t>
          </a:r>
          <a:r>
            <a:rPr lang="en-US" sz="1000" b="0" i="0">
              <a:solidFill>
                <a:schemeClr val="dk1"/>
              </a:solidFill>
              <a:effectLst/>
              <a:latin typeface="+mn-lt"/>
              <a:ea typeface="+mn-ea"/>
              <a:cs typeface="Arial" panose="020B0604020202020204" pitchFamily="34" charset="0"/>
            </a:rPr>
            <a:t> This is the most</a:t>
          </a:r>
          <a:r>
            <a:rPr lang="en-US" sz="1000" b="0" i="0" baseline="0">
              <a:solidFill>
                <a:schemeClr val="dk1"/>
              </a:solidFill>
              <a:effectLst/>
              <a:latin typeface="+mn-lt"/>
              <a:ea typeface="+mn-ea"/>
              <a:cs typeface="Arial" panose="020B0604020202020204" pitchFamily="34" charset="0"/>
            </a:rPr>
            <a:t> important </a:t>
          </a:r>
          <a:r>
            <a:rPr lang="en-US" sz="1000" b="0" i="0">
              <a:solidFill>
                <a:schemeClr val="dk1"/>
              </a:solidFill>
              <a:effectLst/>
              <a:latin typeface="+mn-lt"/>
              <a:ea typeface="+mn-ea"/>
              <a:cs typeface="Arial" panose="020B0604020202020204" pitchFamily="34" charset="0"/>
            </a:rPr>
            <a:t>revenue lever. A 2pt move swings revenue more than adding 600 new logos. </a:t>
          </a:r>
          <a:r>
            <a:rPr lang="en-US" sz="1000" b="0" i="1">
              <a:solidFill>
                <a:schemeClr val="dk1"/>
              </a:solidFill>
              <a:effectLst/>
              <a:latin typeface="+mn-lt"/>
              <a:ea typeface="+mn-ea"/>
              <a:cs typeface="Arial" panose="020B0604020202020204" pitchFamily="34" charset="0"/>
            </a:rPr>
            <a:t>Watch: quarterly NDER disclosure in 10-K MD&amp;A.</a:t>
          </a:r>
        </a:p>
        <a:p>
          <a:endParaRPr lang="en-US" sz="1000" b="0" i="0">
            <a:solidFill>
              <a:schemeClr val="dk1"/>
            </a:solidFill>
            <a:effectLst/>
            <a:latin typeface="+mn-lt"/>
            <a:ea typeface="+mn-ea"/>
            <a:cs typeface="Arial" panose="020B0604020202020204" pitchFamily="34" charset="0"/>
          </a:endParaRPr>
        </a:p>
        <a:p>
          <a:r>
            <a:rPr lang="en-US" sz="1000" b="1" i="0">
              <a:solidFill>
                <a:schemeClr val="dk1"/>
              </a:solidFill>
              <a:effectLst/>
              <a:latin typeface="+mn-lt"/>
              <a:ea typeface="+mn-ea"/>
              <a:cs typeface="Arial" panose="020B0604020202020204" pitchFamily="34" charset="0"/>
            </a:rPr>
            <a:t>2. Is the ~10,000 customer count flat, growing, or quietly shrinking?</a:t>
          </a:r>
          <a:r>
            <a:rPr lang="en-US" sz="1000" b="0" i="0">
              <a:solidFill>
                <a:schemeClr val="dk1"/>
              </a:solidFill>
              <a:effectLst/>
              <a:latin typeface="+mn-lt"/>
              <a:ea typeface="+mn-ea"/>
              <a:cs typeface="Arial" panose="020B0604020202020204" pitchFamily="34" charset="0"/>
            </a:rPr>
            <a:t> Customer</a:t>
          </a:r>
          <a:r>
            <a:rPr lang="en-US" sz="1000" b="0" i="0" baseline="0">
              <a:solidFill>
                <a:schemeClr val="dk1"/>
              </a:solidFill>
              <a:effectLst/>
              <a:latin typeface="+mn-lt"/>
              <a:ea typeface="+mn-ea"/>
              <a:cs typeface="Arial" panose="020B0604020202020204" pitchFamily="34" charset="0"/>
            </a:rPr>
            <a:t> count is undisclosed.</a:t>
          </a:r>
          <a:r>
            <a:rPr lang="en-US" sz="1000" b="0" i="0">
              <a:solidFill>
                <a:schemeClr val="dk1"/>
              </a:solidFill>
              <a:effectLst/>
              <a:latin typeface="+mn-lt"/>
              <a:ea typeface="+mn-ea"/>
              <a:cs typeface="Arial" panose="020B0604020202020204" pitchFamily="34" charset="0"/>
            </a:rPr>
            <a:t> if logo churn is being masked by NDER, the growth story is weaker than it looks. </a:t>
          </a:r>
          <a:r>
            <a:rPr lang="en-US" sz="1000" b="0" i="1">
              <a:solidFill>
                <a:schemeClr val="dk1"/>
              </a:solidFill>
              <a:effectLst/>
              <a:latin typeface="+mn-lt"/>
              <a:ea typeface="+mn-ea"/>
              <a:cs typeface="Arial" panose="020B0604020202020204" pitchFamily="34" charset="0"/>
            </a:rPr>
            <a:t>Watch: any change in "over 10,000" language in earnings calls.</a:t>
          </a:r>
        </a:p>
        <a:p>
          <a:endParaRPr lang="en-US" sz="1000" b="0" i="0">
            <a:solidFill>
              <a:schemeClr val="dk1"/>
            </a:solidFill>
            <a:effectLst/>
            <a:latin typeface="+mn-lt"/>
            <a:ea typeface="+mn-ea"/>
            <a:cs typeface="Arial" panose="020B0604020202020204" pitchFamily="34" charset="0"/>
          </a:endParaRPr>
        </a:p>
        <a:p>
          <a:r>
            <a:rPr lang="en-US" sz="1000" b="1" i="0">
              <a:solidFill>
                <a:schemeClr val="dk1"/>
              </a:solidFill>
              <a:effectLst/>
              <a:latin typeface="+mn-lt"/>
              <a:ea typeface="+mn-ea"/>
              <a:cs typeface="Arial" panose="020B0604020202020204" pitchFamily="34" charset="0"/>
            </a:rPr>
            <a:t>3. Is S&amp;M leverage actually coming?</a:t>
          </a:r>
          <a:r>
            <a:rPr lang="en-US" sz="1000" b="0" i="0">
              <a:solidFill>
                <a:schemeClr val="dk1"/>
              </a:solidFill>
              <a:effectLst/>
              <a:latin typeface="+mn-lt"/>
              <a:ea typeface="+mn-ea"/>
              <a:cs typeface="Arial" panose="020B0604020202020204" pitchFamily="34" charset="0"/>
            </a:rPr>
            <a:t> S&amp;M as % of revenue has been increasing (18.6% to 21.4%) despite growing partner channel. </a:t>
          </a:r>
          <a:r>
            <a:rPr lang="en-US" sz="1000" b="0" i="1">
              <a:solidFill>
                <a:schemeClr val="dk1"/>
              </a:solidFill>
              <a:effectLst/>
              <a:latin typeface="+mn-lt"/>
              <a:ea typeface="+mn-ea"/>
              <a:cs typeface="Arial" panose="020B0604020202020204" pitchFamily="34" charset="0"/>
            </a:rPr>
            <a:t>Watch: S&amp;M % in next 2-3 quarters. If it doesn't inflect, the operating leverage thesis is wrong.</a:t>
          </a:r>
        </a:p>
        <a:p>
          <a:endParaRPr lang="en-US" sz="1000" b="0" i="0">
            <a:solidFill>
              <a:schemeClr val="dk1"/>
            </a:solidFill>
            <a:effectLst/>
            <a:latin typeface="+mn-lt"/>
            <a:ea typeface="+mn-ea"/>
            <a:cs typeface="Arial" panose="020B0604020202020204" pitchFamily="34" charset="0"/>
          </a:endParaRPr>
        </a:p>
        <a:p>
          <a:r>
            <a:rPr lang="en-US" sz="1000" b="1" i="0">
              <a:solidFill>
                <a:schemeClr val="dk1"/>
              </a:solidFill>
              <a:effectLst/>
              <a:latin typeface="+mn-lt"/>
              <a:ea typeface="+mn-ea"/>
              <a:cs typeface="Arial" panose="020B0604020202020204" pitchFamily="34" charset="0"/>
            </a:rPr>
            <a:t>Bear Outlook:</a:t>
          </a:r>
          <a:r>
            <a:rPr lang="en-US" sz="1000" b="0" i="0">
              <a:solidFill>
                <a:schemeClr val="dk1"/>
              </a:solidFill>
              <a:effectLst/>
              <a:latin typeface="+mn-lt"/>
              <a:ea typeface="+mn-ea"/>
              <a:cs typeface="Arial" panose="020B0604020202020204" pitchFamily="34" charset="0"/>
            </a:rPr>
            <a:t> An investor pays a premium multiple for a company growing currently at 10% with no catalyst to accelerate,</a:t>
          </a:r>
          <a:r>
            <a:rPr lang="en-US" sz="1000" b="0" i="0" baseline="0">
              <a:solidFill>
                <a:schemeClr val="dk1"/>
              </a:solidFill>
              <a:effectLst/>
              <a:latin typeface="+mn-lt"/>
              <a:ea typeface="+mn-ea"/>
              <a:cs typeface="Arial" panose="020B0604020202020204" pitchFamily="34" charset="0"/>
            </a:rPr>
            <a:t> and competitive pressures will drive growth downwards.</a:t>
          </a:r>
          <a:endParaRPr lang="en-US" sz="1000" b="0" i="0">
            <a:solidFill>
              <a:schemeClr val="dk1"/>
            </a:solidFill>
            <a:effectLst/>
            <a:latin typeface="+mn-lt"/>
            <a:ea typeface="+mn-ea"/>
            <a:cs typeface="Arial" panose="020B0604020202020204" pitchFamily="34" charset="0"/>
          </a:endParaRPr>
        </a:p>
        <a:p>
          <a:r>
            <a:rPr lang="en-US" sz="1000" b="1" i="0">
              <a:solidFill>
                <a:schemeClr val="dk1"/>
              </a:solidFill>
              <a:effectLst/>
              <a:latin typeface="+mn-lt"/>
              <a:ea typeface="+mn-ea"/>
              <a:cs typeface="Arial" panose="020B0604020202020204" pitchFamily="34" charset="0"/>
            </a:rPr>
            <a:t>Bull Outlook:</a:t>
          </a:r>
          <a:r>
            <a:rPr lang="en-US" sz="1000" b="0" i="0">
              <a:solidFill>
                <a:schemeClr val="dk1"/>
              </a:solidFill>
              <a:effectLst/>
              <a:latin typeface="+mn-lt"/>
              <a:ea typeface="+mn-ea"/>
              <a:cs typeface="Arial" panose="020B0604020202020204" pitchFamily="34" charset="0"/>
            </a:rPr>
            <a:t> Existing</a:t>
          </a:r>
          <a:r>
            <a:rPr lang="en-US" sz="1000" b="0" i="0" baseline="0">
              <a:solidFill>
                <a:schemeClr val="dk1"/>
              </a:solidFill>
              <a:effectLst/>
              <a:latin typeface="+mn-lt"/>
              <a:ea typeface="+mn-ea"/>
              <a:cs typeface="Arial" panose="020B0604020202020204" pitchFamily="34" charset="0"/>
            </a:rPr>
            <a:t> customers </a:t>
          </a:r>
          <a:r>
            <a:rPr lang="en-US" sz="1000" b="0" i="0">
              <a:solidFill>
                <a:schemeClr val="dk1"/>
              </a:solidFill>
              <a:effectLst/>
              <a:latin typeface="+mn-lt"/>
              <a:ea typeface="+mn-ea"/>
              <a:cs typeface="Arial" panose="020B0604020202020204" pitchFamily="34" charset="0"/>
            </a:rPr>
            <a:t>have room to</a:t>
          </a:r>
          <a:r>
            <a:rPr lang="en-US" sz="1000" b="0" i="0" baseline="0">
              <a:solidFill>
                <a:schemeClr val="dk1"/>
              </a:solidFill>
              <a:effectLst/>
              <a:latin typeface="+mn-lt"/>
              <a:ea typeface="+mn-ea"/>
              <a:cs typeface="Arial" panose="020B0604020202020204" pitchFamily="34" charset="0"/>
            </a:rPr>
            <a:t> grow</a:t>
          </a:r>
          <a:r>
            <a:rPr lang="en-US" sz="1000" b="0" i="0">
              <a:solidFill>
                <a:schemeClr val="dk1"/>
              </a:solidFill>
              <a:effectLst/>
              <a:latin typeface="+mn-lt"/>
              <a:ea typeface="+mn-ea"/>
              <a:cs typeface="Arial" panose="020B0604020202020204" pitchFamily="34" charset="0"/>
            </a:rPr>
            <a:t> and the market is underpricing their strong FCF.</a:t>
          </a:r>
        </a:p>
        <a:p>
          <a:endParaRPr lang="en-US" sz="120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50800</xdr:rowOff>
    </xdr:from>
    <xdr:to>
      <xdr:col>14</xdr:col>
      <xdr:colOff>965200</xdr:colOff>
      <xdr:row>11</xdr:row>
      <xdr:rowOff>12700</xdr:rowOff>
    </xdr:to>
    <xdr:sp macro="" textlink="">
      <xdr:nvSpPr>
        <xdr:cNvPr id="2" name="TextBox 1">
          <a:extLst>
            <a:ext uri="{FF2B5EF4-FFF2-40B4-BE49-F238E27FC236}">
              <a16:creationId xmlns:a16="http://schemas.microsoft.com/office/drawing/2014/main" id="{D5B6EADF-FDDD-6A7C-E19D-EAC51E8005A9}"/>
            </a:ext>
          </a:extLst>
        </xdr:cNvPr>
        <xdr:cNvSpPr txBox="1"/>
      </xdr:nvSpPr>
      <xdr:spPr>
        <a:xfrm>
          <a:off x="152400" y="393700"/>
          <a:ext cx="1626870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u="sng"/>
            <a:t>Direct Cybersecurity</a:t>
          </a:r>
          <a:r>
            <a:rPr lang="en-US" sz="1100" u="sng" baseline="0"/>
            <a:t> Peers: </a:t>
          </a:r>
          <a:r>
            <a:rPr lang="en-US" sz="1100" b="0" i="0">
              <a:solidFill>
                <a:schemeClr val="dk1"/>
              </a:solidFill>
              <a:effectLst/>
              <a:latin typeface="+mn-lt"/>
              <a:ea typeface="+mn-ea"/>
              <a:cs typeface="+mn-cs"/>
            </a:rPr>
            <a:t>Pure-play cybersecurity companies competing for the same enterprise security budget. These are the closest comparables for valuation as</a:t>
          </a:r>
          <a:r>
            <a:rPr lang="en-US" sz="1100" b="0" i="0" baseline="0">
              <a:solidFill>
                <a:schemeClr val="dk1"/>
              </a:solidFill>
              <a:effectLst/>
              <a:latin typeface="+mn-lt"/>
              <a:ea typeface="+mn-ea"/>
              <a:cs typeface="+mn-cs"/>
            </a:rPr>
            <a:t> they share the </a:t>
          </a:r>
          <a:r>
            <a:rPr lang="en-US" sz="1100" b="0" i="0">
              <a:solidFill>
                <a:schemeClr val="dk1"/>
              </a:solidFill>
              <a:effectLst/>
              <a:latin typeface="+mn-lt"/>
              <a:ea typeface="+mn-ea"/>
              <a:cs typeface="+mn-cs"/>
            </a:rPr>
            <a:t>same end market, similar customer profile (enterprise IT/security teams), subscription-based delivery.</a:t>
          </a:r>
        </a:p>
        <a:p>
          <a:pPr algn="l"/>
          <a:r>
            <a:rPr lang="en-US" sz="1100" b="0" i="0" u="sng">
              <a:solidFill>
                <a:schemeClr val="dk1"/>
              </a:solidFill>
              <a:effectLst/>
              <a:latin typeface="+mn-lt"/>
              <a:ea typeface="+mn-ea"/>
              <a:cs typeface="+mn-cs"/>
            </a:rPr>
            <a:t>Broader Enterprise</a:t>
          </a:r>
          <a:r>
            <a:rPr lang="en-US" sz="1100" b="0" i="0" u="sng" baseline="0">
              <a:solidFill>
                <a:schemeClr val="dk1"/>
              </a:solidFill>
              <a:effectLst/>
              <a:latin typeface="+mn-lt"/>
              <a:ea typeface="+mn-ea"/>
              <a:cs typeface="+mn-cs"/>
            </a:rPr>
            <a:t> SaaS:</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Enterprise cloud software companies with similar business model economics (70%+ gross margins, subscription revenue, land-and-expand motion) but different end markets. Included for context on how the market values SaaS at varying growth rates</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not used in median/mean valuation calculations.</a:t>
          </a:r>
        </a:p>
        <a:p>
          <a:r>
            <a:rPr lang="en-US" sz="1100" b="1" i="0">
              <a:solidFill>
                <a:schemeClr val="dk1"/>
              </a:solidFill>
              <a:effectLst/>
              <a:latin typeface="+mn-lt"/>
              <a:ea typeface="+mn-ea"/>
              <a:cs typeface="+mn-cs"/>
            </a:rPr>
            <a:t>No P/E</a:t>
          </a:r>
          <a:r>
            <a:rPr lang="en-US" sz="1100" b="0" i="0">
              <a:solidFill>
                <a:schemeClr val="dk1"/>
              </a:solidFill>
              <a:effectLst/>
              <a:latin typeface="+mn-lt"/>
              <a:ea typeface="+mn-ea"/>
              <a:cs typeface="+mn-cs"/>
            </a:rPr>
            <a:t> </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means net income is negative. These companies have high SBC, amortization of intangibles, or other non-cash charges that push GAAP net income below zero even though the business generates FCF.</a:t>
          </a:r>
        </a:p>
        <a:p>
          <a:r>
            <a:rPr lang="en-US" sz="1100" b="1" i="0">
              <a:solidFill>
                <a:schemeClr val="dk1"/>
              </a:solidFill>
              <a:effectLst/>
              <a:latin typeface="+mn-lt"/>
              <a:ea typeface="+mn-ea"/>
              <a:cs typeface="+mn-cs"/>
            </a:rPr>
            <a:t>No EV/EBITDA</a:t>
          </a:r>
          <a:r>
            <a:rPr lang="en-US" sz="1100" b="0" i="0">
              <a:solidFill>
                <a:schemeClr val="dk1"/>
              </a:solidFill>
              <a:effectLst/>
              <a:latin typeface="+mn-lt"/>
              <a:ea typeface="+mn-ea"/>
              <a:cs typeface="+mn-cs"/>
            </a:rPr>
            <a:t>  means EBITDA is negative or barley</a:t>
          </a:r>
          <a:r>
            <a:rPr lang="en-US" sz="1100" b="0" i="0" baseline="0">
              <a:solidFill>
                <a:schemeClr val="dk1"/>
              </a:solidFill>
              <a:effectLst/>
              <a:latin typeface="+mn-lt"/>
              <a:ea typeface="+mn-ea"/>
              <a:cs typeface="+mn-cs"/>
            </a:rPr>
            <a:t> positive</a:t>
          </a:r>
          <a:r>
            <a:rPr lang="en-US" sz="1100" b="0" i="0">
              <a:solidFill>
                <a:schemeClr val="dk1"/>
              </a:solidFill>
              <a:effectLst/>
              <a:latin typeface="+mn-lt"/>
              <a:ea typeface="+mn-ea"/>
              <a:cs typeface="+mn-cs"/>
            </a:rPr>
            <a:t>.</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Companies like CRWD, S, ZS, VRNS have negative EBITDA margins (-1% to -27%). They're spending heavily on growth and EBITDA hasn't turned positive yet.</a:t>
          </a:r>
        </a:p>
        <a:p>
          <a:r>
            <a:rPr lang="en-US" sz="1100" b="1" i="0">
              <a:solidFill>
                <a:schemeClr val="dk1"/>
              </a:solidFill>
              <a:effectLst/>
              <a:latin typeface="+mn-lt"/>
              <a:ea typeface="+mn-ea"/>
              <a:cs typeface="+mn-cs"/>
            </a:rPr>
            <a:t>P/FCF exists</a:t>
          </a:r>
          <a:r>
            <a:rPr lang="en-US" sz="1100" b="0" i="0">
              <a:solidFill>
                <a:schemeClr val="dk1"/>
              </a:solidFill>
              <a:effectLst/>
              <a:latin typeface="+mn-lt"/>
              <a:ea typeface="+mn-ea"/>
              <a:cs typeface="+mn-cs"/>
            </a:rPr>
            <a:t> because free cash flow strips out all the non-cash noise. SBC doesn't hit FCF (it's non-cash), working capital timing helps (collecting annual subscriptions upfront creates deferred revenue), and capex is minimal for SaaS. So a company can have -$50M net income but +$200M FCF.</a:t>
          </a:r>
        </a:p>
        <a:p>
          <a:pPr algn="l"/>
          <a:r>
            <a:rPr lang="en-US" sz="1100" b="0" i="1">
              <a:solidFill>
                <a:schemeClr val="dk1"/>
              </a:solidFill>
              <a:effectLst/>
              <a:latin typeface="+mn-lt"/>
              <a:ea typeface="+mn-ea"/>
              <a:cs typeface="+mn-cs"/>
            </a:rPr>
            <a:t>Note:</a:t>
          </a:r>
          <a:r>
            <a:rPr lang="en-US" sz="1100" b="0" i="1" baseline="0">
              <a:solidFill>
                <a:schemeClr val="dk1"/>
              </a:solidFill>
              <a:effectLst/>
              <a:latin typeface="+mn-lt"/>
              <a:ea typeface="+mn-ea"/>
              <a:cs typeface="+mn-cs"/>
            </a:rPr>
            <a:t> </a:t>
          </a:r>
          <a:r>
            <a:rPr lang="en-US" sz="1100" b="0" i="1">
              <a:solidFill>
                <a:schemeClr val="dk1"/>
              </a:solidFill>
              <a:effectLst/>
              <a:latin typeface="+mn-lt"/>
              <a:ea typeface="+mn-ea"/>
              <a:cs typeface="+mn-cs"/>
            </a:rPr>
            <a:t>CyberArk (CYBR) excluded - acquired by Palo Alto Networks for $25B, closed February 2026.</a:t>
          </a:r>
          <a:endParaRPr lang="en-US" sz="1100" i="1"/>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99D886-A710-CD46-BADD-A45A8021DDFE}">
  <we:reference id="wa200009404" version="1.0.0.8" store="en-US" storeType="OMEX"/>
  <we:alternateReferences>
    <we:reference id="wa200009404" version="1.0.0.8" store="wa200009404" storeType="OMEX"/>
  </we:alternateReferences>
  <we:properties>
    <we:property name="claude.fileId" value="&quot;8fc448d9-ca10-4f89-b21c-fb535e9dc5f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DBF3-98B2-7C4C-8881-C5D2FDBEE1ED}">
  <sheetPr>
    <tabColor theme="1"/>
  </sheetPr>
  <dimension ref="B2:C44"/>
  <sheetViews>
    <sheetView showGridLines="0" tabSelected="1" workbookViewId="0"/>
  </sheetViews>
  <sheetFormatPr baseColWidth="10" defaultRowHeight="15" x14ac:dyDescent="0.2"/>
  <cols>
    <col min="1" max="1" width="2.5" style="209" customWidth="1"/>
    <col min="2" max="2" width="43.33203125" style="209" customWidth="1"/>
    <col min="3" max="3" width="69.33203125" style="209" customWidth="1"/>
    <col min="4" max="4" width="3.33203125" style="209" customWidth="1"/>
    <col min="5" max="16384" width="10.83203125" style="209"/>
  </cols>
  <sheetData>
    <row r="2" spans="2:3" ht="42" customHeight="1" x14ac:dyDescent="0.5">
      <c r="B2" s="208" t="s">
        <v>545</v>
      </c>
    </row>
    <row r="3" spans="2:3" ht="22" customHeight="1" x14ac:dyDescent="0.25">
      <c r="B3" s="201" t="s">
        <v>549</v>
      </c>
    </row>
    <row r="4" spans="2:3" x14ac:dyDescent="0.2">
      <c r="B4" s="185" t="s">
        <v>550</v>
      </c>
    </row>
    <row r="6" spans="2:3" ht="28" customHeight="1" thickBot="1" x14ac:dyDescent="0.35">
      <c r="B6" s="202" t="s">
        <v>546</v>
      </c>
    </row>
    <row r="7" spans="2:3" x14ac:dyDescent="0.2">
      <c r="B7" s="210"/>
      <c r="C7" s="210"/>
    </row>
    <row r="9" spans="2:3" s="27" customFormat="1" ht="21" customHeight="1" x14ac:dyDescent="0.2">
      <c r="B9" s="225" t="s">
        <v>60</v>
      </c>
      <c r="C9" s="62"/>
    </row>
    <row r="10" spans="2:3" s="27" customFormat="1" ht="14" customHeight="1" x14ac:dyDescent="0.2">
      <c r="B10" s="8" t="s">
        <v>61</v>
      </c>
      <c r="C10" s="8" t="s">
        <v>62</v>
      </c>
    </row>
    <row r="11" spans="2:3" s="27" customFormat="1" ht="14" customHeight="1" x14ac:dyDescent="0.2">
      <c r="B11" s="8" t="s">
        <v>63</v>
      </c>
      <c r="C11" s="8" t="s">
        <v>64</v>
      </c>
    </row>
    <row r="12" spans="2:3" s="27" customFormat="1" ht="14" customHeight="1" x14ac:dyDescent="0.2">
      <c r="B12" s="8" t="s">
        <v>65</v>
      </c>
      <c r="C12" s="8" t="s">
        <v>66</v>
      </c>
    </row>
    <row r="13" spans="2:3" s="27" customFormat="1" ht="14" customHeight="1" x14ac:dyDescent="0.2">
      <c r="B13" s="8" t="s">
        <v>67</v>
      </c>
      <c r="C13" s="8" t="s">
        <v>68</v>
      </c>
    </row>
    <row r="14" spans="2:3" s="27" customFormat="1" ht="14" customHeight="1" x14ac:dyDescent="0.2">
      <c r="B14" s="8" t="s">
        <v>69</v>
      </c>
      <c r="C14" s="8" t="s">
        <v>70</v>
      </c>
    </row>
    <row r="15" spans="2:3" s="27" customFormat="1" ht="14" customHeight="1" x14ac:dyDescent="0.2">
      <c r="B15" s="211"/>
      <c r="C15" s="212"/>
    </row>
    <row r="16" spans="2:3" ht="20" customHeight="1" x14ac:dyDescent="0.2">
      <c r="B16" s="200" t="s">
        <v>566</v>
      </c>
      <c r="C16" s="213"/>
    </row>
    <row r="17" spans="2:3" x14ac:dyDescent="0.2">
      <c r="B17" s="214" t="s">
        <v>55</v>
      </c>
      <c r="C17" s="215">
        <f>'DCF &amp; Sensitivity'!D55</f>
        <v>80.52</v>
      </c>
    </row>
    <row r="18" spans="2:3" x14ac:dyDescent="0.2">
      <c r="B18" s="216" t="s">
        <v>569</v>
      </c>
      <c r="C18" s="217">
        <f>'DCF &amp; Sensitivity'!D53</f>
        <v>124.46761990446829</v>
      </c>
    </row>
    <row r="19" spans="2:3" x14ac:dyDescent="0.2">
      <c r="B19" s="218" t="s">
        <v>570</v>
      </c>
      <c r="C19" s="219">
        <f>'DCF &amp; Sensitivity'!D54</f>
        <v>168.8143448973556</v>
      </c>
    </row>
    <row r="20" spans="2:3" x14ac:dyDescent="0.2">
      <c r="B20" s="6"/>
      <c r="C20" s="6"/>
    </row>
    <row r="21" spans="2:3" ht="24" customHeight="1" x14ac:dyDescent="0.2">
      <c r="B21" s="200" t="s">
        <v>565</v>
      </c>
      <c r="C21" s="213"/>
    </row>
    <row r="22" spans="2:3" x14ac:dyDescent="0.2">
      <c r="B22" s="214" t="s">
        <v>13</v>
      </c>
      <c r="C22" s="237">
        <f>Assumptions!D67/100</f>
        <v>9.8099999999999993E-2</v>
      </c>
    </row>
    <row r="23" spans="2:3" x14ac:dyDescent="0.2">
      <c r="B23" s="216" t="s">
        <v>34</v>
      </c>
      <c r="C23" s="220">
        <f>Assumptions!D68/100</f>
        <v>0.03</v>
      </c>
    </row>
    <row r="24" spans="2:3" x14ac:dyDescent="0.2">
      <c r="B24" s="216" t="s">
        <v>151</v>
      </c>
      <c r="C24" s="221">
        <f>Assumptions!D69</f>
        <v>20</v>
      </c>
    </row>
    <row r="25" spans="2:3" x14ac:dyDescent="0.2">
      <c r="B25" s="216" t="s">
        <v>547</v>
      </c>
      <c r="C25" s="220">
        <f>Assumptions!F10/100</f>
        <v>1.01</v>
      </c>
    </row>
    <row r="26" spans="2:3" x14ac:dyDescent="0.2">
      <c r="B26" s="216" t="s">
        <v>548</v>
      </c>
      <c r="C26" s="220">
        <f>'Income Statement'!M29/100</f>
        <v>0.35500000000000009</v>
      </c>
    </row>
    <row r="27" spans="2:3" x14ac:dyDescent="0.2">
      <c r="B27" s="216" t="s">
        <v>567</v>
      </c>
      <c r="C27" s="222">
        <f>'DCF &amp; Sensitivity'!D48</f>
        <v>-698</v>
      </c>
    </row>
    <row r="28" spans="2:3" x14ac:dyDescent="0.2">
      <c r="B28" s="218" t="s">
        <v>568</v>
      </c>
      <c r="C28" s="223">
        <f>'DCF &amp; Sensitivity'!D51</f>
        <v>36.5</v>
      </c>
    </row>
    <row r="29" spans="2:3" ht="26" customHeight="1" x14ac:dyDescent="0.2">
      <c r="B29" s="239" t="s">
        <v>576</v>
      </c>
      <c r="C29" s="239"/>
    </row>
    <row r="30" spans="2:3" ht="24" customHeight="1" x14ac:dyDescent="0.2">
      <c r="B30" s="200" t="s">
        <v>73</v>
      </c>
      <c r="C30" s="213"/>
    </row>
    <row r="31" spans="2:3" x14ac:dyDescent="0.2">
      <c r="B31" s="224" t="s">
        <v>551</v>
      </c>
      <c r="C31" s="6"/>
    </row>
    <row r="32" spans="2:3" x14ac:dyDescent="0.2">
      <c r="B32" s="6" t="s">
        <v>552</v>
      </c>
      <c r="C32" s="6"/>
    </row>
    <row r="33" spans="2:3" x14ac:dyDescent="0.2">
      <c r="B33" s="6" t="s">
        <v>553</v>
      </c>
      <c r="C33" s="6"/>
    </row>
    <row r="34" spans="2:3" x14ac:dyDescent="0.2">
      <c r="B34" s="224" t="s">
        <v>554</v>
      </c>
      <c r="C34" s="6"/>
    </row>
    <row r="35" spans="2:3" x14ac:dyDescent="0.2">
      <c r="B35" s="6" t="s">
        <v>555</v>
      </c>
      <c r="C35" s="6"/>
    </row>
    <row r="36" spans="2:3" x14ac:dyDescent="0.2">
      <c r="B36" s="6" t="s">
        <v>556</v>
      </c>
      <c r="C36" s="6"/>
    </row>
    <row r="37" spans="2:3" x14ac:dyDescent="0.2">
      <c r="B37" s="6" t="s">
        <v>557</v>
      </c>
      <c r="C37" s="6"/>
    </row>
    <row r="38" spans="2:3" x14ac:dyDescent="0.2">
      <c r="B38" s="6" t="s">
        <v>558</v>
      </c>
      <c r="C38" s="6"/>
    </row>
    <row r="39" spans="2:3" x14ac:dyDescent="0.2">
      <c r="B39" s="6" t="s">
        <v>559</v>
      </c>
      <c r="C39" s="6"/>
    </row>
    <row r="40" spans="2:3" x14ac:dyDescent="0.2">
      <c r="B40" s="6" t="s">
        <v>560</v>
      </c>
      <c r="C40" s="6"/>
    </row>
    <row r="41" spans="2:3" x14ac:dyDescent="0.2">
      <c r="B41" s="6" t="s">
        <v>561</v>
      </c>
      <c r="C41" s="6"/>
    </row>
    <row r="42" spans="2:3" x14ac:dyDescent="0.2">
      <c r="B42" s="224" t="s">
        <v>562</v>
      </c>
      <c r="C42" s="6"/>
    </row>
    <row r="43" spans="2:3" x14ac:dyDescent="0.2">
      <c r="B43" s="6" t="s">
        <v>563</v>
      </c>
      <c r="C43" s="6"/>
    </row>
    <row r="44" spans="2:3" x14ac:dyDescent="0.2">
      <c r="B44" s="6" t="s">
        <v>564</v>
      </c>
      <c r="C44" s="6"/>
    </row>
  </sheetData>
  <mergeCells count="1">
    <mergeCell ref="B29:C2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F907-E2E8-2A44-8E3D-D44C59B4E128}">
  <dimension ref="B2:H44"/>
  <sheetViews>
    <sheetView showGridLines="0" workbookViewId="0"/>
  </sheetViews>
  <sheetFormatPr baseColWidth="10" defaultRowHeight="15" x14ac:dyDescent="0.2"/>
  <cols>
    <col min="1" max="1" width="2.5" customWidth="1"/>
    <col min="2" max="2" width="28.33203125" customWidth="1"/>
    <col min="3" max="3" width="24" customWidth="1"/>
    <col min="4" max="5" width="18.33203125" customWidth="1"/>
    <col min="6" max="6" width="5.83203125" style="203" customWidth="1"/>
    <col min="7" max="7" width="46.6640625" customWidth="1"/>
  </cols>
  <sheetData>
    <row r="2" spans="2:8" ht="26" customHeight="1" x14ac:dyDescent="0.25">
      <c r="B2" s="175" t="s">
        <v>470</v>
      </c>
    </row>
    <row r="3" spans="2:8" ht="16" x14ac:dyDescent="0.2">
      <c r="B3" s="177" t="s">
        <v>0</v>
      </c>
    </row>
    <row r="4" spans="2:8" x14ac:dyDescent="0.2">
      <c r="B4" s="178" t="s">
        <v>471</v>
      </c>
    </row>
    <row r="5" spans="2:8" x14ac:dyDescent="0.2">
      <c r="B5" s="199"/>
      <c r="C5" s="6"/>
      <c r="D5" s="6"/>
      <c r="E5" s="6"/>
      <c r="F5" s="240"/>
      <c r="G5" s="6"/>
    </row>
    <row r="6" spans="2:8" ht="35" customHeight="1" x14ac:dyDescent="0.2">
      <c r="B6" s="241" t="s">
        <v>526</v>
      </c>
      <c r="C6" s="242" t="s">
        <v>534</v>
      </c>
      <c r="D6" s="242"/>
      <c r="E6" s="242"/>
      <c r="F6" s="242"/>
      <c r="G6" s="243"/>
    </row>
    <row r="7" spans="2:8" ht="35" customHeight="1" x14ac:dyDescent="0.2">
      <c r="B7" s="244" t="s">
        <v>527</v>
      </c>
      <c r="C7" s="245" t="s">
        <v>579</v>
      </c>
      <c r="D7" s="245"/>
      <c r="E7" s="245"/>
      <c r="F7" s="245"/>
      <c r="G7" s="246"/>
    </row>
    <row r="8" spans="2:8" ht="44" customHeight="1" x14ac:dyDescent="0.2">
      <c r="B8" s="244" t="s">
        <v>528</v>
      </c>
      <c r="C8" s="245" t="s">
        <v>535</v>
      </c>
      <c r="D8" s="245"/>
      <c r="E8" s="245"/>
      <c r="F8" s="245"/>
      <c r="G8" s="246"/>
    </row>
    <row r="9" spans="2:8" ht="35" customHeight="1" x14ac:dyDescent="0.2">
      <c r="B9" s="247" t="s">
        <v>529</v>
      </c>
      <c r="C9" s="248" t="s">
        <v>530</v>
      </c>
      <c r="D9" s="248"/>
      <c r="E9" s="248"/>
      <c r="F9" s="248"/>
      <c r="G9" s="249"/>
    </row>
    <row r="10" spans="2:8" x14ac:dyDescent="0.2">
      <c r="B10" s="199"/>
      <c r="C10" s="6"/>
      <c r="D10" s="6"/>
      <c r="E10" s="6"/>
      <c r="F10" s="240"/>
      <c r="G10" s="6"/>
    </row>
    <row r="11" spans="2:8" x14ac:dyDescent="0.2">
      <c r="B11" s="6"/>
      <c r="C11" s="6"/>
      <c r="D11" s="6"/>
      <c r="E11" s="6"/>
      <c r="F11" s="240"/>
      <c r="G11" s="6"/>
    </row>
    <row r="12" spans="2:8" x14ac:dyDescent="0.2">
      <c r="B12" s="250" t="s">
        <v>55</v>
      </c>
      <c r="C12" s="251">
        <f>'DCF &amp; Sensitivity'!D55</f>
        <v>80.52</v>
      </c>
      <c r="D12" s="252" t="s">
        <v>472</v>
      </c>
      <c r="E12" s="6"/>
      <c r="F12" s="240"/>
      <c r="G12" s="214"/>
      <c r="H12" s="204"/>
    </row>
    <row r="13" spans="2:8" x14ac:dyDescent="0.2">
      <c r="B13" s="214"/>
      <c r="C13" s="214"/>
      <c r="D13" s="214"/>
      <c r="E13" s="214"/>
      <c r="F13" s="253"/>
      <c r="G13" s="214"/>
      <c r="H13" s="204"/>
    </row>
    <row r="14" spans="2:8" x14ac:dyDescent="0.2">
      <c r="B14" s="254" t="s">
        <v>539</v>
      </c>
      <c r="C14" s="255" t="s">
        <v>71</v>
      </c>
      <c r="D14" s="255" t="s">
        <v>89</v>
      </c>
      <c r="E14" s="255" t="s">
        <v>72</v>
      </c>
      <c r="F14" s="256"/>
      <c r="G14" s="257" t="s">
        <v>99</v>
      </c>
      <c r="H14" s="204"/>
    </row>
    <row r="15" spans="2:8" x14ac:dyDescent="0.2">
      <c r="B15" s="6"/>
      <c r="C15" s="258"/>
      <c r="D15" s="259"/>
      <c r="E15" s="259"/>
      <c r="F15" s="260"/>
      <c r="G15" s="261"/>
      <c r="H15" s="204"/>
    </row>
    <row r="16" spans="2:8" ht="16" thickBot="1" x14ac:dyDescent="0.25">
      <c r="B16" s="262" t="s">
        <v>473</v>
      </c>
      <c r="C16" s="263"/>
      <c r="D16" s="263"/>
      <c r="E16" s="263"/>
      <c r="F16" s="260"/>
      <c r="G16" s="264"/>
      <c r="H16" s="204"/>
    </row>
    <row r="17" spans="2:7" x14ac:dyDescent="0.2">
      <c r="B17" s="226" t="s">
        <v>536</v>
      </c>
      <c r="C17" s="265">
        <f>'Shadow DCF'!D39</f>
        <v>76.970575840927012</v>
      </c>
      <c r="D17" s="265">
        <f>'Shadow DCF'!D75</f>
        <v>128.28403076238854</v>
      </c>
      <c r="E17" s="265">
        <f>'Shadow DCF'!D111</f>
        <v>179.13503447024598</v>
      </c>
      <c r="F17" s="266"/>
      <c r="G17" s="267" t="s">
        <v>521</v>
      </c>
    </row>
    <row r="18" spans="2:7" x14ac:dyDescent="0.2">
      <c r="B18" s="8" t="s">
        <v>537</v>
      </c>
      <c r="C18" s="268">
        <f>'Shadow DCF'!D40</f>
        <v>97.758499323464946</v>
      </c>
      <c r="D18" s="268">
        <f>'Shadow DCF'!D76</f>
        <v>170.01880298559846</v>
      </c>
      <c r="E18" s="268">
        <f>'Shadow DCF'!D112</f>
        <v>261.01640854386812</v>
      </c>
      <c r="F18" s="266"/>
      <c r="G18" s="267" t="s">
        <v>522</v>
      </c>
    </row>
    <row r="19" spans="2:7" x14ac:dyDescent="0.2">
      <c r="B19" s="8" t="s">
        <v>474</v>
      </c>
      <c r="C19" s="269">
        <f>AVERAGE(C17:C18)</f>
        <v>87.364537582195979</v>
      </c>
      <c r="D19" s="269">
        <f>AVERAGE(D17:D18)</f>
        <v>149.1514168739935</v>
      </c>
      <c r="E19" s="269">
        <f>AVERAGE(E17:E18)</f>
        <v>220.07572150705704</v>
      </c>
      <c r="F19" s="270"/>
      <c r="G19" s="267" t="s">
        <v>475</v>
      </c>
    </row>
    <row r="20" spans="2:7" x14ac:dyDescent="0.2">
      <c r="B20" s="271" t="s">
        <v>476</v>
      </c>
      <c r="C20" s="272">
        <f>C19/$C$12-1</f>
        <v>8.5004192526030531E-2</v>
      </c>
      <c r="D20" s="272">
        <f>D19/$C$12-1</f>
        <v>0.85235242019366009</v>
      </c>
      <c r="E20" s="272">
        <f>E19/$C$12-1</f>
        <v>1.7331808433563967</v>
      </c>
      <c r="F20" s="273"/>
      <c r="G20" s="267" t="s">
        <v>477</v>
      </c>
    </row>
    <row r="21" spans="2:7" x14ac:dyDescent="0.2">
      <c r="B21" s="6"/>
      <c r="C21" s="259"/>
      <c r="D21" s="259"/>
      <c r="E21" s="259"/>
      <c r="F21" s="274"/>
      <c r="G21" s="267"/>
    </row>
    <row r="22" spans="2:7" ht="16" thickBot="1" x14ac:dyDescent="0.25">
      <c r="B22" s="262" t="s">
        <v>478</v>
      </c>
      <c r="C22" s="263"/>
      <c r="D22" s="263"/>
      <c r="E22" s="263"/>
      <c r="F22" s="274"/>
      <c r="G22" s="275"/>
    </row>
    <row r="23" spans="2:7" x14ac:dyDescent="0.2">
      <c r="B23" s="8" t="s">
        <v>91</v>
      </c>
      <c r="C23" s="276">
        <f>Assumptions!E10</f>
        <v>95</v>
      </c>
      <c r="D23" s="276">
        <f>Assumptions!F10</f>
        <v>101</v>
      </c>
      <c r="E23" s="276">
        <f>Assumptions!G10</f>
        <v>105</v>
      </c>
      <c r="F23" s="277"/>
      <c r="G23" s="267" t="s">
        <v>479</v>
      </c>
    </row>
    <row r="24" spans="2:7" x14ac:dyDescent="0.2">
      <c r="B24" s="8" t="s">
        <v>92</v>
      </c>
      <c r="C24" s="278">
        <f>Assumptions!E11</f>
        <v>800</v>
      </c>
      <c r="D24" s="278">
        <f>Assumptions!F11</f>
        <v>1300</v>
      </c>
      <c r="E24" s="278">
        <f>Assumptions!G11</f>
        <v>1600</v>
      </c>
      <c r="F24" s="279"/>
      <c r="G24" s="267" t="s">
        <v>480</v>
      </c>
    </row>
    <row r="25" spans="2:7" x14ac:dyDescent="0.2">
      <c r="B25" s="8" t="s">
        <v>481</v>
      </c>
      <c r="C25" s="280">
        <f>Assumptions!E12</f>
        <v>30</v>
      </c>
      <c r="D25" s="280">
        <f>Assumptions!F12</f>
        <v>35</v>
      </c>
      <c r="E25" s="280">
        <f>Assumptions!G12</f>
        <v>40</v>
      </c>
      <c r="F25" s="281"/>
      <c r="G25" s="267" t="s">
        <v>482</v>
      </c>
    </row>
    <row r="26" spans="2:7" x14ac:dyDescent="0.2">
      <c r="B26" s="271" t="s">
        <v>95</v>
      </c>
      <c r="C26" s="282">
        <f>Assumptions!E13</f>
        <v>81</v>
      </c>
      <c r="D26" s="282">
        <f>Assumptions!F13</f>
        <v>84.5</v>
      </c>
      <c r="E26" s="282">
        <f>Assumptions!G13</f>
        <v>86</v>
      </c>
      <c r="F26" s="277"/>
      <c r="G26" s="267" t="s">
        <v>483</v>
      </c>
    </row>
    <row r="27" spans="2:7" x14ac:dyDescent="0.2">
      <c r="B27" s="271" t="s">
        <v>96</v>
      </c>
      <c r="C27" s="282">
        <f>Assumptions!E14</f>
        <v>19.5</v>
      </c>
      <c r="D27" s="282">
        <f>Assumptions!F14</f>
        <v>17.5</v>
      </c>
      <c r="E27" s="282">
        <f>Assumptions!G14</f>
        <v>15.5</v>
      </c>
      <c r="F27" s="277"/>
      <c r="G27" s="267" t="s">
        <v>484</v>
      </c>
    </row>
    <row r="28" spans="2:7" x14ac:dyDescent="0.2">
      <c r="B28" s="271" t="s">
        <v>97</v>
      </c>
      <c r="C28" s="282">
        <f>Assumptions!E15</f>
        <v>25</v>
      </c>
      <c r="D28" s="282">
        <f>Assumptions!F15</f>
        <v>21.5</v>
      </c>
      <c r="E28" s="282">
        <f>Assumptions!G15</f>
        <v>18</v>
      </c>
      <c r="F28" s="277"/>
      <c r="G28" s="267" t="s">
        <v>485</v>
      </c>
    </row>
    <row r="29" spans="2:7" x14ac:dyDescent="0.2">
      <c r="B29" s="8" t="s">
        <v>34</v>
      </c>
      <c r="C29" s="276">
        <f>Assumptions!E16</f>
        <v>2</v>
      </c>
      <c r="D29" s="276">
        <f>Assumptions!F16</f>
        <v>3</v>
      </c>
      <c r="E29" s="276">
        <f>Assumptions!G16</f>
        <v>3.5</v>
      </c>
      <c r="F29" s="277"/>
      <c r="G29" s="267" t="s">
        <v>486</v>
      </c>
    </row>
    <row r="30" spans="2:7" x14ac:dyDescent="0.2">
      <c r="B30" s="8" t="s">
        <v>98</v>
      </c>
      <c r="C30" s="283">
        <f>Assumptions!E17</f>
        <v>15</v>
      </c>
      <c r="D30" s="283">
        <f>Assumptions!F17</f>
        <v>20</v>
      </c>
      <c r="E30" s="283">
        <f>Assumptions!G17</f>
        <v>25</v>
      </c>
      <c r="F30" s="284"/>
      <c r="G30" s="267" t="s">
        <v>487</v>
      </c>
    </row>
    <row r="31" spans="2:7" x14ac:dyDescent="0.2">
      <c r="B31" s="6"/>
      <c r="C31" s="259"/>
      <c r="D31" s="259"/>
      <c r="E31" s="259"/>
      <c r="F31" s="285"/>
      <c r="G31" s="267"/>
    </row>
    <row r="32" spans="2:7" ht="16" thickBot="1" x14ac:dyDescent="0.25">
      <c r="B32" s="262" t="s">
        <v>488</v>
      </c>
      <c r="C32" s="263"/>
      <c r="D32" s="263"/>
      <c r="E32" s="263"/>
      <c r="F32" s="274"/>
      <c r="G32" s="275"/>
    </row>
    <row r="33" spans="2:7" x14ac:dyDescent="0.2">
      <c r="B33" s="8" t="s">
        <v>291</v>
      </c>
      <c r="C33" s="286">
        <f>'Shadow DCF'!J9</f>
        <v>796.0183964142999</v>
      </c>
      <c r="D33" s="286">
        <f>'Shadow DCF'!J45</f>
        <v>973.09488863072499</v>
      </c>
      <c r="E33" s="286">
        <f>'Shadow DCF'!J81</f>
        <v>1110.2976164977001</v>
      </c>
      <c r="F33" s="287"/>
      <c r="G33" s="267" t="s">
        <v>531</v>
      </c>
    </row>
    <row r="34" spans="2:7" x14ac:dyDescent="0.2">
      <c r="B34" s="271" t="s">
        <v>489</v>
      </c>
      <c r="C34" s="272">
        <f>(C33/669.1)^(1/5)-1</f>
        <v>3.5348157460127094E-2</v>
      </c>
      <c r="D34" s="272">
        <f>(D33/669.1)^(1/5)-1</f>
        <v>7.7786730374734381E-2</v>
      </c>
      <c r="E34" s="272">
        <f>(E33/669.1)^(1/5)-1</f>
        <v>0.10659747654335661</v>
      </c>
      <c r="F34" s="288"/>
      <c r="G34" s="267" t="s">
        <v>490</v>
      </c>
    </row>
    <row r="35" spans="2:7" x14ac:dyDescent="0.2">
      <c r="B35" s="271" t="s">
        <v>122</v>
      </c>
      <c r="C35" s="272">
        <f>C26/100-C27/100-C28/100-0.105</f>
        <v>0.26</v>
      </c>
      <c r="D35" s="272">
        <f>D26/100-D27/100-D28/100-0.1</f>
        <v>0.35499999999999998</v>
      </c>
      <c r="E35" s="272">
        <f>E26/100-E27/100-E28/100-0.1</f>
        <v>0.42499999999999993</v>
      </c>
      <c r="F35" s="288"/>
      <c r="G35" s="289" t="s">
        <v>491</v>
      </c>
    </row>
    <row r="36" spans="2:7" x14ac:dyDescent="0.2">
      <c r="B36" s="8" t="s">
        <v>492</v>
      </c>
      <c r="C36" s="286">
        <f>'Shadow DCF'!J18</f>
        <v>219.70107741034678</v>
      </c>
      <c r="D36" s="286">
        <f>'Shadow DCF'!J54</f>
        <v>356.15272923884532</v>
      </c>
      <c r="E36" s="286">
        <f>'Shadow DCF'!J90</f>
        <v>484.0897607929972</v>
      </c>
      <c r="F36" s="287"/>
      <c r="G36" s="267" t="s">
        <v>532</v>
      </c>
    </row>
    <row r="37" spans="2:7" x14ac:dyDescent="0.2">
      <c r="B37" s="8" t="s">
        <v>493</v>
      </c>
      <c r="C37" s="286">
        <f>'Shadow DCF'!J23</f>
        <v>159.57239012842587</v>
      </c>
      <c r="D37" s="286">
        <f>'Shadow DCF'!J59</f>
        <v>310.14250794469166</v>
      </c>
      <c r="E37" s="286">
        <f>'Shadow DCF'!J95</f>
        <v>446.90570483993582</v>
      </c>
      <c r="F37" s="290"/>
      <c r="G37" s="267" t="s">
        <v>533</v>
      </c>
    </row>
    <row r="38" spans="2:7" x14ac:dyDescent="0.2">
      <c r="B38" s="6"/>
      <c r="C38" s="6"/>
      <c r="D38" s="6"/>
      <c r="E38" s="6"/>
      <c r="F38" s="240"/>
      <c r="G38" s="214"/>
    </row>
    <row r="39" spans="2:7" x14ac:dyDescent="0.2">
      <c r="B39" s="291" t="s">
        <v>538</v>
      </c>
      <c r="C39" s="291"/>
      <c r="D39" s="291"/>
      <c r="E39" s="291"/>
      <c r="F39" s="291"/>
      <c r="G39" s="274"/>
    </row>
    <row r="40" spans="2:7" x14ac:dyDescent="0.2">
      <c r="B40" s="7" t="str">
        <f>"Market price of $"&amp;TEXT(C12,"0.00")&amp;" is roughly in line with our Bear blended output of $"&amp;TEXT(C19,"0.00")&amp;" ("&amp;TEXT(1-C12/C19,"0%")&amp;" gap)."</f>
        <v>Market price of $80.52 is roughly in line with our Bear blended output of $87.36 (8% gap).</v>
      </c>
      <c r="C40" s="6"/>
      <c r="D40" s="6"/>
      <c r="E40" s="6"/>
      <c r="F40" s="240"/>
      <c r="G40" s="6"/>
    </row>
    <row r="41" spans="2:7" ht="27" customHeight="1" x14ac:dyDescent="0.2">
      <c r="B41" s="293" t="s">
        <v>581</v>
      </c>
      <c r="C41" s="293"/>
      <c r="D41" s="293"/>
      <c r="E41" s="293"/>
      <c r="F41" s="293"/>
      <c r="G41" s="6"/>
    </row>
    <row r="42" spans="2:7" x14ac:dyDescent="0.2">
      <c r="B42" s="292"/>
      <c r="C42" s="6"/>
      <c r="D42" s="6"/>
      <c r="E42" s="6"/>
      <c r="F42" s="240"/>
      <c r="G42" s="6"/>
    </row>
    <row r="44" spans="2:7" x14ac:dyDescent="0.2">
      <c r="B44" s="186"/>
    </row>
  </sheetData>
  <mergeCells count="5">
    <mergeCell ref="B41:F41"/>
    <mergeCell ref="C6:G6"/>
    <mergeCell ref="C7:G7"/>
    <mergeCell ref="C8:G8"/>
    <mergeCell ref="C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43"/>
  <sheetViews>
    <sheetView showGridLines="0" workbookViewId="0"/>
  </sheetViews>
  <sheetFormatPr baseColWidth="10" defaultColWidth="8.83203125" defaultRowHeight="14" x14ac:dyDescent="0.2"/>
  <cols>
    <col min="1" max="1" width="2.33203125" style="27" customWidth="1"/>
    <col min="2" max="8" width="8.83203125" style="27" customWidth="1"/>
    <col min="9" max="9" width="81.1640625" style="27" customWidth="1"/>
    <col min="10" max="11" width="8.83203125" style="27" customWidth="1"/>
    <col min="12" max="16384" width="8.83203125" style="27"/>
  </cols>
  <sheetData>
    <row r="2" spans="2:2" ht="19" customHeight="1" x14ac:dyDescent="0.2">
      <c r="B2" s="82" t="s">
        <v>79</v>
      </c>
    </row>
    <row r="3" spans="2:2" x14ac:dyDescent="0.2">
      <c r="B3" s="78" t="s">
        <v>0</v>
      </c>
    </row>
    <row r="18" spans="2:9" x14ac:dyDescent="0.2">
      <c r="B18" s="79" t="s">
        <v>80</v>
      </c>
      <c r="C18" s="62"/>
      <c r="D18" s="62"/>
      <c r="E18" s="62"/>
      <c r="F18" s="62"/>
      <c r="G18" s="62"/>
      <c r="H18" s="62"/>
      <c r="I18" s="62"/>
    </row>
    <row r="19" spans="2:9" x14ac:dyDescent="0.2">
      <c r="B19" s="80">
        <v>1</v>
      </c>
      <c r="C19" s="81" t="s">
        <v>421</v>
      </c>
      <c r="D19" s="52"/>
      <c r="E19" s="52"/>
      <c r="F19" s="52"/>
      <c r="G19" s="52"/>
      <c r="H19" s="52"/>
      <c r="I19" s="52"/>
    </row>
    <row r="20" spans="2:9" x14ac:dyDescent="0.2">
      <c r="B20" s="80">
        <v>2</v>
      </c>
      <c r="C20" s="81" t="s">
        <v>422</v>
      </c>
      <c r="D20" s="52"/>
      <c r="E20" s="52"/>
      <c r="F20" s="52"/>
      <c r="G20" s="52"/>
      <c r="H20" s="52"/>
      <c r="I20" s="52"/>
    </row>
    <row r="21" spans="2:9" x14ac:dyDescent="0.2">
      <c r="B21" s="80">
        <v>3</v>
      </c>
      <c r="C21" s="81" t="s">
        <v>81</v>
      </c>
      <c r="D21" s="52"/>
      <c r="E21" s="52"/>
      <c r="F21" s="52"/>
      <c r="G21" s="52"/>
      <c r="H21" s="52"/>
      <c r="I21" s="52"/>
    </row>
    <row r="22" spans="2:9" x14ac:dyDescent="0.2">
      <c r="B22" s="80">
        <v>4</v>
      </c>
      <c r="C22" s="81" t="s">
        <v>423</v>
      </c>
      <c r="D22" s="52"/>
      <c r="E22" s="52"/>
      <c r="F22" s="52"/>
      <c r="G22" s="52"/>
      <c r="H22" s="52"/>
      <c r="I22" s="52"/>
    </row>
    <row r="23" spans="2:9" x14ac:dyDescent="0.2">
      <c r="B23" s="80">
        <v>5</v>
      </c>
      <c r="C23" s="81" t="s">
        <v>82</v>
      </c>
      <c r="D23" s="52"/>
      <c r="E23" s="52"/>
      <c r="F23" s="52"/>
      <c r="G23" s="52"/>
      <c r="H23" s="52"/>
      <c r="I23" s="52"/>
    </row>
    <row r="24" spans="2:9" x14ac:dyDescent="0.2">
      <c r="B24" s="172">
        <v>6</v>
      </c>
      <c r="C24" s="78" t="s">
        <v>431</v>
      </c>
    </row>
    <row r="25" spans="2:9" x14ac:dyDescent="0.2">
      <c r="B25" s="172">
        <v>7</v>
      </c>
      <c r="C25" s="81" t="s">
        <v>428</v>
      </c>
    </row>
    <row r="27" spans="2:9" x14ac:dyDescent="0.2">
      <c r="B27" s="79" t="s">
        <v>83</v>
      </c>
      <c r="C27" s="62"/>
      <c r="D27" s="62"/>
      <c r="E27" s="62"/>
      <c r="F27" s="62"/>
      <c r="G27" s="62"/>
      <c r="H27" s="62"/>
      <c r="I27" s="62"/>
    </row>
    <row r="28" spans="2:9" x14ac:dyDescent="0.2">
      <c r="B28" s="80">
        <v>1</v>
      </c>
      <c r="C28" s="81" t="s">
        <v>424</v>
      </c>
      <c r="D28" s="52"/>
      <c r="E28" s="52"/>
      <c r="F28" s="52"/>
      <c r="G28" s="52"/>
      <c r="H28" s="52"/>
      <c r="I28" s="52"/>
    </row>
    <row r="29" spans="2:9" x14ac:dyDescent="0.2">
      <c r="B29" s="80">
        <v>2</v>
      </c>
      <c r="C29" s="81" t="s">
        <v>84</v>
      </c>
      <c r="D29" s="52"/>
      <c r="E29" s="52"/>
      <c r="F29" s="52"/>
      <c r="G29" s="52"/>
      <c r="H29" s="52"/>
      <c r="I29" s="52"/>
    </row>
    <row r="30" spans="2:9" x14ac:dyDescent="0.2">
      <c r="B30" s="80">
        <v>3</v>
      </c>
      <c r="C30" s="81" t="s">
        <v>429</v>
      </c>
      <c r="D30" s="52"/>
      <c r="E30" s="52"/>
      <c r="F30" s="52"/>
      <c r="G30" s="52"/>
      <c r="H30" s="52"/>
      <c r="I30" s="52"/>
    </row>
    <row r="31" spans="2:9" x14ac:dyDescent="0.2">
      <c r="B31" s="80">
        <v>4</v>
      </c>
      <c r="C31" s="81" t="s">
        <v>432</v>
      </c>
      <c r="D31" s="52"/>
      <c r="E31" s="52"/>
      <c r="F31" s="52"/>
      <c r="G31" s="52"/>
      <c r="H31" s="52"/>
      <c r="I31" s="52"/>
    </row>
    <row r="33" spans="2:9" x14ac:dyDescent="0.2">
      <c r="B33" s="79" t="s">
        <v>85</v>
      </c>
      <c r="C33" s="62"/>
      <c r="D33" s="62"/>
      <c r="E33" s="62"/>
      <c r="F33" s="62"/>
      <c r="G33" s="62"/>
      <c r="H33" s="62"/>
      <c r="I33" s="62"/>
    </row>
    <row r="34" spans="2:9" x14ac:dyDescent="0.2">
      <c r="B34" s="80">
        <v>1</v>
      </c>
      <c r="C34" s="81" t="s">
        <v>425</v>
      </c>
      <c r="D34" s="52"/>
      <c r="E34" s="52"/>
      <c r="F34" s="52"/>
      <c r="G34" s="52"/>
      <c r="H34" s="52"/>
      <c r="I34" s="52"/>
    </row>
    <row r="35" spans="2:9" x14ac:dyDescent="0.2">
      <c r="B35" s="80">
        <v>2</v>
      </c>
      <c r="C35" s="81" t="s">
        <v>426</v>
      </c>
      <c r="D35" s="52"/>
      <c r="E35" s="52"/>
      <c r="F35" s="52"/>
      <c r="G35" s="52"/>
      <c r="H35" s="52"/>
      <c r="I35" s="52"/>
    </row>
    <row r="36" spans="2:9" x14ac:dyDescent="0.2">
      <c r="B36" s="80">
        <v>3</v>
      </c>
      <c r="C36" s="81" t="s">
        <v>427</v>
      </c>
      <c r="D36" s="52"/>
      <c r="E36" s="52"/>
      <c r="F36" s="52"/>
      <c r="G36" s="52"/>
      <c r="H36" s="52"/>
      <c r="I36" s="52"/>
    </row>
    <row r="37" spans="2:9" x14ac:dyDescent="0.2">
      <c r="B37" s="80">
        <v>4</v>
      </c>
      <c r="C37" s="81" t="s">
        <v>433</v>
      </c>
      <c r="D37" s="52"/>
      <c r="E37" s="52"/>
      <c r="F37" s="52"/>
      <c r="G37" s="52"/>
      <c r="H37" s="52"/>
      <c r="I37" s="52"/>
    </row>
    <row r="39" spans="2:9" x14ac:dyDescent="0.2">
      <c r="B39" s="79" t="s">
        <v>86</v>
      </c>
      <c r="C39" s="62"/>
      <c r="D39" s="62"/>
      <c r="E39" s="62"/>
      <c r="F39" s="62"/>
      <c r="G39" s="62"/>
      <c r="H39" s="62"/>
      <c r="I39" s="62"/>
    </row>
    <row r="40" spans="2:9" x14ac:dyDescent="0.2">
      <c r="B40" s="80">
        <v>1</v>
      </c>
      <c r="C40" s="81" t="s">
        <v>430</v>
      </c>
      <c r="D40" s="52"/>
      <c r="E40" s="52"/>
      <c r="F40" s="52"/>
      <c r="G40" s="52"/>
      <c r="H40" s="52"/>
      <c r="I40" s="52"/>
    </row>
    <row r="41" spans="2:9" x14ac:dyDescent="0.2">
      <c r="B41" s="80">
        <v>2</v>
      </c>
      <c r="C41" s="81" t="s">
        <v>435</v>
      </c>
      <c r="D41" s="52"/>
      <c r="E41" s="52"/>
      <c r="F41" s="52"/>
      <c r="G41" s="52"/>
      <c r="H41" s="52"/>
      <c r="I41" s="52"/>
    </row>
    <row r="42" spans="2:9" x14ac:dyDescent="0.2">
      <c r="B42" s="80">
        <v>3</v>
      </c>
      <c r="C42" s="81" t="s">
        <v>434</v>
      </c>
      <c r="D42" s="52"/>
      <c r="E42" s="52"/>
      <c r="F42" s="52"/>
      <c r="G42" s="52"/>
      <c r="H42" s="52"/>
      <c r="I42" s="52"/>
    </row>
    <row r="43" spans="2:9" x14ac:dyDescent="0.2">
      <c r="B43" s="80">
        <v>4</v>
      </c>
      <c r="C43" s="81" t="s">
        <v>436</v>
      </c>
      <c r="D43" s="52"/>
      <c r="E43" s="52"/>
      <c r="F43" s="52"/>
      <c r="G43" s="52"/>
      <c r="H43" s="52"/>
      <c r="I43" s="52"/>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788D-0656-B549-BA4E-954FC7F52D9D}">
  <sheetPr>
    <tabColor theme="1"/>
  </sheetPr>
  <dimension ref="B18"/>
  <sheetViews>
    <sheetView showGridLines="0" workbookViewId="0"/>
  </sheetViews>
  <sheetFormatPr baseColWidth="10" defaultRowHeight="15" x14ac:dyDescent="0.2"/>
  <cols>
    <col min="1" max="1" width="3.83203125" customWidth="1"/>
  </cols>
  <sheetData>
    <row r="18" spans="2:2" ht="24" x14ac:dyDescent="0.3">
      <c r="B18" s="202" t="s">
        <v>541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74"/>
  <sheetViews>
    <sheetView showGridLines="0" workbookViewId="0"/>
  </sheetViews>
  <sheetFormatPr baseColWidth="10" defaultColWidth="8.83203125" defaultRowHeight="14" outlineLevelRow="1" x14ac:dyDescent="0.2"/>
  <cols>
    <col min="1" max="1" width="2.6640625" style="27" customWidth="1"/>
    <col min="2" max="2" width="22.83203125" style="27" customWidth="1"/>
    <col min="3" max="3" width="8" style="27" customWidth="1"/>
    <col min="4" max="13" width="12" style="27" customWidth="1"/>
    <col min="14" max="14" width="4" style="27" customWidth="1"/>
    <col min="15" max="15" width="50" style="27" customWidth="1"/>
    <col min="16" max="20" width="8.83203125" style="27" customWidth="1"/>
    <col min="21" max="16384" width="8.83203125" style="27"/>
  </cols>
  <sheetData>
    <row r="2" spans="2:8" ht="19" customHeight="1" x14ac:dyDescent="0.2">
      <c r="B2" s="45" t="s">
        <v>74</v>
      </c>
    </row>
    <row r="3" spans="2:8" x14ac:dyDescent="0.2">
      <c r="B3" s="22" t="s">
        <v>0</v>
      </c>
    </row>
    <row r="4" spans="2:8" x14ac:dyDescent="0.2">
      <c r="B4" s="22" t="s">
        <v>1</v>
      </c>
    </row>
    <row r="5" spans="2:8" x14ac:dyDescent="0.2">
      <c r="B5" s="22"/>
    </row>
    <row r="6" spans="2:8" x14ac:dyDescent="0.2">
      <c r="B6" s="22"/>
    </row>
    <row r="7" spans="2:8" ht="15" customHeight="1" x14ac:dyDescent="0.2">
      <c r="B7" s="114" t="s">
        <v>339</v>
      </c>
      <c r="C7" s="62"/>
      <c r="D7" s="62"/>
    </row>
    <row r="8" spans="2:8" ht="15" customHeight="1" x14ac:dyDescent="0.2">
      <c r="B8" s="127" t="s">
        <v>466</v>
      </c>
      <c r="C8" s="117"/>
      <c r="D8" s="117"/>
      <c r="E8" s="117"/>
      <c r="F8" s="117"/>
      <c r="G8" s="117"/>
    </row>
    <row r="9" spans="2:8" ht="15" customHeight="1" x14ac:dyDescent="0.2">
      <c r="B9" s="130" t="s">
        <v>87</v>
      </c>
      <c r="C9" s="130" t="s">
        <v>15</v>
      </c>
      <c r="D9" s="131" t="s">
        <v>88</v>
      </c>
      <c r="E9" s="131" t="s">
        <v>71</v>
      </c>
      <c r="F9" s="131" t="s">
        <v>89</v>
      </c>
      <c r="G9" s="131" t="s">
        <v>72</v>
      </c>
      <c r="H9" s="132" t="s">
        <v>90</v>
      </c>
    </row>
    <row r="10" spans="2:8" ht="15" customHeight="1" x14ac:dyDescent="0.2">
      <c r="B10" s="126" t="s">
        <v>91</v>
      </c>
      <c r="C10" s="126" t="s">
        <v>4</v>
      </c>
      <c r="D10" s="128">
        <v>103</v>
      </c>
      <c r="E10" s="128">
        <v>95</v>
      </c>
      <c r="F10" s="128">
        <v>101</v>
      </c>
      <c r="G10" s="128">
        <v>105</v>
      </c>
      <c r="H10" s="129" t="s">
        <v>89</v>
      </c>
    </row>
    <row r="11" spans="2:8" ht="15" customHeight="1" x14ac:dyDescent="0.2">
      <c r="B11" s="118" t="s">
        <v>92</v>
      </c>
      <c r="C11" s="118" t="s">
        <v>29</v>
      </c>
      <c r="D11" s="119">
        <v>1300</v>
      </c>
      <c r="E11" s="119">
        <v>800</v>
      </c>
      <c r="F11" s="119">
        <v>1300</v>
      </c>
      <c r="G11" s="119">
        <v>1600</v>
      </c>
      <c r="H11" s="125" t="s">
        <v>89</v>
      </c>
    </row>
    <row r="12" spans="2:8" ht="15" customHeight="1" x14ac:dyDescent="0.2">
      <c r="B12" s="118" t="s">
        <v>93</v>
      </c>
      <c r="C12" s="118" t="s">
        <v>94</v>
      </c>
      <c r="D12" s="119">
        <v>35</v>
      </c>
      <c r="E12" s="119">
        <v>30</v>
      </c>
      <c r="F12" s="119">
        <v>35</v>
      </c>
      <c r="G12" s="119">
        <v>40</v>
      </c>
      <c r="H12" s="125" t="s">
        <v>89</v>
      </c>
    </row>
    <row r="13" spans="2:8" ht="15" customHeight="1" x14ac:dyDescent="0.2">
      <c r="B13" s="118" t="s">
        <v>95</v>
      </c>
      <c r="C13" s="118" t="s">
        <v>4</v>
      </c>
      <c r="D13" s="119">
        <v>83</v>
      </c>
      <c r="E13" s="119">
        <v>81</v>
      </c>
      <c r="F13" s="119">
        <v>84.5</v>
      </c>
      <c r="G13" s="119">
        <v>86</v>
      </c>
      <c r="H13" s="125" t="s">
        <v>89</v>
      </c>
    </row>
    <row r="14" spans="2:8" x14ac:dyDescent="0.2">
      <c r="B14" s="118" t="s">
        <v>96</v>
      </c>
      <c r="C14" s="118" t="s">
        <v>4</v>
      </c>
      <c r="D14" s="119">
        <v>17.5</v>
      </c>
      <c r="E14" s="119">
        <v>19.5</v>
      </c>
      <c r="F14" s="119">
        <v>17.5</v>
      </c>
      <c r="G14" s="119">
        <v>15.5</v>
      </c>
      <c r="H14" s="125" t="s">
        <v>89</v>
      </c>
    </row>
    <row r="15" spans="2:8" x14ac:dyDescent="0.2">
      <c r="B15" s="118" t="s">
        <v>97</v>
      </c>
      <c r="C15" s="118" t="s">
        <v>4</v>
      </c>
      <c r="D15" s="119">
        <v>21</v>
      </c>
      <c r="E15" s="119">
        <v>25</v>
      </c>
      <c r="F15" s="119">
        <v>21.5</v>
      </c>
      <c r="G15" s="119">
        <v>18</v>
      </c>
      <c r="H15" s="125" t="s">
        <v>89</v>
      </c>
    </row>
    <row r="16" spans="2:8" x14ac:dyDescent="0.2">
      <c r="B16" s="118" t="s">
        <v>34</v>
      </c>
      <c r="C16" s="118" t="s">
        <v>4</v>
      </c>
      <c r="D16" s="134" t="s">
        <v>342</v>
      </c>
      <c r="E16" s="135">
        <v>2</v>
      </c>
      <c r="F16" s="135">
        <v>3</v>
      </c>
      <c r="G16" s="119">
        <v>3.5</v>
      </c>
      <c r="H16" s="125" t="s">
        <v>89</v>
      </c>
    </row>
    <row r="17" spans="1:15" x14ac:dyDescent="0.2">
      <c r="B17" s="118" t="s">
        <v>98</v>
      </c>
      <c r="C17" s="118" t="s">
        <v>6</v>
      </c>
      <c r="D17" s="134" t="s">
        <v>342</v>
      </c>
      <c r="E17" s="124">
        <v>15</v>
      </c>
      <c r="F17" s="124">
        <v>20</v>
      </c>
      <c r="G17" s="124">
        <v>25</v>
      </c>
      <c r="H17" s="125" t="s">
        <v>89</v>
      </c>
    </row>
    <row r="18" spans="1:15" x14ac:dyDescent="0.2">
      <c r="B18" s="117"/>
      <c r="C18" s="117"/>
      <c r="D18" s="120"/>
      <c r="E18" s="120"/>
      <c r="F18" s="120"/>
      <c r="G18" s="120"/>
      <c r="H18" s="133"/>
    </row>
    <row r="19" spans="1:15" x14ac:dyDescent="0.2">
      <c r="C19" s="26" t="s">
        <v>15</v>
      </c>
      <c r="D19" s="64" t="s">
        <v>16</v>
      </c>
      <c r="E19" s="64" t="s">
        <v>17</v>
      </c>
      <c r="F19" s="64" t="s">
        <v>18</v>
      </c>
      <c r="G19" s="64" t="s">
        <v>19</v>
      </c>
      <c r="H19" s="64" t="s">
        <v>20</v>
      </c>
      <c r="I19" s="65" t="s">
        <v>21</v>
      </c>
      <c r="J19" s="65" t="s">
        <v>22</v>
      </c>
      <c r="K19" s="65" t="s">
        <v>23</v>
      </c>
      <c r="L19" s="65" t="s">
        <v>24</v>
      </c>
      <c r="M19" s="65" t="s">
        <v>25</v>
      </c>
      <c r="O19" s="21" t="s">
        <v>99</v>
      </c>
    </row>
    <row r="21" spans="1:15" ht="15" customHeight="1" thickBot="1" x14ac:dyDescent="0.25">
      <c r="B21" s="26" t="s">
        <v>100</v>
      </c>
    </row>
    <row r="22" spans="1:15" x14ac:dyDescent="0.2">
      <c r="B22" s="31" t="s">
        <v>101</v>
      </c>
      <c r="C22" s="31" t="s">
        <v>27</v>
      </c>
      <c r="D22" s="32">
        <f>'Revenue Build'!D21</f>
        <v>411.2</v>
      </c>
      <c r="E22" s="32">
        <f>'Revenue Build'!E21</f>
        <v>489.7</v>
      </c>
      <c r="F22" s="32">
        <f>'Revenue Build'!F21</f>
        <v>554.5</v>
      </c>
      <c r="G22" s="32">
        <f>'Revenue Build'!G21</f>
        <v>607.6</v>
      </c>
      <c r="H22" s="32">
        <f>'Revenue Build'!H21</f>
        <v>669.1</v>
      </c>
      <c r="I22" s="32">
        <f>'Revenue Build'!I21</f>
        <v>734.673</v>
      </c>
      <c r="J22" s="32">
        <f>'Revenue Build'!J21</f>
        <v>798.53982499999995</v>
      </c>
      <c r="K22" s="32">
        <f>'Revenue Build'!K21</f>
        <v>860.01062149999996</v>
      </c>
      <c r="L22" s="32">
        <f>'Revenue Build'!L21</f>
        <v>918.41078082249999</v>
      </c>
      <c r="M22" s="32">
        <f>'Revenue Build'!M21</f>
        <v>973.09488863072499</v>
      </c>
      <c r="O22" s="22"/>
    </row>
    <row r="23" spans="1:15" x14ac:dyDescent="0.2">
      <c r="B23" s="33" t="s">
        <v>102</v>
      </c>
      <c r="C23" s="33" t="s">
        <v>4</v>
      </c>
      <c r="D23" s="50"/>
      <c r="E23" s="35">
        <f t="shared" ref="E23:M23" si="0">(E22/D22-1)*100</f>
        <v>19.090466926070036</v>
      </c>
      <c r="F23" s="35">
        <f t="shared" si="0"/>
        <v>13.232591382479075</v>
      </c>
      <c r="G23" s="35">
        <f t="shared" si="0"/>
        <v>9.5761947700631289</v>
      </c>
      <c r="H23" s="35">
        <f>(H22/G22-1)*100</f>
        <v>10.121790651744567</v>
      </c>
      <c r="I23" s="35">
        <f>(I22/H22-1)*100</f>
        <v>9.800179345389326</v>
      </c>
      <c r="J23" s="35">
        <f t="shared" si="0"/>
        <v>8.6932315465519938</v>
      </c>
      <c r="K23" s="35">
        <f t="shared" si="0"/>
        <v>7.6978999137582216</v>
      </c>
      <c r="L23" s="35">
        <f t="shared" si="0"/>
        <v>6.7906323320333639</v>
      </c>
      <c r="M23" s="35">
        <f t="shared" si="0"/>
        <v>5.9542101366941269</v>
      </c>
      <c r="O23" s="22"/>
    </row>
    <row r="24" spans="1:15" x14ac:dyDescent="0.2">
      <c r="B24" s="33" t="s">
        <v>91</v>
      </c>
      <c r="C24" s="33" t="s">
        <v>4</v>
      </c>
      <c r="D24" s="50"/>
      <c r="E24" s="44">
        <f>'Revenue Build'!E10</f>
        <v>109</v>
      </c>
      <c r="F24" s="44">
        <f>'Revenue Build'!F10</f>
        <v>105</v>
      </c>
      <c r="G24" s="44">
        <f>'Revenue Build'!G10</f>
        <v>103</v>
      </c>
      <c r="H24" s="44">
        <f>'Revenue Build'!H10</f>
        <v>103</v>
      </c>
      <c r="I24" s="44">
        <f>'Revenue Build'!I10</f>
        <v>103</v>
      </c>
      <c r="J24" s="44">
        <f>'Revenue Build'!J10</f>
        <v>102.5</v>
      </c>
      <c r="K24" s="44">
        <f>'Revenue Build'!K10</f>
        <v>102</v>
      </c>
      <c r="L24" s="44">
        <f>'Revenue Build'!L10</f>
        <v>101.5</v>
      </c>
      <c r="M24" s="44">
        <f>'Revenue Build'!M10</f>
        <v>101</v>
      </c>
      <c r="O24" s="22"/>
    </row>
    <row r="25" spans="1:15" x14ac:dyDescent="0.2">
      <c r="B25" s="37" t="s">
        <v>103</v>
      </c>
      <c r="C25" s="37" t="s">
        <v>29</v>
      </c>
      <c r="D25" s="66">
        <f>'Revenue Build'!D31</f>
        <v>10000</v>
      </c>
      <c r="E25" s="66">
        <f>'Revenue Build'!E31</f>
        <v>10000</v>
      </c>
      <c r="F25" s="66">
        <f>'Revenue Build'!F31</f>
        <v>10000</v>
      </c>
      <c r="G25" s="66">
        <f>'Revenue Build'!G31</f>
        <v>10000</v>
      </c>
      <c r="H25" s="66">
        <f>'Revenue Build'!H31</f>
        <v>10000</v>
      </c>
      <c r="I25" s="66">
        <f>'Revenue Build'!I31</f>
        <v>10000</v>
      </c>
      <c r="J25" s="66">
        <f>'Revenue Build'!J31</f>
        <v>10000</v>
      </c>
      <c r="K25" s="66">
        <f>'Revenue Build'!K31</f>
        <v>10000</v>
      </c>
      <c r="L25" s="66">
        <f>'Revenue Build'!L31</f>
        <v>10000</v>
      </c>
      <c r="M25" s="66">
        <f>'Revenue Build'!M31</f>
        <v>10000</v>
      </c>
      <c r="O25" s="22"/>
    </row>
    <row r="26" spans="1:15" x14ac:dyDescent="0.2">
      <c r="B26" s="37" t="s">
        <v>104</v>
      </c>
      <c r="C26" s="37" t="s">
        <v>94</v>
      </c>
      <c r="D26" s="40">
        <f>'Revenue Build'!D32</f>
        <v>41.12</v>
      </c>
      <c r="E26" s="40">
        <f>'Revenue Build'!E32</f>
        <v>48.97</v>
      </c>
      <c r="F26" s="40">
        <f>'Revenue Build'!F32</f>
        <v>55.45</v>
      </c>
      <c r="G26" s="40">
        <f>'Revenue Build'!G32</f>
        <v>60.76</v>
      </c>
      <c r="H26" s="40">
        <f>'Revenue Build'!H32</f>
        <v>66.91</v>
      </c>
      <c r="I26" s="40">
        <f>'Revenue Build'!I32</f>
        <v>73.467299999999994</v>
      </c>
      <c r="J26" s="40">
        <f>'Revenue Build'!J32</f>
        <v>79.853982499999987</v>
      </c>
      <c r="K26" s="40">
        <f>'Revenue Build'!K32</f>
        <v>86.001062149999996</v>
      </c>
      <c r="L26" s="40">
        <f>'Revenue Build'!L32</f>
        <v>91.841078082250007</v>
      </c>
      <c r="M26" s="40">
        <f>'Revenue Build'!M32</f>
        <v>97.309488863072502</v>
      </c>
      <c r="O26" s="22"/>
    </row>
    <row r="27" spans="1:15" x14ac:dyDescent="0.2">
      <c r="A27" s="67"/>
      <c r="B27" s="67"/>
      <c r="C27" s="67"/>
      <c r="D27" s="67"/>
      <c r="E27" s="67"/>
      <c r="F27" s="67"/>
      <c r="G27" s="67"/>
      <c r="H27" s="67"/>
      <c r="I27" s="67"/>
      <c r="J27" s="67"/>
      <c r="K27" s="67"/>
      <c r="L27" s="67"/>
      <c r="M27" s="67"/>
      <c r="N27" s="67"/>
      <c r="O27" s="67"/>
    </row>
    <row r="28" spans="1:15" ht="15" customHeight="1" thickBot="1" x14ac:dyDescent="0.25">
      <c r="B28" s="26" t="s">
        <v>105</v>
      </c>
      <c r="O28" s="20"/>
    </row>
    <row r="29" spans="1:15" x14ac:dyDescent="0.2">
      <c r="B29" s="68" t="s">
        <v>106</v>
      </c>
      <c r="C29" s="68" t="s">
        <v>4</v>
      </c>
      <c r="D29" s="69">
        <v>61</v>
      </c>
      <c r="E29" s="69">
        <v>60</v>
      </c>
      <c r="F29" s="69">
        <v>60</v>
      </c>
      <c r="G29" s="69">
        <v>58</v>
      </c>
      <c r="H29" s="69">
        <v>56</v>
      </c>
      <c r="I29" s="69">
        <v>54.5</v>
      </c>
      <c r="J29" s="69">
        <v>53</v>
      </c>
      <c r="K29" s="69">
        <v>51.5</v>
      </c>
      <c r="L29" s="69">
        <v>50</v>
      </c>
      <c r="M29" s="69">
        <v>50</v>
      </c>
      <c r="O29" s="22" t="s">
        <v>107</v>
      </c>
    </row>
    <row r="30" spans="1:15" x14ac:dyDescent="0.2">
      <c r="B30" s="33" t="s">
        <v>108</v>
      </c>
      <c r="C30" s="33" t="s">
        <v>4</v>
      </c>
      <c r="D30" s="33">
        <f t="shared" ref="D30:M30" si="1">100-D29</f>
        <v>39</v>
      </c>
      <c r="E30" s="33">
        <f t="shared" si="1"/>
        <v>40</v>
      </c>
      <c r="F30" s="33">
        <f t="shared" si="1"/>
        <v>40</v>
      </c>
      <c r="G30" s="33">
        <f t="shared" si="1"/>
        <v>42</v>
      </c>
      <c r="H30" s="33">
        <f t="shared" si="1"/>
        <v>44</v>
      </c>
      <c r="I30" s="33">
        <f t="shared" si="1"/>
        <v>45.5</v>
      </c>
      <c r="J30" s="33">
        <f t="shared" si="1"/>
        <v>47</v>
      </c>
      <c r="K30" s="33">
        <f t="shared" si="1"/>
        <v>48.5</v>
      </c>
      <c r="L30" s="33">
        <f t="shared" si="1"/>
        <v>50</v>
      </c>
      <c r="M30" s="33">
        <f t="shared" si="1"/>
        <v>50</v>
      </c>
    </row>
    <row r="31" spans="1:15" x14ac:dyDescent="0.2">
      <c r="B31" s="37" t="s">
        <v>109</v>
      </c>
      <c r="C31" s="37" t="s">
        <v>27</v>
      </c>
      <c r="D31" s="70">
        <f t="shared" ref="D31:M31" si="2">D22*D29/100</f>
        <v>250.83199999999999</v>
      </c>
      <c r="E31" s="70">
        <f t="shared" si="2"/>
        <v>293.82</v>
      </c>
      <c r="F31" s="70">
        <f t="shared" si="2"/>
        <v>332.7</v>
      </c>
      <c r="G31" s="70">
        <f t="shared" si="2"/>
        <v>352.40800000000002</v>
      </c>
      <c r="H31" s="70">
        <f t="shared" si="2"/>
        <v>374.69599999999997</v>
      </c>
      <c r="I31" s="70">
        <f t="shared" si="2"/>
        <v>400.39678500000002</v>
      </c>
      <c r="J31" s="70">
        <f t="shared" si="2"/>
        <v>423.22610724999998</v>
      </c>
      <c r="K31" s="70">
        <f t="shared" si="2"/>
        <v>442.90547007249995</v>
      </c>
      <c r="L31" s="70">
        <f t="shared" si="2"/>
        <v>459.20539041124999</v>
      </c>
      <c r="M31" s="70">
        <f t="shared" si="2"/>
        <v>486.5474443153625</v>
      </c>
      <c r="O31" s="22"/>
    </row>
    <row r="32" spans="1:15" x14ac:dyDescent="0.2">
      <c r="B32" s="37" t="s">
        <v>110</v>
      </c>
      <c r="C32" s="37" t="s">
        <v>27</v>
      </c>
      <c r="D32" s="70">
        <f t="shared" ref="D32:M32" si="3">D22*D30/100</f>
        <v>160.36799999999999</v>
      </c>
      <c r="E32" s="70">
        <f t="shared" si="3"/>
        <v>195.88</v>
      </c>
      <c r="F32" s="70">
        <f t="shared" si="3"/>
        <v>221.8</v>
      </c>
      <c r="G32" s="70">
        <f t="shared" si="3"/>
        <v>255.19200000000001</v>
      </c>
      <c r="H32" s="70">
        <f t="shared" si="3"/>
        <v>294.404</v>
      </c>
      <c r="I32" s="70">
        <f t="shared" si="3"/>
        <v>334.27621500000004</v>
      </c>
      <c r="J32" s="70">
        <f t="shared" si="3"/>
        <v>375.31371775000002</v>
      </c>
      <c r="K32" s="70">
        <f t="shared" si="3"/>
        <v>417.10515142749995</v>
      </c>
      <c r="L32" s="70">
        <f t="shared" si="3"/>
        <v>459.20539041124999</v>
      </c>
      <c r="M32" s="70">
        <f t="shared" si="3"/>
        <v>486.5474443153625</v>
      </c>
    </row>
    <row r="34" spans="2:15" ht="15" customHeight="1" thickBot="1" x14ac:dyDescent="0.25">
      <c r="B34" s="26" t="s">
        <v>111</v>
      </c>
      <c r="O34" s="20"/>
    </row>
    <row r="35" spans="2:15" x14ac:dyDescent="0.2">
      <c r="B35" s="31" t="s">
        <v>112</v>
      </c>
      <c r="C35" s="31" t="s">
        <v>4</v>
      </c>
      <c r="D35" s="48">
        <v>59</v>
      </c>
      <c r="E35" s="48">
        <v>58</v>
      </c>
      <c r="F35" s="48">
        <v>57</v>
      </c>
      <c r="G35" s="48">
        <v>54</v>
      </c>
      <c r="H35" s="48">
        <v>51</v>
      </c>
      <c r="I35" s="48">
        <v>50</v>
      </c>
      <c r="J35" s="48">
        <v>49</v>
      </c>
      <c r="K35" s="48">
        <v>48</v>
      </c>
      <c r="L35" s="48">
        <v>47</v>
      </c>
      <c r="M35" s="48">
        <v>46</v>
      </c>
      <c r="O35" s="22" t="s">
        <v>113</v>
      </c>
    </row>
    <row r="36" spans="2:15" x14ac:dyDescent="0.2">
      <c r="B36" s="37" t="s">
        <v>114</v>
      </c>
      <c r="C36" s="37" t="s">
        <v>4</v>
      </c>
      <c r="D36" s="37">
        <f t="shared" ref="D36:M36" si="4">100-D35</f>
        <v>41</v>
      </c>
      <c r="E36" s="37">
        <f t="shared" si="4"/>
        <v>42</v>
      </c>
      <c r="F36" s="37">
        <f t="shared" si="4"/>
        <v>43</v>
      </c>
      <c r="G36" s="37">
        <f t="shared" si="4"/>
        <v>46</v>
      </c>
      <c r="H36" s="37">
        <f t="shared" si="4"/>
        <v>49</v>
      </c>
      <c r="I36" s="37">
        <f t="shared" si="4"/>
        <v>50</v>
      </c>
      <c r="J36" s="37">
        <f t="shared" si="4"/>
        <v>51</v>
      </c>
      <c r="K36" s="37">
        <f t="shared" si="4"/>
        <v>52</v>
      </c>
      <c r="L36" s="37">
        <f t="shared" si="4"/>
        <v>53</v>
      </c>
      <c r="M36" s="37">
        <f t="shared" si="4"/>
        <v>54</v>
      </c>
      <c r="O36" s="22" t="s">
        <v>115</v>
      </c>
    </row>
    <row r="38" spans="2:15" ht="15" customHeight="1" thickBot="1" x14ac:dyDescent="0.25">
      <c r="B38" s="26" t="s">
        <v>116</v>
      </c>
    </row>
    <row r="39" spans="2:15" x14ac:dyDescent="0.2">
      <c r="B39" s="68" t="s">
        <v>95</v>
      </c>
      <c r="C39" s="68" t="s">
        <v>4</v>
      </c>
      <c r="D39" s="71">
        <f>'Income Statement'!D15</f>
        <v>78.258754863813223</v>
      </c>
      <c r="E39" s="71">
        <f>'Income Statement'!E15</f>
        <v>79.00755564631406</v>
      </c>
      <c r="F39" s="71">
        <f>'Income Statement'!F15</f>
        <v>80.613165013525702</v>
      </c>
      <c r="G39" s="71">
        <f>'Income Statement'!G15</f>
        <v>81.64911125740619</v>
      </c>
      <c r="H39" s="71">
        <f>'Income Statement'!H15</f>
        <v>82.842624420863856</v>
      </c>
      <c r="I39" s="112">
        <f>$D$13</f>
        <v>83</v>
      </c>
      <c r="J39" s="112">
        <f>$D$13+(INDEX($E$13:$G$13,MATCH($H$13,$E$9:$G$9,0))-$D$13)*1/4</f>
        <v>83.375</v>
      </c>
      <c r="K39" s="112">
        <f>$D$13+(INDEX($E$13:$G$13,MATCH($H$13,$E$9:$G$9,0))-$D$13)*2/4</f>
        <v>83.75</v>
      </c>
      <c r="L39" s="112">
        <f>$D$13+(INDEX($E$13:$G$13,MATCH($H$13,$E$9:$G$9,0))-$D$13)*3/4</f>
        <v>84.125</v>
      </c>
      <c r="M39" s="112">
        <f>$D$13+(INDEX($E$13:$G$13,MATCH($H$13,$E$9:$G$9,0))-$D$13)*4/4</f>
        <v>84.5</v>
      </c>
      <c r="O39" s="22" t="s">
        <v>117</v>
      </c>
    </row>
    <row r="40" spans="2:15" x14ac:dyDescent="0.2">
      <c r="B40" s="108" t="s">
        <v>96</v>
      </c>
      <c r="C40" s="33" t="s">
        <v>4</v>
      </c>
      <c r="D40" s="44">
        <f>'Income Statement'!D19</f>
        <v>19.771400778210115</v>
      </c>
      <c r="E40" s="44">
        <f>'Income Statement'!E19</f>
        <v>20.665713702266693</v>
      </c>
      <c r="F40" s="44">
        <f>'Income Statement'!F19</f>
        <v>19.927862939585211</v>
      </c>
      <c r="G40" s="44">
        <f>'Income Statement'!G19</f>
        <v>18.416721527320608</v>
      </c>
      <c r="H40" s="44">
        <f>'Income Statement'!H19</f>
        <v>17.531011806904797</v>
      </c>
      <c r="I40" s="121">
        <f>$D$14</f>
        <v>17.5</v>
      </c>
      <c r="J40" s="121">
        <f>$D$14+(INDEX($E$14:$G$14,MATCH($H$14,$E$9:$G$9,0))-$D$14)*1/4</f>
        <v>17.5</v>
      </c>
      <c r="K40" s="121">
        <f>$D$14+(INDEX($E$14:$G$14,MATCH($H$14,$E$9:$G$9,0))-$D$14)*2/4</f>
        <v>17.5</v>
      </c>
      <c r="L40" s="121">
        <f>$D$14+(INDEX($E$14:$G$14,MATCH($H$14,$E$9:$G$9,0))-$D$14)*3/4</f>
        <v>17.5</v>
      </c>
      <c r="M40" s="121">
        <f>$D$14+(INDEX($E$14:$G$14,MATCH($H$14,$E$9:$G$9,0))-$D$14)*4/4</f>
        <v>17.5</v>
      </c>
      <c r="O40" s="22" t="s">
        <v>118</v>
      </c>
    </row>
    <row r="41" spans="2:15" x14ac:dyDescent="0.2">
      <c r="B41" s="33" t="s">
        <v>119</v>
      </c>
      <c r="C41" s="33" t="s">
        <v>4</v>
      </c>
      <c r="D41" s="44">
        <f>'Income Statement'!D21</f>
        <v>18.604085603112843</v>
      </c>
      <c r="E41" s="44">
        <f>'Income Statement'!E21</f>
        <v>19.848887073718604</v>
      </c>
      <c r="F41" s="44">
        <f>'Income Statement'!F21</f>
        <v>20.144274120829579</v>
      </c>
      <c r="G41" s="44">
        <f>'Income Statement'!G21</f>
        <v>21.115865701119159</v>
      </c>
      <c r="H41" s="44">
        <f>'Income Statement'!H21</f>
        <v>21.44671947392019</v>
      </c>
      <c r="I41" s="121">
        <f>$D$15</f>
        <v>21</v>
      </c>
      <c r="J41" s="121">
        <f>$D$15+(INDEX($E$15:$G$15,MATCH($H$15,$E$9:$G$9,0))-$D$15)*1/4</f>
        <v>21.125</v>
      </c>
      <c r="K41" s="121">
        <f>$D$15+(INDEX($E$15:$G$15,MATCH($H$15,$E$9:$G$9,0))-$D$15)*2/4</f>
        <v>21.25</v>
      </c>
      <c r="L41" s="121">
        <f>$D$15+(INDEX($E$15:$G$15,MATCH($H$15,$E$9:$G$9,0))-$D$15)*3/4</f>
        <v>21.375</v>
      </c>
      <c r="M41" s="121">
        <f>$D$15+(INDEX($E$15:$G$15,MATCH($H$15,$E$9:$G$9,0))-$D$15)*4/4</f>
        <v>21.5</v>
      </c>
      <c r="O41" s="22" t="s">
        <v>438</v>
      </c>
    </row>
    <row r="42" spans="2:15" x14ac:dyDescent="0.2">
      <c r="B42" s="108" t="s">
        <v>120</v>
      </c>
      <c r="C42" s="33" t="s">
        <v>4</v>
      </c>
      <c r="D42" s="44">
        <f>'Income Statement'!D23</f>
        <v>18.555447470817121</v>
      </c>
      <c r="E42" s="44">
        <f>'Income Statement'!E23</f>
        <v>11.843986113947315</v>
      </c>
      <c r="F42" s="44">
        <f>'Income Statement'!F23</f>
        <v>11.127141568981065</v>
      </c>
      <c r="G42" s="44">
        <f>'Income Statement'!G23</f>
        <v>11.306780776826859</v>
      </c>
      <c r="H42" s="44">
        <f>'Income Statement'!H23</f>
        <v>10.700941563293975</v>
      </c>
      <c r="I42" s="39">
        <v>10.5</v>
      </c>
      <c r="J42" s="39">
        <v>10.5</v>
      </c>
      <c r="K42" s="39">
        <v>10</v>
      </c>
      <c r="L42" s="39">
        <v>10</v>
      </c>
      <c r="M42" s="39">
        <v>10</v>
      </c>
      <c r="O42" s="22" t="s">
        <v>121</v>
      </c>
    </row>
    <row r="43" spans="2:15" x14ac:dyDescent="0.2">
      <c r="B43" s="33" t="s">
        <v>122</v>
      </c>
      <c r="C43" s="33" t="s">
        <v>4</v>
      </c>
      <c r="D43" s="35">
        <f>D39-D40-D41-D42</f>
        <v>21.327821011673144</v>
      </c>
      <c r="E43" s="35">
        <f t="shared" ref="E43:M43" si="5">E39-E40-E41-E42</f>
        <v>26.648968756381443</v>
      </c>
      <c r="F43" s="35">
        <f t="shared" si="5"/>
        <v>29.413886384129846</v>
      </c>
      <c r="G43" s="35">
        <f t="shared" si="5"/>
        <v>30.809743252139565</v>
      </c>
      <c r="H43" s="35">
        <f t="shared" si="5"/>
        <v>33.163951576744893</v>
      </c>
      <c r="I43" s="35">
        <f t="shared" si="5"/>
        <v>34</v>
      </c>
      <c r="J43" s="35">
        <f t="shared" si="5"/>
        <v>34.25</v>
      </c>
      <c r="K43" s="35">
        <f t="shared" si="5"/>
        <v>35</v>
      </c>
      <c r="L43" s="35">
        <f t="shared" si="5"/>
        <v>35.25</v>
      </c>
      <c r="M43" s="35">
        <f t="shared" si="5"/>
        <v>35.5</v>
      </c>
      <c r="O43" s="22" t="s">
        <v>123</v>
      </c>
    </row>
    <row r="44" spans="2:15" x14ac:dyDescent="0.2">
      <c r="B44" s="33" t="s">
        <v>124</v>
      </c>
      <c r="C44" s="33" t="s">
        <v>4</v>
      </c>
      <c r="D44" s="51">
        <v>20.6</v>
      </c>
      <c r="E44" s="51">
        <v>19.2</v>
      </c>
      <c r="F44" s="51">
        <v>15.2</v>
      </c>
      <c r="G44" s="51">
        <v>17.2</v>
      </c>
      <c r="H44" s="51">
        <v>19.7</v>
      </c>
      <c r="I44" s="51">
        <v>20</v>
      </c>
      <c r="J44" s="51">
        <v>20</v>
      </c>
      <c r="K44" s="51">
        <v>20</v>
      </c>
      <c r="L44" s="51">
        <v>20</v>
      </c>
      <c r="M44" s="51">
        <v>20</v>
      </c>
      <c r="O44" s="22" t="s">
        <v>125</v>
      </c>
    </row>
    <row r="45" spans="2:15" outlineLevel="1" x14ac:dyDescent="0.2">
      <c r="B45" s="22" t="s">
        <v>126</v>
      </c>
      <c r="C45" s="22"/>
      <c r="D45" s="72">
        <f>'Income Statement'!D29-D43</f>
        <v>0</v>
      </c>
      <c r="E45" s="72">
        <f>'Income Statement'!E29-E43</f>
        <v>0</v>
      </c>
      <c r="F45" s="72">
        <f>'Income Statement'!F29-F43</f>
        <v>0</v>
      </c>
      <c r="G45" s="72">
        <f>'Income Statement'!G29-G43</f>
        <v>0</v>
      </c>
      <c r="H45" s="72">
        <f>'Income Statement'!H29-H43</f>
        <v>0</v>
      </c>
      <c r="I45" s="72">
        <f>'Income Statement'!I29-I43</f>
        <v>0</v>
      </c>
      <c r="J45" s="72">
        <f>'Income Statement'!J29-J43</f>
        <v>0</v>
      </c>
      <c r="K45" s="72">
        <f>'Income Statement'!K29-K43</f>
        <v>0</v>
      </c>
      <c r="L45" s="72">
        <f>'Income Statement'!L29-L43</f>
        <v>0</v>
      </c>
      <c r="M45" s="72">
        <f>'Income Statement'!M29-M43</f>
        <v>0</v>
      </c>
      <c r="O45" s="22"/>
    </row>
    <row r="46" spans="2:15" x14ac:dyDescent="0.2">
      <c r="B46" s="22"/>
      <c r="C46" s="22"/>
      <c r="D46" s="72"/>
      <c r="E46" s="72"/>
      <c r="F46" s="72"/>
      <c r="G46" s="72"/>
      <c r="H46" s="72"/>
      <c r="I46" s="72"/>
      <c r="J46" s="72"/>
      <c r="K46" s="72"/>
      <c r="L46" s="72"/>
      <c r="M46" s="72"/>
      <c r="O46" s="22"/>
    </row>
    <row r="47" spans="2:15" ht="15" customHeight="1" thickBot="1" x14ac:dyDescent="0.25">
      <c r="B47" s="26" t="s">
        <v>127</v>
      </c>
    </row>
    <row r="48" spans="2:15" x14ac:dyDescent="0.2">
      <c r="B48" s="31" t="s">
        <v>128</v>
      </c>
      <c r="C48" s="31" t="s">
        <v>129</v>
      </c>
      <c r="D48" s="73"/>
      <c r="E48" s="74">
        <f>'Balance Sheet'!E11/'Income Statement'!E9*365</f>
        <v>90.784153563406178</v>
      </c>
      <c r="F48" s="74">
        <f>'Balance Sheet'!F11/'Income Statement'!F9*365</f>
        <v>96.236248872858425</v>
      </c>
      <c r="G48" s="74">
        <f>'Balance Sheet'!G11/'Income Statement'!G9*365</f>
        <v>98.879196840026324</v>
      </c>
      <c r="H48" s="74">
        <f>'Balance Sheet'!H11/'Income Statement'!H9*365</f>
        <v>93.282020624719777</v>
      </c>
      <c r="I48" s="75">
        <v>93</v>
      </c>
      <c r="J48" s="75">
        <v>93</v>
      </c>
      <c r="K48" s="75">
        <v>93</v>
      </c>
      <c r="L48" s="75">
        <v>93</v>
      </c>
      <c r="M48" s="75">
        <v>93</v>
      </c>
      <c r="O48" s="22" t="s">
        <v>467</v>
      </c>
    </row>
    <row r="49" spans="1:15" x14ac:dyDescent="0.2">
      <c r="B49" s="37" t="s">
        <v>130</v>
      </c>
      <c r="C49" s="37" t="s">
        <v>4</v>
      </c>
      <c r="D49" s="34"/>
      <c r="E49" s="44">
        <f>('Balance Sheet'!E25+'Balance Sheet'!E30)/'Income Statement'!E9*100</f>
        <v>64.774351643863596</v>
      </c>
      <c r="F49" s="44">
        <f>('Balance Sheet'!F25+'Balance Sheet'!F30)/'Income Statement'!F9*100</f>
        <v>65.825067628494139</v>
      </c>
      <c r="G49" s="44">
        <f>('Balance Sheet'!G25+'Balance Sheet'!G30)/'Income Statement'!G9*100</f>
        <v>65.141540487162615</v>
      </c>
      <c r="H49" s="44">
        <f>('Balance Sheet'!H25+'Balance Sheet'!H30)/'Income Statement'!H9*100</f>
        <v>62.382304588252879</v>
      </c>
      <c r="I49" s="51">
        <v>60</v>
      </c>
      <c r="J49" s="51">
        <v>60</v>
      </c>
      <c r="K49" s="51">
        <v>60</v>
      </c>
      <c r="L49" s="51">
        <v>60</v>
      </c>
      <c r="M49" s="51">
        <v>60</v>
      </c>
      <c r="O49" s="22" t="s">
        <v>131</v>
      </c>
    </row>
    <row r="50" spans="1:15" x14ac:dyDescent="0.2">
      <c r="B50" s="37" t="s">
        <v>132</v>
      </c>
      <c r="C50" s="37" t="s">
        <v>4</v>
      </c>
      <c r="D50" s="44">
        <f>-'Cash Flow'!D18/'Income Statement'!D9*100</f>
        <v>5.9338521400778204</v>
      </c>
      <c r="E50" s="44">
        <f>-'Cash Flow'!E18/'Income Statement'!E9*100</f>
        <v>3.1447825199101489</v>
      </c>
      <c r="F50" s="44">
        <f>-'Cash Flow'!F18/'Income Statement'!F9*100</f>
        <v>1.5870153291253384</v>
      </c>
      <c r="G50" s="44">
        <f>-'Cash Flow'!G18/'Income Statement'!G9*100</f>
        <v>2.0243581303489138</v>
      </c>
      <c r="H50" s="44">
        <f>-'Cash Flow'!H18/'Income Statement'!H9*100</f>
        <v>0.74727245553728883</v>
      </c>
      <c r="I50" s="51">
        <v>1.2</v>
      </c>
      <c r="J50" s="51">
        <v>1.2</v>
      </c>
      <c r="K50" s="51">
        <v>1</v>
      </c>
      <c r="L50" s="51">
        <v>1</v>
      </c>
      <c r="M50" s="51">
        <v>1</v>
      </c>
      <c r="O50" s="22" t="s">
        <v>133</v>
      </c>
    </row>
    <row r="51" spans="1:15" x14ac:dyDescent="0.2">
      <c r="B51" s="37" t="s">
        <v>134</v>
      </c>
      <c r="C51" s="37" t="s">
        <v>4</v>
      </c>
      <c r="D51" s="44">
        <f>'Income Statement'!D46/'Income Statement'!D9*100</f>
        <v>8.7305447470817121</v>
      </c>
      <c r="E51" s="44">
        <f>'Income Statement'!E46/'Income Statement'!E9*100</f>
        <v>7.0655503369409844</v>
      </c>
      <c r="F51" s="44">
        <f>'Income Statement'!F46/'Income Statement'!F9*100</f>
        <v>4.8692515779981971</v>
      </c>
      <c r="G51" s="44">
        <f>'Income Statement'!G46/'Income Statement'!G9*100</f>
        <v>3.0447662936142197</v>
      </c>
      <c r="H51" s="44">
        <f>'Income Statement'!H46/'Income Statement'!H9*100</f>
        <v>2.1670901210581377</v>
      </c>
      <c r="I51" s="51">
        <v>1.8</v>
      </c>
      <c r="J51" s="51">
        <v>1.5</v>
      </c>
      <c r="K51" s="51">
        <v>1.3</v>
      </c>
      <c r="L51" s="51">
        <v>1.2</v>
      </c>
      <c r="M51" s="51">
        <v>1.1000000000000001</v>
      </c>
      <c r="O51" s="22" t="s">
        <v>135</v>
      </c>
    </row>
    <row r="52" spans="1:15" x14ac:dyDescent="0.2">
      <c r="B52" s="37" t="s">
        <v>136</v>
      </c>
      <c r="C52" s="37" t="s">
        <v>4</v>
      </c>
      <c r="D52" s="40">
        <f>'Income Statement'!D49/'Income Statement'!D9*100</f>
        <v>16.439688715953306</v>
      </c>
      <c r="E52" s="40">
        <f>'Income Statement'!E49/'Income Statement'!E9*100</f>
        <v>10.904635491117011</v>
      </c>
      <c r="F52" s="40">
        <f>'Income Statement'!F49/'Income Statement'!F9*100</f>
        <v>12.461677186654644</v>
      </c>
      <c r="G52" s="40">
        <f>'Income Statement'!G49/'Income Statement'!G9*100</f>
        <v>12.689269256089531</v>
      </c>
      <c r="H52" s="40">
        <f>'Income Statement'!H49/'Income Statement'!H9*100</f>
        <v>11.507995815274247</v>
      </c>
      <c r="I52" s="39">
        <v>11.5</v>
      </c>
      <c r="J52" s="39">
        <v>11</v>
      </c>
      <c r="K52" s="39">
        <v>10.5</v>
      </c>
      <c r="L52" s="39">
        <v>10</v>
      </c>
      <c r="M52" s="39">
        <v>10</v>
      </c>
      <c r="O52" s="22" t="s">
        <v>137</v>
      </c>
    </row>
    <row r="53" spans="1:15" x14ac:dyDescent="0.2">
      <c r="B53" s="20" t="s">
        <v>542</v>
      </c>
      <c r="C53" s="20" t="s">
        <v>4</v>
      </c>
      <c r="D53" s="207"/>
      <c r="E53" s="44">
        <f>('Balance Sheet'!E25/('Balance Sheet'!E25+'Balance Sheet'!E30))*100</f>
        <v>92.591424968474143</v>
      </c>
      <c r="F53" s="44">
        <f>('Balance Sheet'!F25/('Balance Sheet'!F25+'Balance Sheet'!F30))*100</f>
        <v>91.31506849315069</v>
      </c>
      <c r="G53" s="44">
        <f>('Balance Sheet'!G25/('Balance Sheet'!G25+'Balance Sheet'!G30))*100</f>
        <v>93.860535624052559</v>
      </c>
      <c r="H53" s="44">
        <f>('Balance Sheet'!H25/('Balance Sheet'!H25+'Balance Sheet'!H30))*100</f>
        <v>96.094873023478684</v>
      </c>
      <c r="I53" s="51">
        <v>96</v>
      </c>
      <c r="J53" s="51">
        <v>96</v>
      </c>
      <c r="K53" s="51">
        <v>96</v>
      </c>
      <c r="L53" s="51">
        <v>96</v>
      </c>
      <c r="M53" s="51">
        <v>96</v>
      </c>
    </row>
    <row r="54" spans="1:15" x14ac:dyDescent="0.2">
      <c r="B54" s="171"/>
      <c r="D54" s="205"/>
      <c r="E54" s="205"/>
      <c r="F54" s="205"/>
      <c r="G54" s="205"/>
      <c r="H54" s="205"/>
      <c r="I54" s="206"/>
      <c r="J54" s="206"/>
      <c r="K54" s="206"/>
      <c r="L54" s="206"/>
      <c r="M54" s="206"/>
    </row>
    <row r="55" spans="1:15" ht="15" customHeight="1" thickBot="1" x14ac:dyDescent="0.25">
      <c r="B55" s="26" t="s">
        <v>138</v>
      </c>
    </row>
    <row r="56" spans="1:15" x14ac:dyDescent="0.2">
      <c r="B56" s="31" t="s">
        <v>139</v>
      </c>
      <c r="C56" s="31" t="s">
        <v>27</v>
      </c>
      <c r="D56" s="48">
        <v>0</v>
      </c>
      <c r="E56" s="48">
        <v>0</v>
      </c>
      <c r="F56" s="48">
        <v>0</v>
      </c>
      <c r="G56" s="48">
        <v>0</v>
      </c>
      <c r="H56" s="48">
        <v>0</v>
      </c>
      <c r="I56" s="48">
        <v>0</v>
      </c>
      <c r="J56" s="48">
        <v>0</v>
      </c>
      <c r="K56" s="48">
        <v>0</v>
      </c>
      <c r="L56" s="48">
        <v>0</v>
      </c>
      <c r="M56" s="48">
        <v>0</v>
      </c>
      <c r="O56" s="22" t="s">
        <v>140</v>
      </c>
    </row>
    <row r="57" spans="1:15" x14ac:dyDescent="0.2">
      <c r="A57" s="26"/>
      <c r="B57" s="37" t="s">
        <v>141</v>
      </c>
      <c r="C57" s="37" t="s">
        <v>27</v>
      </c>
      <c r="D57" s="39">
        <v>130</v>
      </c>
      <c r="E57" s="39">
        <v>317.3</v>
      </c>
      <c r="F57" s="39">
        <v>170.8</v>
      </c>
      <c r="G57" s="39">
        <v>139.9</v>
      </c>
      <c r="H57" s="39">
        <v>183.4</v>
      </c>
      <c r="I57" s="39">
        <v>185</v>
      </c>
      <c r="J57" s="39">
        <v>190</v>
      </c>
      <c r="K57" s="39">
        <v>195</v>
      </c>
      <c r="L57" s="39">
        <v>200</v>
      </c>
      <c r="M57" s="39">
        <v>200</v>
      </c>
      <c r="O57" s="22" t="s">
        <v>142</v>
      </c>
    </row>
    <row r="58" spans="1:15" x14ac:dyDescent="0.2">
      <c r="A58" s="67"/>
      <c r="B58" s="37" t="s">
        <v>143</v>
      </c>
      <c r="C58" s="37" t="s">
        <v>51</v>
      </c>
      <c r="D58" s="63">
        <v>40.1</v>
      </c>
      <c r="E58" s="63">
        <v>39.299999999999997</v>
      </c>
      <c r="F58" s="63">
        <v>37.6</v>
      </c>
      <c r="G58" s="63">
        <v>37.4</v>
      </c>
      <c r="H58" s="63">
        <v>36.5</v>
      </c>
      <c r="I58" s="63">
        <v>35.5</v>
      </c>
      <c r="J58" s="63">
        <v>34.799999999999997</v>
      </c>
      <c r="K58" s="63">
        <v>34.1</v>
      </c>
      <c r="L58" s="63">
        <v>33.5</v>
      </c>
      <c r="M58" s="63">
        <v>32.9</v>
      </c>
      <c r="O58" s="22" t="s">
        <v>144</v>
      </c>
    </row>
    <row r="59" spans="1:15" ht="15" customHeight="1" thickBot="1" x14ac:dyDescent="0.25">
      <c r="A59" s="67"/>
      <c r="B59" s="26" t="s">
        <v>145</v>
      </c>
      <c r="C59" s="67"/>
      <c r="D59" s="67"/>
      <c r="E59" s="76"/>
      <c r="F59" s="76"/>
      <c r="G59" s="77"/>
      <c r="H59" s="77"/>
      <c r="I59" s="77"/>
      <c r="J59" s="77"/>
      <c r="K59" s="77"/>
      <c r="L59" s="77"/>
      <c r="M59" s="77"/>
      <c r="N59" s="67"/>
    </row>
    <row r="60" spans="1:15" x14ac:dyDescent="0.2">
      <c r="A60" s="67"/>
      <c r="B60" s="31" t="s">
        <v>3</v>
      </c>
      <c r="C60" s="31" t="s">
        <v>4</v>
      </c>
      <c r="D60" s="48">
        <v>4.3099999999999996</v>
      </c>
      <c r="E60" s="67"/>
      <c r="F60" s="67"/>
      <c r="N60" s="67"/>
      <c r="O60" s="22" t="s">
        <v>146</v>
      </c>
    </row>
    <row r="61" spans="1:15" x14ac:dyDescent="0.2">
      <c r="A61" s="67"/>
      <c r="B61" s="37" t="s">
        <v>5</v>
      </c>
      <c r="C61" s="37" t="s">
        <v>4</v>
      </c>
      <c r="D61" s="63">
        <v>5.5</v>
      </c>
      <c r="E61" s="67"/>
      <c r="F61" s="67"/>
      <c r="N61" s="67"/>
      <c r="O61" s="22" t="s">
        <v>147</v>
      </c>
    </row>
    <row r="62" spans="1:15" x14ac:dyDescent="0.2">
      <c r="A62" s="67"/>
      <c r="B62" s="37" t="s">
        <v>573</v>
      </c>
      <c r="C62" s="37" t="s">
        <v>6</v>
      </c>
      <c r="D62" s="63">
        <v>0.61</v>
      </c>
      <c r="E62" s="67"/>
      <c r="F62" s="67"/>
      <c r="N62" s="67"/>
      <c r="O62" s="22" t="s">
        <v>148</v>
      </c>
    </row>
    <row r="63" spans="1:15" x14ac:dyDescent="0.2">
      <c r="A63" s="67"/>
      <c r="B63" s="37" t="s">
        <v>574</v>
      </c>
      <c r="C63" s="37"/>
      <c r="D63" s="238">
        <v>1</v>
      </c>
      <c r="E63" s="67"/>
      <c r="F63" s="67"/>
      <c r="N63" s="67"/>
      <c r="O63" s="22"/>
    </row>
    <row r="64" spans="1:15" x14ac:dyDescent="0.2">
      <c r="A64" s="67"/>
      <c r="B64" s="37" t="s">
        <v>149</v>
      </c>
      <c r="C64" s="37" t="s">
        <v>4</v>
      </c>
      <c r="D64" s="233">
        <f>D60+D63*D61</f>
        <v>9.8099999999999987</v>
      </c>
      <c r="E64" s="67"/>
      <c r="F64" s="67"/>
      <c r="N64" s="67"/>
      <c r="O64" s="22" t="s">
        <v>468</v>
      </c>
    </row>
    <row r="65" spans="1:15" x14ac:dyDescent="0.2">
      <c r="A65" s="67"/>
      <c r="B65" s="37" t="s">
        <v>8</v>
      </c>
      <c r="C65" s="37" t="s">
        <v>4</v>
      </c>
      <c r="D65" s="63">
        <v>0</v>
      </c>
      <c r="E65" s="67"/>
      <c r="F65" s="67"/>
      <c r="N65" s="67"/>
      <c r="O65" s="22" t="s">
        <v>150</v>
      </c>
    </row>
    <row r="66" spans="1:15" x14ac:dyDescent="0.2">
      <c r="A66" s="67"/>
      <c r="B66" s="37" t="s">
        <v>11</v>
      </c>
      <c r="C66" s="37" t="s">
        <v>4</v>
      </c>
      <c r="D66" s="63">
        <v>0</v>
      </c>
      <c r="E66" s="67"/>
      <c r="F66" s="67"/>
      <c r="N66" s="67"/>
      <c r="O66" s="22"/>
    </row>
    <row r="67" spans="1:15" x14ac:dyDescent="0.2">
      <c r="B67" s="37" t="s">
        <v>13</v>
      </c>
      <c r="C67" s="37" t="s">
        <v>4</v>
      </c>
      <c r="D67" s="38">
        <f>D64*(1-D66/100)+D65*(1-H44/100)*(D66/100)</f>
        <v>9.8099999999999987</v>
      </c>
      <c r="O67" s="22"/>
    </row>
    <row r="68" spans="1:15" x14ac:dyDescent="0.2">
      <c r="B68" s="37" t="s">
        <v>34</v>
      </c>
      <c r="C68" s="37" t="s">
        <v>4</v>
      </c>
      <c r="D68" s="63">
        <f>INDEX($E$16:$G$16,MATCH($H$16,$E$9:$G$9,0))</f>
        <v>3</v>
      </c>
      <c r="O68" s="22" t="s">
        <v>469</v>
      </c>
    </row>
    <row r="69" spans="1:15" x14ac:dyDescent="0.2">
      <c r="B69" s="37" t="s">
        <v>151</v>
      </c>
      <c r="C69" s="37" t="s">
        <v>6</v>
      </c>
      <c r="D69" s="8">
        <f>INDEX($E$17:$G$17,MATCH($H$17,$E$9:$G$9,0))</f>
        <v>20</v>
      </c>
      <c r="O69" s="22" t="s">
        <v>152</v>
      </c>
    </row>
    <row r="70" spans="1:15" x14ac:dyDescent="0.2">
      <c r="B70" s="78"/>
      <c r="C70" s="78"/>
      <c r="D70" s="78"/>
      <c r="E70" s="78"/>
      <c r="F70" s="78"/>
      <c r="O70" s="78"/>
    </row>
    <row r="71" spans="1:15" x14ac:dyDescent="0.2">
      <c r="B71" s="78"/>
      <c r="C71" s="78"/>
      <c r="D71" s="78"/>
      <c r="E71" s="78"/>
      <c r="F71" s="78"/>
      <c r="O71" s="78"/>
    </row>
    <row r="72" spans="1:15" x14ac:dyDescent="0.2">
      <c r="B72" s="78"/>
      <c r="C72" s="78"/>
      <c r="D72" s="78"/>
      <c r="E72" s="78"/>
      <c r="F72" s="78"/>
      <c r="O72" s="78"/>
    </row>
    <row r="73" spans="1:15" x14ac:dyDescent="0.2">
      <c r="B73" s="78"/>
      <c r="C73" s="78"/>
      <c r="D73" s="78"/>
      <c r="E73" s="78"/>
      <c r="F73" s="78"/>
      <c r="O73" s="78"/>
    </row>
    <row r="74" spans="1:15" x14ac:dyDescent="0.2">
      <c r="B74" s="78"/>
      <c r="C74" s="78"/>
      <c r="D74" s="78"/>
      <c r="E74" s="78"/>
      <c r="F74" s="78"/>
      <c r="O74" s="78"/>
    </row>
  </sheetData>
  <dataValidations count="1">
    <dataValidation type="list" sqref="H10:H18" xr:uid="{00000000-0002-0000-0200-000000000000}">
      <formula1>"Bear,Base,Bull"</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33"/>
  <sheetViews>
    <sheetView showGridLines="0" zoomScaleNormal="100" workbookViewId="0"/>
  </sheetViews>
  <sheetFormatPr baseColWidth="10" defaultColWidth="8.83203125" defaultRowHeight="14" outlineLevelRow="1" x14ac:dyDescent="0.2"/>
  <cols>
    <col min="1" max="1" width="2" style="27" customWidth="1"/>
    <col min="2" max="2" width="23.33203125" style="27" customWidth="1"/>
    <col min="3" max="3" width="7" style="27" customWidth="1"/>
    <col min="4" max="13" width="12" style="27" customWidth="1"/>
    <col min="14" max="14" width="3" style="27" customWidth="1"/>
    <col min="15" max="15" width="60" style="27" customWidth="1"/>
    <col min="16" max="17" width="8.83203125" style="27" customWidth="1"/>
    <col min="18" max="16384" width="8.83203125" style="27"/>
  </cols>
  <sheetData>
    <row r="2" spans="2:15" ht="19" customHeight="1" x14ac:dyDescent="0.2">
      <c r="B2" s="45" t="s">
        <v>75</v>
      </c>
    </row>
    <row r="3" spans="2:15" x14ac:dyDescent="0.2">
      <c r="B3" s="22" t="s">
        <v>0</v>
      </c>
    </row>
    <row r="4" spans="2:15" x14ac:dyDescent="0.2">
      <c r="B4" s="22" t="s">
        <v>1</v>
      </c>
    </row>
    <row r="5" spans="2:15" x14ac:dyDescent="0.2">
      <c r="B5" s="46"/>
    </row>
    <row r="6" spans="2:15" ht="16" customHeight="1" x14ac:dyDescent="0.2">
      <c r="C6" s="26" t="s">
        <v>15</v>
      </c>
      <c r="D6" s="29" t="s">
        <v>16</v>
      </c>
      <c r="E6" s="29" t="s">
        <v>17</v>
      </c>
      <c r="F6" s="29" t="s">
        <v>18</v>
      </c>
      <c r="G6" s="29" t="s">
        <v>19</v>
      </c>
      <c r="H6" s="29" t="s">
        <v>20</v>
      </c>
      <c r="I6" s="30" t="s">
        <v>21</v>
      </c>
      <c r="J6" s="30" t="s">
        <v>22</v>
      </c>
      <c r="K6" s="30" t="s">
        <v>23</v>
      </c>
      <c r="L6" s="30" t="s">
        <v>24</v>
      </c>
      <c r="M6" s="30" t="s">
        <v>25</v>
      </c>
      <c r="O6" s="21" t="s">
        <v>99</v>
      </c>
    </row>
    <row r="8" spans="2:15" ht="16" customHeight="1" thickBot="1" x14ac:dyDescent="0.25">
      <c r="B8" s="26" t="s">
        <v>153</v>
      </c>
    </row>
    <row r="9" spans="2:15" x14ac:dyDescent="0.2">
      <c r="B9" s="31" t="s">
        <v>154</v>
      </c>
      <c r="C9" s="31" t="s">
        <v>27</v>
      </c>
      <c r="D9" s="47"/>
      <c r="E9" s="48">
        <v>411.2</v>
      </c>
      <c r="F9" s="48">
        <v>489.7</v>
      </c>
      <c r="G9" s="48">
        <v>554.5</v>
      </c>
      <c r="H9" s="48">
        <v>607.6</v>
      </c>
      <c r="I9" s="41">
        <f>H21</f>
        <v>669.1</v>
      </c>
      <c r="J9" s="49">
        <f>I21</f>
        <v>734.673</v>
      </c>
      <c r="K9" s="49">
        <f>J21</f>
        <v>798.53982499999995</v>
      </c>
      <c r="L9" s="49">
        <f>K21</f>
        <v>860.01062149999996</v>
      </c>
      <c r="M9" s="49">
        <f>L21</f>
        <v>918.41078082249999</v>
      </c>
      <c r="O9" s="46"/>
    </row>
    <row r="10" spans="2:15" x14ac:dyDescent="0.2">
      <c r="B10" s="33" t="s">
        <v>91</v>
      </c>
      <c r="C10" s="33" t="s">
        <v>4</v>
      </c>
      <c r="D10" s="50"/>
      <c r="E10" s="51">
        <v>109</v>
      </c>
      <c r="F10" s="51">
        <v>105</v>
      </c>
      <c r="G10" s="51">
        <v>103</v>
      </c>
      <c r="H10" s="51">
        <v>103</v>
      </c>
      <c r="I10" s="122">
        <f>Assumptions!$D$10</f>
        <v>103</v>
      </c>
      <c r="J10" s="122">
        <f>Assumptions!$D$10+(INDEX(Assumptions!$E$10:$G$10,MATCH(Assumptions!$H$10,Assumptions!$E$9:$G$9,0))-Assumptions!$D$10)*1/4</f>
        <v>102.5</v>
      </c>
      <c r="K10" s="122">
        <f>Assumptions!$D$10+(INDEX(Assumptions!$E$10:$G$10,MATCH(Assumptions!$H$10,Assumptions!$E$9:$G$9,0))-Assumptions!$D$10)*2/4</f>
        <v>102</v>
      </c>
      <c r="L10" s="122">
        <f>Assumptions!$D$10+(INDEX(Assumptions!$E$10:$G$10,MATCH(Assumptions!$H$10,Assumptions!$E$9:$G$9,0))-Assumptions!$D$10)*3/4</f>
        <v>101.5</v>
      </c>
      <c r="M10" s="122">
        <f>Assumptions!$D$10+(INDEX(Assumptions!$E$10:$G$10,MATCH(Assumptions!$H$10,Assumptions!$E$9:$G$9,0))-Assumptions!$D$10)*4/4</f>
        <v>101</v>
      </c>
      <c r="O10" s="22" t="s">
        <v>461</v>
      </c>
    </row>
    <row r="11" spans="2:15" x14ac:dyDescent="0.2">
      <c r="B11" s="37" t="s">
        <v>155</v>
      </c>
      <c r="C11" s="37" t="s">
        <v>27</v>
      </c>
      <c r="D11" s="52"/>
      <c r="E11" s="53">
        <f t="shared" ref="E11:M11" si="0">E9*E10/100</f>
        <v>448.20799999999997</v>
      </c>
      <c r="F11" s="53">
        <f t="shared" si="0"/>
        <v>514.18499999999995</v>
      </c>
      <c r="G11" s="53">
        <f t="shared" si="0"/>
        <v>571.13499999999999</v>
      </c>
      <c r="H11" s="53">
        <f t="shared" si="0"/>
        <v>625.82799999999997</v>
      </c>
      <c r="I11" s="53">
        <f t="shared" si="0"/>
        <v>689.173</v>
      </c>
      <c r="J11" s="53">
        <f t="shared" si="0"/>
        <v>753.03982499999995</v>
      </c>
      <c r="K11" s="53">
        <f t="shared" si="0"/>
        <v>814.51062149999996</v>
      </c>
      <c r="L11" s="53">
        <f t="shared" si="0"/>
        <v>872.91078082249999</v>
      </c>
      <c r="M11" s="53">
        <f t="shared" si="0"/>
        <v>927.59488863072499</v>
      </c>
      <c r="O11" s="46"/>
    </row>
    <row r="12" spans="2:15" x14ac:dyDescent="0.2">
      <c r="B12" s="33" t="s">
        <v>156</v>
      </c>
      <c r="C12" s="33" t="s">
        <v>4</v>
      </c>
      <c r="D12" s="50"/>
      <c r="E12" s="54">
        <f>IF(E21=0,"",E11/E21*100)</f>
        <v>91.527057382070652</v>
      </c>
      <c r="F12" s="54">
        <f>IF(F21=0,"",F11/F21*100)</f>
        <v>92.729486023444537</v>
      </c>
      <c r="G12" s="54">
        <f>IF(G21=0,"",G11/G21*100)</f>
        <v>93.998518762343636</v>
      </c>
      <c r="H12" s="54">
        <f>IF(H21=0,"",H11/H21*100)</f>
        <v>93.532805260798085</v>
      </c>
      <c r="I12" s="54">
        <f>I11/I21*100</f>
        <v>93.806768453448001</v>
      </c>
      <c r="J12" s="54">
        <f>J11/J21*100</f>
        <v>94.302100086241779</v>
      </c>
      <c r="K12" s="54">
        <f>K11/K21*100</f>
        <v>94.709367667966646</v>
      </c>
      <c r="L12" s="54">
        <f>L11/L21*100</f>
        <v>95.04578986330587</v>
      </c>
      <c r="M12" s="54">
        <f>M11/M21*100</f>
        <v>95.324196999531608</v>
      </c>
      <c r="O12" s="20" t="s">
        <v>462</v>
      </c>
    </row>
    <row r="14" spans="2:15" ht="16" customHeight="1" thickBot="1" x14ac:dyDescent="0.25">
      <c r="B14" s="26" t="s">
        <v>157</v>
      </c>
    </row>
    <row r="15" spans="2:15" x14ac:dyDescent="0.2">
      <c r="B15" s="31" t="s">
        <v>92</v>
      </c>
      <c r="C15" s="31" t="s">
        <v>29</v>
      </c>
      <c r="D15" s="47"/>
      <c r="E15" s="48">
        <v>1200</v>
      </c>
      <c r="F15" s="48">
        <v>1100</v>
      </c>
      <c r="G15" s="48">
        <v>1300</v>
      </c>
      <c r="H15" s="48">
        <v>1300</v>
      </c>
      <c r="I15" s="115">
        <f>Assumptions!$D$11</f>
        <v>1300</v>
      </c>
      <c r="J15" s="115">
        <f>Assumptions!$D$11+(INDEX(Assumptions!$E$11:$G$11,MATCH(Assumptions!$H$11,Assumptions!$E$9:$G$9,0))-Assumptions!$D$11)*1/4</f>
        <v>1300</v>
      </c>
      <c r="K15" s="115">
        <f>Assumptions!$D$11+(INDEX(Assumptions!$E$11:$G$11,MATCH(Assumptions!$H$11,Assumptions!$E$9:$G$9,0))-Assumptions!$D$11)*2/4</f>
        <v>1300</v>
      </c>
      <c r="L15" s="115">
        <f>Assumptions!$D$11+(INDEX(Assumptions!$E$11:$G$11,MATCH(Assumptions!$H$11,Assumptions!$E$9:$G$9,0))-Assumptions!$D$11)*3/4</f>
        <v>1300</v>
      </c>
      <c r="M15" s="115">
        <f>Assumptions!$D$11+(INDEX(Assumptions!$E$11:$G$11,MATCH(Assumptions!$H$11,Assumptions!$E$9:$G$9,0))-Assumptions!$D$11)*4/4</f>
        <v>1300</v>
      </c>
      <c r="O15" s="22" t="s">
        <v>158</v>
      </c>
    </row>
    <row r="16" spans="2:15" x14ac:dyDescent="0.2">
      <c r="B16" s="37" t="s">
        <v>93</v>
      </c>
      <c r="C16" s="37" t="s">
        <v>94</v>
      </c>
      <c r="D16" s="52"/>
      <c r="E16" s="53">
        <f>IF(E15=0,"",(E21-E11)/E15*1000)</f>
        <v>34.576666666666682</v>
      </c>
      <c r="F16" s="53">
        <f>IF(F15=0,"",(F21-F11)/F15*1000)</f>
        <v>36.650000000000048</v>
      </c>
      <c r="G16" s="53">
        <f>IF(G15=0,"",(G21-G11)/G15*1000)</f>
        <v>28.050000000000022</v>
      </c>
      <c r="H16" s="53">
        <f>IF(H15=0,"",(H21-H11)/H15*1000)</f>
        <v>33.28615384615388</v>
      </c>
      <c r="I16" s="123">
        <f>Assumptions!$D$12</f>
        <v>35</v>
      </c>
      <c r="J16" s="123">
        <f>Assumptions!$D$12+(INDEX(Assumptions!$E$12:$G$12,MATCH(Assumptions!$H$12,Assumptions!$E$9:$G$9,0))-Assumptions!$D$12)*1/4</f>
        <v>35</v>
      </c>
      <c r="K16" s="123">
        <f>Assumptions!$D$12+(INDEX(Assumptions!$E$12:$G$12,MATCH(Assumptions!$H$12,Assumptions!$E$9:$G$9,0))-Assumptions!$D$12)*2/4</f>
        <v>35</v>
      </c>
      <c r="L16" s="123">
        <f>Assumptions!$D$12+(INDEX(Assumptions!$E$12:$G$12,MATCH(Assumptions!$H$12,Assumptions!$E$9:$G$9,0))-Assumptions!$D$12)*3/4</f>
        <v>35</v>
      </c>
      <c r="M16" s="123">
        <f>Assumptions!$D$12+(INDEX(Assumptions!$E$12:$G$12,MATCH(Assumptions!$H$12,Assumptions!$E$9:$G$9,0))-Assumptions!$D$12)*4/4</f>
        <v>35</v>
      </c>
      <c r="O16" s="22" t="s">
        <v>159</v>
      </c>
    </row>
    <row r="17" spans="2:15" x14ac:dyDescent="0.2">
      <c r="B17" s="37" t="s">
        <v>160</v>
      </c>
      <c r="C17" s="37" t="s">
        <v>27</v>
      </c>
      <c r="D17" s="52"/>
      <c r="E17" s="53">
        <f>E21-E11</f>
        <v>41.492000000000019</v>
      </c>
      <c r="F17" s="53">
        <f>F21-F11</f>
        <v>40.315000000000055</v>
      </c>
      <c r="G17" s="53">
        <f>G21-G11</f>
        <v>36.465000000000032</v>
      </c>
      <c r="H17" s="53">
        <f>H21-H11</f>
        <v>43.272000000000048</v>
      </c>
      <c r="I17" s="53">
        <f>I15*I16/1000</f>
        <v>45.5</v>
      </c>
      <c r="J17" s="53">
        <f>J15*J16/1000</f>
        <v>45.5</v>
      </c>
      <c r="K17" s="53">
        <f>K15*K16/1000</f>
        <v>45.5</v>
      </c>
      <c r="L17" s="53">
        <f>L15*L16/1000</f>
        <v>45.5</v>
      </c>
      <c r="M17" s="53">
        <f>M15*M16/1000</f>
        <v>45.5</v>
      </c>
      <c r="O17" s="22" t="s">
        <v>161</v>
      </c>
    </row>
    <row r="18" spans="2:15" x14ac:dyDescent="0.2">
      <c r="B18" s="33" t="s">
        <v>162</v>
      </c>
      <c r="C18" s="33" t="s">
        <v>4</v>
      </c>
      <c r="D18" s="52"/>
      <c r="E18" s="54">
        <f>IF(E21=0,"",E17/E21*100)</f>
        <v>8.4729426179293483</v>
      </c>
      <c r="F18" s="54">
        <f>IF(F21=0,"",F17/F21*100)</f>
        <v>7.2705139765554652</v>
      </c>
      <c r="G18" s="54">
        <f>IF(G21=0,"",G17/G21*100)</f>
        <v>6.0014812376563578</v>
      </c>
      <c r="H18" s="54">
        <f>IF(H21=0,"",H17/H21*100)</f>
        <v>6.4671947392019202</v>
      </c>
      <c r="I18" s="54">
        <f>I17/I21*100</f>
        <v>6.1932315465520036</v>
      </c>
      <c r="J18" s="54">
        <f>J17/J21*100</f>
        <v>5.6978999137582154</v>
      </c>
      <c r="K18" s="54">
        <f>K17/K21*100</f>
        <v>5.290632332033355</v>
      </c>
      <c r="L18" s="54">
        <f>L17/L21*100</f>
        <v>4.9542101366941296</v>
      </c>
      <c r="M18" s="54">
        <f>M17/M21*100</f>
        <v>4.6758030004683926</v>
      </c>
    </row>
    <row r="20" spans="2:15" ht="16" customHeight="1" thickBot="1" x14ac:dyDescent="0.25">
      <c r="B20" s="26" t="s">
        <v>163</v>
      </c>
    </row>
    <row r="21" spans="2:15" x14ac:dyDescent="0.2">
      <c r="B21" s="55" t="s">
        <v>101</v>
      </c>
      <c r="C21" s="31" t="s">
        <v>27</v>
      </c>
      <c r="D21" s="36">
        <v>411.2</v>
      </c>
      <c r="E21" s="36">
        <v>489.7</v>
      </c>
      <c r="F21" s="36">
        <v>554.5</v>
      </c>
      <c r="G21" s="36">
        <v>607.6</v>
      </c>
      <c r="H21" s="36">
        <v>669.1</v>
      </c>
      <c r="I21" s="56">
        <f>I11+I17</f>
        <v>734.673</v>
      </c>
      <c r="J21" s="56">
        <f>J11+J17</f>
        <v>798.53982499999995</v>
      </c>
      <c r="K21" s="56">
        <f>K11+K17</f>
        <v>860.01062149999996</v>
      </c>
      <c r="L21" s="56">
        <f>L11+L17</f>
        <v>918.41078082249999</v>
      </c>
      <c r="M21" s="56">
        <f>M11+M17</f>
        <v>973.09488863072499</v>
      </c>
      <c r="O21" s="46"/>
    </row>
    <row r="22" spans="2:15" x14ac:dyDescent="0.2">
      <c r="B22" s="33" t="s">
        <v>102</v>
      </c>
      <c r="C22" s="33" t="s">
        <v>4</v>
      </c>
      <c r="D22" s="50"/>
      <c r="E22" s="35">
        <f t="shared" ref="E22:M22" si="1">(E21/D21-1)*100</f>
        <v>19.090466926070036</v>
      </c>
      <c r="F22" s="35">
        <f t="shared" si="1"/>
        <v>13.232591382479075</v>
      </c>
      <c r="G22" s="35">
        <f t="shared" si="1"/>
        <v>9.5761947700631289</v>
      </c>
      <c r="H22" s="35">
        <f t="shared" si="1"/>
        <v>10.121790651744567</v>
      </c>
      <c r="I22" s="35">
        <f t="shared" si="1"/>
        <v>9.800179345389326</v>
      </c>
      <c r="J22" s="35">
        <f t="shared" si="1"/>
        <v>8.6932315465519938</v>
      </c>
      <c r="K22" s="35">
        <f t="shared" si="1"/>
        <v>7.6978999137582216</v>
      </c>
      <c r="L22" s="35">
        <f t="shared" si="1"/>
        <v>6.7906323320333639</v>
      </c>
      <c r="M22" s="35">
        <f t="shared" si="1"/>
        <v>5.9542101366941269</v>
      </c>
      <c r="O22" s="46"/>
    </row>
    <row r="23" spans="2:15" outlineLevel="1" x14ac:dyDescent="0.2">
      <c r="B23" s="33" t="s">
        <v>164</v>
      </c>
      <c r="C23" s="33" t="s">
        <v>4</v>
      </c>
      <c r="D23" s="50"/>
      <c r="E23" s="54">
        <f t="shared" ref="E23:M23" si="2">(E11-E9)/D21*100</f>
        <v>8.9999999999999947</v>
      </c>
      <c r="F23" s="54">
        <f t="shared" si="2"/>
        <v>4.9999999999999911</v>
      </c>
      <c r="G23" s="54">
        <f t="shared" si="2"/>
        <v>2.9999999999999987</v>
      </c>
      <c r="H23" s="54">
        <f t="shared" si="2"/>
        <v>2.999999999999992</v>
      </c>
      <c r="I23" s="54">
        <f t="shared" si="2"/>
        <v>2.9999999999999969</v>
      </c>
      <c r="J23" s="54">
        <f t="shared" si="2"/>
        <v>2.4999999999999933</v>
      </c>
      <c r="K23" s="54">
        <f t="shared" si="2"/>
        <v>2.0000000000000009</v>
      </c>
      <c r="L23" s="54">
        <f t="shared" si="2"/>
        <v>1.5000000000000036</v>
      </c>
      <c r="M23" s="54">
        <f t="shared" si="2"/>
        <v>1.0000000000000009</v>
      </c>
      <c r="O23" s="46"/>
    </row>
    <row r="24" spans="2:15" outlineLevel="1" x14ac:dyDescent="0.2">
      <c r="B24" s="33" t="s">
        <v>165</v>
      </c>
      <c r="C24" s="33" t="s">
        <v>4</v>
      </c>
      <c r="D24" s="50"/>
      <c r="E24" s="54">
        <f t="shared" ref="E24:M24" si="3">E17/D21*100</f>
        <v>10.090466926070043</v>
      </c>
      <c r="F24" s="54">
        <f t="shared" si="3"/>
        <v>8.2325913824790806</v>
      </c>
      <c r="G24" s="54">
        <f t="shared" si="3"/>
        <v>6.5761947700631262</v>
      </c>
      <c r="H24" s="54">
        <f t="shared" si="3"/>
        <v>7.1217906517445764</v>
      </c>
      <c r="I24" s="54">
        <f t="shared" si="3"/>
        <v>6.8001793453893287</v>
      </c>
      <c r="J24" s="54">
        <f t="shared" si="3"/>
        <v>6.1932315465520036</v>
      </c>
      <c r="K24" s="54">
        <f t="shared" si="3"/>
        <v>5.6978999137582154</v>
      </c>
      <c r="L24" s="54">
        <f t="shared" si="3"/>
        <v>5.290632332033355</v>
      </c>
      <c r="M24" s="54">
        <f t="shared" si="3"/>
        <v>4.9542101366941296</v>
      </c>
      <c r="O24" s="46"/>
    </row>
    <row r="26" spans="2:15" ht="16" customHeight="1" thickBot="1" x14ac:dyDescent="0.25">
      <c r="B26" s="26" t="s">
        <v>166</v>
      </c>
    </row>
    <row r="27" spans="2:15" x14ac:dyDescent="0.2">
      <c r="B27" s="31" t="s">
        <v>167</v>
      </c>
      <c r="C27" s="31" t="s">
        <v>29</v>
      </c>
      <c r="D27" s="57">
        <v>10000</v>
      </c>
      <c r="E27" s="58">
        <f t="shared" ref="E27:M27" si="4">D31</f>
        <v>10000</v>
      </c>
      <c r="F27" s="58">
        <f t="shared" si="4"/>
        <v>10000</v>
      </c>
      <c r="G27" s="58">
        <f t="shared" si="4"/>
        <v>10000</v>
      </c>
      <c r="H27" s="58">
        <f t="shared" si="4"/>
        <v>10000</v>
      </c>
      <c r="I27" s="58">
        <f t="shared" si="4"/>
        <v>10000</v>
      </c>
      <c r="J27" s="58">
        <f t="shared" si="4"/>
        <v>10000</v>
      </c>
      <c r="K27" s="58">
        <f t="shared" si="4"/>
        <v>10000</v>
      </c>
      <c r="L27" s="58">
        <f t="shared" si="4"/>
        <v>10000</v>
      </c>
      <c r="M27" s="58">
        <f t="shared" si="4"/>
        <v>10000</v>
      </c>
      <c r="O27" s="22" t="s">
        <v>464</v>
      </c>
    </row>
    <row r="28" spans="2:15" x14ac:dyDescent="0.2">
      <c r="B28" s="37" t="s">
        <v>168</v>
      </c>
      <c r="C28" s="37" t="s">
        <v>29</v>
      </c>
      <c r="D28" s="52"/>
      <c r="E28" s="59">
        <f t="shared" ref="E28:M28" si="5">E15</f>
        <v>1200</v>
      </c>
      <c r="F28" s="59">
        <f t="shared" si="5"/>
        <v>1100</v>
      </c>
      <c r="G28" s="59">
        <f t="shared" si="5"/>
        <v>1300</v>
      </c>
      <c r="H28" s="59">
        <f t="shared" si="5"/>
        <v>1300</v>
      </c>
      <c r="I28" s="59">
        <f t="shared" si="5"/>
        <v>1300</v>
      </c>
      <c r="J28" s="59">
        <f t="shared" si="5"/>
        <v>1300</v>
      </c>
      <c r="K28" s="59">
        <f t="shared" si="5"/>
        <v>1300</v>
      </c>
      <c r="L28" s="59">
        <f t="shared" si="5"/>
        <v>1300</v>
      </c>
      <c r="M28" s="59">
        <f t="shared" si="5"/>
        <v>1300</v>
      </c>
      <c r="O28" s="20" t="s">
        <v>465</v>
      </c>
    </row>
    <row r="29" spans="2:15" x14ac:dyDescent="0.2">
      <c r="B29" s="37" t="s">
        <v>169</v>
      </c>
      <c r="C29" s="37" t="s">
        <v>29</v>
      </c>
      <c r="D29" s="52"/>
      <c r="E29" s="59">
        <f t="shared" ref="E29:M29" si="6">E31-E27-E28</f>
        <v>-1200</v>
      </c>
      <c r="F29" s="59">
        <f t="shared" si="6"/>
        <v>-1100</v>
      </c>
      <c r="G29" s="59">
        <f t="shared" si="6"/>
        <v>-1300</v>
      </c>
      <c r="H29" s="59">
        <f t="shared" si="6"/>
        <v>-1300</v>
      </c>
      <c r="I29" s="59">
        <f t="shared" si="6"/>
        <v>-1300</v>
      </c>
      <c r="J29" s="59">
        <f t="shared" si="6"/>
        <v>-1300</v>
      </c>
      <c r="K29" s="59">
        <f t="shared" si="6"/>
        <v>-1300</v>
      </c>
      <c r="L29" s="59">
        <f t="shared" si="6"/>
        <v>-1300</v>
      </c>
      <c r="M29" s="59">
        <f t="shared" si="6"/>
        <v>-1300</v>
      </c>
      <c r="O29" s="46"/>
    </row>
    <row r="30" spans="2:15" x14ac:dyDescent="0.2">
      <c r="B30" s="33" t="s">
        <v>170</v>
      </c>
      <c r="C30" s="33" t="s">
        <v>4</v>
      </c>
      <c r="D30" s="50"/>
      <c r="E30" s="35">
        <f t="shared" ref="E30:M30" si="7">IF(E27=0,"",ABS(E29)/E27*100)</f>
        <v>12</v>
      </c>
      <c r="F30" s="35">
        <f t="shared" si="7"/>
        <v>11</v>
      </c>
      <c r="G30" s="35">
        <f t="shared" si="7"/>
        <v>13</v>
      </c>
      <c r="H30" s="35">
        <f t="shared" si="7"/>
        <v>13</v>
      </c>
      <c r="I30" s="35">
        <f t="shared" si="7"/>
        <v>13</v>
      </c>
      <c r="J30" s="35">
        <f t="shared" si="7"/>
        <v>13</v>
      </c>
      <c r="K30" s="35">
        <f t="shared" si="7"/>
        <v>13</v>
      </c>
      <c r="L30" s="35">
        <f t="shared" si="7"/>
        <v>13</v>
      </c>
      <c r="M30" s="35">
        <f t="shared" si="7"/>
        <v>13</v>
      </c>
      <c r="O30" s="20" t="s">
        <v>463</v>
      </c>
    </row>
    <row r="31" spans="2:15" x14ac:dyDescent="0.2">
      <c r="B31" s="37" t="s">
        <v>103</v>
      </c>
      <c r="C31" s="37" t="s">
        <v>29</v>
      </c>
      <c r="D31" s="60">
        <v>10000</v>
      </c>
      <c r="E31" s="60">
        <v>10000</v>
      </c>
      <c r="F31" s="60">
        <v>10000</v>
      </c>
      <c r="G31" s="60">
        <v>10000</v>
      </c>
      <c r="H31" s="60">
        <v>10000</v>
      </c>
      <c r="I31" s="60">
        <v>10000</v>
      </c>
      <c r="J31" s="60">
        <v>10000</v>
      </c>
      <c r="K31" s="60">
        <v>10000</v>
      </c>
      <c r="L31" s="60">
        <v>10000</v>
      </c>
      <c r="M31" s="60">
        <v>10000</v>
      </c>
      <c r="O31" s="22" t="s">
        <v>171</v>
      </c>
    </row>
    <row r="32" spans="2:15" x14ac:dyDescent="0.2">
      <c r="B32" s="37" t="s">
        <v>104</v>
      </c>
      <c r="C32" s="37" t="s">
        <v>94</v>
      </c>
      <c r="D32" s="53">
        <f t="shared" ref="D32:M32" si="8">D21/D31*1000</f>
        <v>41.12</v>
      </c>
      <c r="E32" s="53">
        <f t="shared" si="8"/>
        <v>48.97</v>
      </c>
      <c r="F32" s="53">
        <f t="shared" si="8"/>
        <v>55.45</v>
      </c>
      <c r="G32" s="53">
        <f t="shared" si="8"/>
        <v>60.76</v>
      </c>
      <c r="H32" s="53">
        <f t="shared" si="8"/>
        <v>66.91</v>
      </c>
      <c r="I32" s="53">
        <f t="shared" si="8"/>
        <v>73.467299999999994</v>
      </c>
      <c r="J32" s="53">
        <f t="shared" si="8"/>
        <v>79.853982499999987</v>
      </c>
      <c r="K32" s="53">
        <f t="shared" si="8"/>
        <v>86.001062149999996</v>
      </c>
      <c r="L32" s="53">
        <f t="shared" si="8"/>
        <v>91.841078082250007</v>
      </c>
      <c r="M32" s="53">
        <f t="shared" si="8"/>
        <v>97.309488863072502</v>
      </c>
    </row>
    <row r="33" spans="2:15" x14ac:dyDescent="0.2">
      <c r="B33" s="54" t="s">
        <v>172</v>
      </c>
      <c r="C33" s="54" t="s">
        <v>4</v>
      </c>
      <c r="D33" s="61"/>
      <c r="E33" s="54">
        <f t="shared" ref="E33:M33" si="9">(E32/D32-1)*100</f>
        <v>19.090466926070036</v>
      </c>
      <c r="F33" s="54">
        <f t="shared" si="9"/>
        <v>13.232591382479075</v>
      </c>
      <c r="G33" s="54">
        <f t="shared" si="9"/>
        <v>9.5761947700631076</v>
      </c>
      <c r="H33" s="54">
        <f t="shared" si="9"/>
        <v>10.121790651744567</v>
      </c>
      <c r="I33" s="54">
        <f t="shared" si="9"/>
        <v>9.800179345389326</v>
      </c>
      <c r="J33" s="54">
        <f t="shared" si="9"/>
        <v>8.6932315465519938</v>
      </c>
      <c r="K33" s="54">
        <f t="shared" si="9"/>
        <v>7.6978999137582216</v>
      </c>
      <c r="L33" s="54">
        <f t="shared" si="9"/>
        <v>6.7906323320333639</v>
      </c>
      <c r="M33" s="54">
        <f t="shared" si="9"/>
        <v>5.9542101366941269</v>
      </c>
      <c r="O33" s="22" t="s">
        <v>173</v>
      </c>
    </row>
  </sheetData>
  <pageMargins left="0.75" right="0.75" top="1" bottom="1" header="0.5" footer="0.5"/>
  <pageSetup orientation="portrait" horizontalDpi="0" verticalDpi="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53"/>
  <sheetViews>
    <sheetView showGridLines="0" workbookViewId="0"/>
  </sheetViews>
  <sheetFormatPr baseColWidth="10" defaultColWidth="8.83203125" defaultRowHeight="14" x14ac:dyDescent="0.2"/>
  <cols>
    <col min="1" max="1" width="1.6640625" style="27" customWidth="1"/>
    <col min="2" max="2" width="35" style="27" customWidth="1"/>
    <col min="3" max="3" width="8" style="27" customWidth="1"/>
    <col min="4" max="13" width="12" style="28" customWidth="1"/>
    <col min="14" max="14" width="3.1640625" style="27" customWidth="1"/>
    <col min="15" max="15" width="50" style="27" customWidth="1"/>
    <col min="16" max="17" width="8.83203125" style="27" customWidth="1"/>
    <col min="18" max="16384" width="8.83203125" style="27"/>
  </cols>
  <sheetData>
    <row r="2" spans="2:15" ht="19" customHeight="1" x14ac:dyDescent="0.2">
      <c r="B2" s="45" t="s">
        <v>76</v>
      </c>
    </row>
    <row r="3" spans="2:15" x14ac:dyDescent="0.2">
      <c r="B3" s="22" t="s">
        <v>0</v>
      </c>
    </row>
    <row r="4" spans="2:15" x14ac:dyDescent="0.2">
      <c r="B4" s="22" t="s">
        <v>1</v>
      </c>
    </row>
    <row r="6" spans="2:15" x14ac:dyDescent="0.2">
      <c r="C6" s="26" t="s">
        <v>15</v>
      </c>
      <c r="D6" s="29" t="s">
        <v>16</v>
      </c>
      <c r="E6" s="29" t="s">
        <v>17</v>
      </c>
      <c r="F6" s="29" t="s">
        <v>18</v>
      </c>
      <c r="G6" s="29" t="s">
        <v>19</v>
      </c>
      <c r="H6" s="29" t="s">
        <v>20</v>
      </c>
      <c r="I6" s="30" t="s">
        <v>21</v>
      </c>
      <c r="J6" s="30" t="s">
        <v>22</v>
      </c>
      <c r="K6" s="30" t="s">
        <v>23</v>
      </c>
      <c r="L6" s="30" t="s">
        <v>24</v>
      </c>
      <c r="M6" s="30" t="s">
        <v>25</v>
      </c>
      <c r="O6" s="21" t="s">
        <v>99</v>
      </c>
    </row>
    <row r="8" spans="2:15" ht="16" customHeight="1" thickBot="1" x14ac:dyDescent="0.25">
      <c r="B8" s="26" t="s">
        <v>174</v>
      </c>
    </row>
    <row r="9" spans="2:15" x14ac:dyDescent="0.2">
      <c r="B9" s="31" t="s">
        <v>101</v>
      </c>
      <c r="C9" s="31" t="s">
        <v>27</v>
      </c>
      <c r="D9" s="32">
        <f>Assumptions!D22</f>
        <v>411.2</v>
      </c>
      <c r="E9" s="32">
        <f>Assumptions!E22</f>
        <v>489.7</v>
      </c>
      <c r="F9" s="32">
        <f>Assumptions!F22</f>
        <v>554.5</v>
      </c>
      <c r="G9" s="32">
        <f>Assumptions!G22</f>
        <v>607.6</v>
      </c>
      <c r="H9" s="32">
        <f>Assumptions!H22</f>
        <v>669.1</v>
      </c>
      <c r="I9" s="32">
        <f>Assumptions!I22</f>
        <v>734.673</v>
      </c>
      <c r="J9" s="32">
        <f>Assumptions!J22</f>
        <v>798.53982499999995</v>
      </c>
      <c r="K9" s="32">
        <f>Assumptions!K22</f>
        <v>860.01062149999996</v>
      </c>
      <c r="L9" s="32">
        <f>Assumptions!L22</f>
        <v>918.41078082249999</v>
      </c>
      <c r="M9" s="32">
        <f>Assumptions!M22</f>
        <v>973.09488863072499</v>
      </c>
      <c r="O9" s="7" t="s">
        <v>454</v>
      </c>
    </row>
    <row r="10" spans="2:15" s="20" customFormat="1" x14ac:dyDescent="0.2">
      <c r="B10" s="33" t="s">
        <v>102</v>
      </c>
      <c r="C10" s="33" t="s">
        <v>4</v>
      </c>
      <c r="D10" s="34"/>
      <c r="E10" s="35">
        <f t="shared" ref="E10:M10" si="0">(E9/D9-1)*100</f>
        <v>19.090466926070036</v>
      </c>
      <c r="F10" s="35">
        <f t="shared" si="0"/>
        <v>13.232591382479075</v>
      </c>
      <c r="G10" s="35">
        <f t="shared" si="0"/>
        <v>9.5761947700631289</v>
      </c>
      <c r="H10" s="35">
        <f t="shared" si="0"/>
        <v>10.121790651744567</v>
      </c>
      <c r="I10" s="35">
        <f t="shared" si="0"/>
        <v>9.800179345389326</v>
      </c>
      <c r="J10" s="35">
        <f t="shared" si="0"/>
        <v>8.6932315465519938</v>
      </c>
      <c r="K10" s="35">
        <f t="shared" si="0"/>
        <v>7.6978999137582216</v>
      </c>
      <c r="L10" s="35">
        <f t="shared" si="0"/>
        <v>6.7906323320333639</v>
      </c>
      <c r="M10" s="35">
        <f t="shared" si="0"/>
        <v>5.9542101366941269</v>
      </c>
    </row>
    <row r="12" spans="2:15" ht="16" customHeight="1" thickBot="1" x14ac:dyDescent="0.25">
      <c r="B12" s="26" t="s">
        <v>175</v>
      </c>
    </row>
    <row r="13" spans="2:15" x14ac:dyDescent="0.2">
      <c r="B13" s="31" t="s">
        <v>176</v>
      </c>
      <c r="C13" s="31" t="s">
        <v>27</v>
      </c>
      <c r="D13" s="36">
        <v>89.4</v>
      </c>
      <c r="E13" s="36">
        <v>102.8</v>
      </c>
      <c r="F13" s="36">
        <v>107.5</v>
      </c>
      <c r="G13" s="36">
        <v>111.5</v>
      </c>
      <c r="H13" s="36">
        <v>114.8</v>
      </c>
      <c r="I13" s="32">
        <f>I9*(100-Assumptions!I39)/100</f>
        <v>124.89441000000001</v>
      </c>
      <c r="J13" s="32">
        <f>J9*(100-Assumptions!J39)/100</f>
        <v>132.75724590624998</v>
      </c>
      <c r="K13" s="32">
        <f>K9*(100-Assumptions!K39)/100</f>
        <v>139.75172599375</v>
      </c>
      <c r="L13" s="32">
        <f>L9*(100-Assumptions!L39)/100</f>
        <v>145.79771145557189</v>
      </c>
      <c r="M13" s="32">
        <f>M9*(100-Assumptions!M39)/100</f>
        <v>150.82970773776239</v>
      </c>
      <c r="O13" s="22" t="s">
        <v>177</v>
      </c>
    </row>
    <row r="14" spans="2:15" x14ac:dyDescent="0.2">
      <c r="B14" s="37" t="s">
        <v>178</v>
      </c>
      <c r="C14" s="37" t="s">
        <v>27</v>
      </c>
      <c r="D14" s="38">
        <f t="shared" ref="D14:M14" si="1">D9-D13</f>
        <v>321.79999999999995</v>
      </c>
      <c r="E14" s="38">
        <f t="shared" si="1"/>
        <v>386.9</v>
      </c>
      <c r="F14" s="38">
        <f t="shared" si="1"/>
        <v>447</v>
      </c>
      <c r="G14" s="38">
        <f t="shared" si="1"/>
        <v>496.1</v>
      </c>
      <c r="H14" s="38">
        <f t="shared" si="1"/>
        <v>554.30000000000007</v>
      </c>
      <c r="I14" s="38">
        <f t="shared" si="1"/>
        <v>609.77859000000001</v>
      </c>
      <c r="J14" s="38">
        <f t="shared" si="1"/>
        <v>665.78257909374997</v>
      </c>
      <c r="K14" s="38">
        <f t="shared" si="1"/>
        <v>720.25889550624993</v>
      </c>
      <c r="L14" s="38">
        <f t="shared" si="1"/>
        <v>772.61306936692813</v>
      </c>
      <c r="M14" s="38">
        <f t="shared" si="1"/>
        <v>822.26518089296258</v>
      </c>
    </row>
    <row r="15" spans="2:15" x14ac:dyDescent="0.2">
      <c r="B15" s="37" t="s">
        <v>95</v>
      </c>
      <c r="C15" s="37" t="s">
        <v>4</v>
      </c>
      <c r="D15" s="38">
        <f t="shared" ref="D15:M15" si="2">D14/D9*100</f>
        <v>78.258754863813223</v>
      </c>
      <c r="E15" s="38">
        <f t="shared" si="2"/>
        <v>79.00755564631406</v>
      </c>
      <c r="F15" s="38">
        <f t="shared" si="2"/>
        <v>80.613165013525702</v>
      </c>
      <c r="G15" s="38">
        <f t="shared" si="2"/>
        <v>81.64911125740619</v>
      </c>
      <c r="H15" s="38">
        <f t="shared" si="2"/>
        <v>82.842624420863856</v>
      </c>
      <c r="I15" s="38">
        <f t="shared" si="2"/>
        <v>83</v>
      </c>
      <c r="J15" s="38">
        <f t="shared" si="2"/>
        <v>83.375</v>
      </c>
      <c r="K15" s="38">
        <f t="shared" si="2"/>
        <v>83.749999999999986</v>
      </c>
      <c r="L15" s="38">
        <f t="shared" si="2"/>
        <v>84.125</v>
      </c>
      <c r="M15" s="38">
        <f t="shared" si="2"/>
        <v>84.5</v>
      </c>
      <c r="O15" s="20" t="s">
        <v>455</v>
      </c>
    </row>
    <row r="17" spans="2:15" ht="16" customHeight="1" thickBot="1" x14ac:dyDescent="0.25">
      <c r="B17" s="26" t="s">
        <v>179</v>
      </c>
    </row>
    <row r="18" spans="2:15" x14ac:dyDescent="0.2">
      <c r="B18" s="31" t="s">
        <v>180</v>
      </c>
      <c r="C18" s="31" t="s">
        <v>27</v>
      </c>
      <c r="D18" s="36">
        <v>81.3</v>
      </c>
      <c r="E18" s="36">
        <v>101.2</v>
      </c>
      <c r="F18" s="36">
        <v>110.5</v>
      </c>
      <c r="G18" s="36">
        <v>111.9</v>
      </c>
      <c r="H18" s="36">
        <v>117.3</v>
      </c>
      <c r="I18" s="32">
        <f>I9*Assumptions!I40/100</f>
        <v>128.56777500000001</v>
      </c>
      <c r="J18" s="32">
        <f>J9*Assumptions!J40/100</f>
        <v>139.74446937499999</v>
      </c>
      <c r="K18" s="32">
        <f>K9*Assumptions!K40/100</f>
        <v>150.50185876250001</v>
      </c>
      <c r="L18" s="32">
        <f>L9*Assumptions!L40/100</f>
        <v>160.72188664393749</v>
      </c>
      <c r="M18" s="32">
        <f>M9*Assumptions!M40/100</f>
        <v>170.29160551037685</v>
      </c>
    </row>
    <row r="19" spans="2:15" x14ac:dyDescent="0.2">
      <c r="B19" s="33" t="s">
        <v>181</v>
      </c>
      <c r="C19" s="33" t="s">
        <v>4</v>
      </c>
      <c r="D19" s="35">
        <f t="shared" ref="D19:M19" si="3">D18/D9*100</f>
        <v>19.771400778210115</v>
      </c>
      <c r="E19" s="35">
        <f t="shared" si="3"/>
        <v>20.665713702266693</v>
      </c>
      <c r="F19" s="35">
        <f t="shared" si="3"/>
        <v>19.927862939585211</v>
      </c>
      <c r="G19" s="35">
        <f t="shared" si="3"/>
        <v>18.416721527320608</v>
      </c>
      <c r="H19" s="35">
        <f t="shared" si="3"/>
        <v>17.531011806904797</v>
      </c>
      <c r="I19" s="35">
        <f t="shared" si="3"/>
        <v>17.5</v>
      </c>
      <c r="J19" s="35">
        <f t="shared" si="3"/>
        <v>17.5</v>
      </c>
      <c r="K19" s="35">
        <f t="shared" si="3"/>
        <v>17.5</v>
      </c>
      <c r="L19" s="35">
        <f t="shared" si="3"/>
        <v>17.5</v>
      </c>
      <c r="M19" s="35">
        <f t="shared" si="3"/>
        <v>17.5</v>
      </c>
      <c r="O19" s="20" t="s">
        <v>456</v>
      </c>
    </row>
    <row r="20" spans="2:15" x14ac:dyDescent="0.2">
      <c r="B20" s="37" t="s">
        <v>182</v>
      </c>
      <c r="C20" s="37" t="s">
        <v>27</v>
      </c>
      <c r="D20" s="39">
        <v>76.5</v>
      </c>
      <c r="E20" s="39">
        <v>97.2</v>
      </c>
      <c r="F20" s="39">
        <v>111.7</v>
      </c>
      <c r="G20" s="39">
        <v>128.30000000000001</v>
      </c>
      <c r="H20" s="39">
        <v>143.5</v>
      </c>
      <c r="I20" s="40">
        <f>I9*Assumptions!I41/100</f>
        <v>154.28133</v>
      </c>
      <c r="J20" s="40">
        <f>J9*Assumptions!J41/100</f>
        <v>168.69153803124999</v>
      </c>
      <c r="K20" s="40">
        <f>K9*Assumptions!K41/100</f>
        <v>182.75225706875</v>
      </c>
      <c r="L20" s="40">
        <f>L9*Assumptions!L41/100</f>
        <v>196.31030440080937</v>
      </c>
      <c r="M20" s="40">
        <f>M9*Assumptions!M41/100</f>
        <v>209.21540105560587</v>
      </c>
    </row>
    <row r="21" spans="2:15" x14ac:dyDescent="0.2">
      <c r="B21" s="33" t="s">
        <v>183</v>
      </c>
      <c r="C21" s="33" t="s">
        <v>4</v>
      </c>
      <c r="D21" s="35">
        <f t="shared" ref="D21:L21" si="4">D20/D9*100</f>
        <v>18.604085603112843</v>
      </c>
      <c r="E21" s="35">
        <f t="shared" si="4"/>
        <v>19.848887073718604</v>
      </c>
      <c r="F21" s="35">
        <f t="shared" si="4"/>
        <v>20.144274120829579</v>
      </c>
      <c r="G21" s="35">
        <f t="shared" si="4"/>
        <v>21.115865701119159</v>
      </c>
      <c r="H21" s="35">
        <f t="shared" si="4"/>
        <v>21.44671947392019</v>
      </c>
      <c r="I21" s="35">
        <f t="shared" si="4"/>
        <v>21</v>
      </c>
      <c r="J21" s="35">
        <f t="shared" si="4"/>
        <v>21.125</v>
      </c>
      <c r="K21" s="35">
        <f t="shared" si="4"/>
        <v>21.25</v>
      </c>
      <c r="L21" s="35">
        <f t="shared" si="4"/>
        <v>21.375</v>
      </c>
      <c r="M21" s="35">
        <f>M20/M9*100</f>
        <v>21.5</v>
      </c>
      <c r="O21" s="20" t="s">
        <v>457</v>
      </c>
    </row>
    <row r="22" spans="2:15" x14ac:dyDescent="0.2">
      <c r="B22" s="37" t="s">
        <v>184</v>
      </c>
      <c r="C22" s="37" t="s">
        <v>27</v>
      </c>
      <c r="D22" s="39">
        <v>76.3</v>
      </c>
      <c r="E22" s="39">
        <v>58</v>
      </c>
      <c r="F22" s="39">
        <v>61.7</v>
      </c>
      <c r="G22" s="39">
        <v>68.7</v>
      </c>
      <c r="H22" s="39">
        <v>71.599999999999994</v>
      </c>
      <c r="I22" s="40">
        <f>I9*Assumptions!I42/100</f>
        <v>77.140664999999998</v>
      </c>
      <c r="J22" s="40">
        <f>J9*Assumptions!J42/100</f>
        <v>83.846681625000002</v>
      </c>
      <c r="K22" s="40">
        <f>K9*Assumptions!K42/100</f>
        <v>86.001062149999996</v>
      </c>
      <c r="L22" s="40">
        <f>L9*Assumptions!L42/100</f>
        <v>91.841078082250007</v>
      </c>
      <c r="M22" s="40">
        <f>M9*Assumptions!M42/100</f>
        <v>97.309488863072488</v>
      </c>
    </row>
    <row r="23" spans="2:15" x14ac:dyDescent="0.2">
      <c r="B23" s="33" t="s">
        <v>185</v>
      </c>
      <c r="C23" s="33" t="s">
        <v>4</v>
      </c>
      <c r="D23" s="35">
        <f t="shared" ref="D23:M23" si="5">D22/D9*100</f>
        <v>18.555447470817121</v>
      </c>
      <c r="E23" s="35">
        <f t="shared" si="5"/>
        <v>11.843986113947315</v>
      </c>
      <c r="F23" s="35">
        <f t="shared" si="5"/>
        <v>11.127141568981065</v>
      </c>
      <c r="G23" s="35">
        <f t="shared" si="5"/>
        <v>11.306780776826859</v>
      </c>
      <c r="H23" s="35">
        <f t="shared" si="5"/>
        <v>10.700941563293975</v>
      </c>
      <c r="I23" s="35">
        <f t="shared" si="5"/>
        <v>10.5</v>
      </c>
      <c r="J23" s="35">
        <f t="shared" si="5"/>
        <v>10.500000000000002</v>
      </c>
      <c r="K23" s="35">
        <f t="shared" si="5"/>
        <v>10</v>
      </c>
      <c r="L23" s="35">
        <f t="shared" si="5"/>
        <v>10</v>
      </c>
      <c r="M23" s="35">
        <f t="shared" si="5"/>
        <v>10</v>
      </c>
      <c r="O23" s="20" t="s">
        <v>458</v>
      </c>
    </row>
    <row r="24" spans="2:15" x14ac:dyDescent="0.2">
      <c r="B24" s="37" t="s">
        <v>186</v>
      </c>
      <c r="C24" s="37" t="s">
        <v>27</v>
      </c>
      <c r="D24" s="38">
        <f t="shared" ref="D24:M24" si="6">D18+D20+D22</f>
        <v>234.10000000000002</v>
      </c>
      <c r="E24" s="38">
        <f t="shared" si="6"/>
        <v>256.39999999999998</v>
      </c>
      <c r="F24" s="38">
        <f t="shared" si="6"/>
        <v>283.89999999999998</v>
      </c>
      <c r="G24" s="38">
        <f t="shared" si="6"/>
        <v>308.90000000000003</v>
      </c>
      <c r="H24" s="38">
        <f t="shared" si="6"/>
        <v>332.4</v>
      </c>
      <c r="I24" s="38">
        <f t="shared" si="6"/>
        <v>359.98977000000002</v>
      </c>
      <c r="J24" s="38">
        <f t="shared" si="6"/>
        <v>392.28268903125002</v>
      </c>
      <c r="K24" s="38">
        <f t="shared" si="6"/>
        <v>419.25517798125003</v>
      </c>
      <c r="L24" s="38">
        <f t="shared" si="6"/>
        <v>448.87326912699689</v>
      </c>
      <c r="M24" s="38">
        <f t="shared" si="6"/>
        <v>476.81649542905518</v>
      </c>
    </row>
    <row r="25" spans="2:15" x14ac:dyDescent="0.2">
      <c r="B25" s="33" t="s">
        <v>187</v>
      </c>
      <c r="C25" s="33" t="s">
        <v>4</v>
      </c>
      <c r="D25" s="35">
        <f t="shared" ref="D25:M25" si="7">D24/D9*100</f>
        <v>56.930933852140086</v>
      </c>
      <c r="E25" s="35">
        <f t="shared" si="7"/>
        <v>52.35858688993261</v>
      </c>
      <c r="F25" s="35">
        <f t="shared" si="7"/>
        <v>51.199278629395849</v>
      </c>
      <c r="G25" s="35">
        <f t="shared" si="7"/>
        <v>50.839368005266628</v>
      </c>
      <c r="H25" s="35">
        <f t="shared" si="7"/>
        <v>49.678672844118957</v>
      </c>
      <c r="I25" s="35">
        <f t="shared" si="7"/>
        <v>49.000000000000007</v>
      </c>
      <c r="J25" s="35">
        <f t="shared" si="7"/>
        <v>49.125000000000007</v>
      </c>
      <c r="K25" s="35">
        <f t="shared" si="7"/>
        <v>48.750000000000007</v>
      </c>
      <c r="L25" s="35">
        <f t="shared" si="7"/>
        <v>48.875</v>
      </c>
      <c r="M25" s="35">
        <f t="shared" si="7"/>
        <v>48.999999999999993</v>
      </c>
    </row>
    <row r="27" spans="2:15" ht="16" customHeight="1" thickBot="1" x14ac:dyDescent="0.25">
      <c r="B27" s="26" t="s">
        <v>188</v>
      </c>
    </row>
    <row r="28" spans="2:15" x14ac:dyDescent="0.2">
      <c r="B28" s="31" t="s">
        <v>189</v>
      </c>
      <c r="C28" s="31" t="s">
        <v>27</v>
      </c>
      <c r="D28" s="41">
        <f t="shared" ref="D28:M28" si="8">D14-D24</f>
        <v>87.699999999999932</v>
      </c>
      <c r="E28" s="41">
        <f t="shared" si="8"/>
        <v>130.5</v>
      </c>
      <c r="F28" s="41">
        <f t="shared" si="8"/>
        <v>163.10000000000002</v>
      </c>
      <c r="G28" s="41">
        <f t="shared" si="8"/>
        <v>187.2</v>
      </c>
      <c r="H28" s="41">
        <f t="shared" si="8"/>
        <v>221.90000000000009</v>
      </c>
      <c r="I28" s="41">
        <f t="shared" si="8"/>
        <v>249.78881999999999</v>
      </c>
      <c r="J28" s="41">
        <f t="shared" si="8"/>
        <v>273.49989006249996</v>
      </c>
      <c r="K28" s="41">
        <f t="shared" si="8"/>
        <v>301.0037175249999</v>
      </c>
      <c r="L28" s="41">
        <f t="shared" si="8"/>
        <v>323.73980023993124</v>
      </c>
      <c r="M28" s="41">
        <f t="shared" si="8"/>
        <v>345.4486854639074</v>
      </c>
    </row>
    <row r="29" spans="2:15" x14ac:dyDescent="0.2">
      <c r="B29" s="33" t="s">
        <v>122</v>
      </c>
      <c r="C29" s="33" t="s">
        <v>4</v>
      </c>
      <c r="D29" s="35">
        <f t="shared" ref="D29:M29" si="9">D28/D9*100</f>
        <v>21.327821011673137</v>
      </c>
      <c r="E29" s="35">
        <f t="shared" si="9"/>
        <v>26.648968756381457</v>
      </c>
      <c r="F29" s="35">
        <f t="shared" si="9"/>
        <v>29.413886384129849</v>
      </c>
      <c r="G29" s="35">
        <f t="shared" si="9"/>
        <v>30.809743252139558</v>
      </c>
      <c r="H29" s="35">
        <f t="shared" si="9"/>
        <v>33.163951576744893</v>
      </c>
      <c r="I29" s="35">
        <f t="shared" si="9"/>
        <v>34</v>
      </c>
      <c r="J29" s="35">
        <f t="shared" si="9"/>
        <v>34.25</v>
      </c>
      <c r="K29" s="35">
        <f t="shared" si="9"/>
        <v>34.999999999999993</v>
      </c>
      <c r="L29" s="35">
        <f t="shared" si="9"/>
        <v>35.25</v>
      </c>
      <c r="M29" s="35">
        <f t="shared" si="9"/>
        <v>35.500000000000007</v>
      </c>
    </row>
    <row r="31" spans="2:15" ht="16" customHeight="1" thickBot="1" x14ac:dyDescent="0.25">
      <c r="B31" s="26" t="s">
        <v>190</v>
      </c>
    </row>
    <row r="32" spans="2:15" ht="15" customHeight="1" x14ac:dyDescent="0.2">
      <c r="B32" s="31" t="s">
        <v>191</v>
      </c>
      <c r="C32" s="31" t="s">
        <v>27</v>
      </c>
      <c r="D32" s="36">
        <v>2.2999999999999998</v>
      </c>
      <c r="E32" s="36">
        <v>5.2</v>
      </c>
      <c r="F32" s="36">
        <v>16.899999999999999</v>
      </c>
      <c r="G32" s="36">
        <v>25.8</v>
      </c>
      <c r="H32" s="36">
        <v>25.3</v>
      </c>
      <c r="I32" s="36">
        <v>23.5</v>
      </c>
      <c r="J32" s="36">
        <v>22</v>
      </c>
      <c r="K32" s="36">
        <v>20.5</v>
      </c>
      <c r="L32" s="36">
        <v>19</v>
      </c>
      <c r="M32" s="36">
        <v>17.5</v>
      </c>
      <c r="O32" s="22" t="s">
        <v>192</v>
      </c>
    </row>
    <row r="33" spans="2:15" ht="15" customHeight="1" x14ac:dyDescent="0.2">
      <c r="B33" s="37" t="s">
        <v>193</v>
      </c>
      <c r="C33" s="37" t="s">
        <v>27</v>
      </c>
      <c r="D33" s="39">
        <v>-0.6</v>
      </c>
      <c r="E33" s="39">
        <v>-2</v>
      </c>
      <c r="F33" s="39">
        <v>-1.3</v>
      </c>
      <c r="G33" s="39">
        <v>-3.2</v>
      </c>
      <c r="H33" s="39">
        <v>-0.4</v>
      </c>
      <c r="I33" s="39">
        <v>-0.5</v>
      </c>
      <c r="J33" s="39">
        <v>-0.5</v>
      </c>
      <c r="K33" s="39">
        <v>-0.5</v>
      </c>
      <c r="L33" s="39">
        <v>-0.5</v>
      </c>
      <c r="M33" s="39">
        <v>-0.5</v>
      </c>
      <c r="O33" s="42" t="s">
        <v>194</v>
      </c>
    </row>
    <row r="34" spans="2:15" x14ac:dyDescent="0.2">
      <c r="B34" s="37" t="s">
        <v>195</v>
      </c>
      <c r="C34" s="37" t="s">
        <v>27</v>
      </c>
      <c r="D34" s="38">
        <f t="shared" ref="D34:M34" si="10">D28+D32+D33</f>
        <v>89.399999999999935</v>
      </c>
      <c r="E34" s="38">
        <f t="shared" si="10"/>
        <v>133.69999999999999</v>
      </c>
      <c r="F34" s="38">
        <f t="shared" si="10"/>
        <v>178.70000000000002</v>
      </c>
      <c r="G34" s="38">
        <f t="shared" si="10"/>
        <v>209.8</v>
      </c>
      <c r="H34" s="38">
        <f t="shared" si="10"/>
        <v>246.8000000000001</v>
      </c>
      <c r="I34" s="38">
        <f t="shared" si="10"/>
        <v>272.78881999999999</v>
      </c>
      <c r="J34" s="38">
        <f t="shared" si="10"/>
        <v>294.99989006249996</v>
      </c>
      <c r="K34" s="38">
        <f t="shared" si="10"/>
        <v>321.0037175249999</v>
      </c>
      <c r="L34" s="38">
        <f t="shared" si="10"/>
        <v>342.23980023993124</v>
      </c>
      <c r="M34" s="38">
        <f t="shared" si="10"/>
        <v>362.4486854639074</v>
      </c>
      <c r="O34" s="42"/>
    </row>
    <row r="35" spans="2:15" x14ac:dyDescent="0.2">
      <c r="B35" s="37" t="s">
        <v>196</v>
      </c>
      <c r="C35" s="37" t="s">
        <v>27</v>
      </c>
      <c r="D35" s="43">
        <f t="shared" ref="D35:M35" si="11">D34*D36/100</f>
        <v>18.416399999999989</v>
      </c>
      <c r="E35" s="43">
        <f t="shared" si="11"/>
        <v>25.670399999999994</v>
      </c>
      <c r="F35" s="43">
        <f t="shared" si="11"/>
        <v>27.162400000000002</v>
      </c>
      <c r="G35" s="43">
        <f t="shared" si="11"/>
        <v>36.085599999999999</v>
      </c>
      <c r="H35" s="43">
        <f t="shared" si="11"/>
        <v>48.61960000000002</v>
      </c>
      <c r="I35" s="43">
        <f t="shared" si="11"/>
        <v>54.557763999999999</v>
      </c>
      <c r="J35" s="43">
        <f t="shared" si="11"/>
        <v>58.999978012499994</v>
      </c>
      <c r="K35" s="43">
        <f t="shared" si="11"/>
        <v>64.200743504999977</v>
      </c>
      <c r="L35" s="43">
        <f t="shared" si="11"/>
        <v>68.447960047986257</v>
      </c>
      <c r="M35" s="43">
        <f t="shared" si="11"/>
        <v>72.489737092781482</v>
      </c>
      <c r="O35" s="42"/>
    </row>
    <row r="36" spans="2:15" x14ac:dyDescent="0.2">
      <c r="B36" s="33" t="s">
        <v>124</v>
      </c>
      <c r="C36" s="33" t="s">
        <v>4</v>
      </c>
      <c r="D36" s="44">
        <f>Assumptions!D44</f>
        <v>20.6</v>
      </c>
      <c r="E36" s="44">
        <f>Assumptions!E44</f>
        <v>19.2</v>
      </c>
      <c r="F36" s="44">
        <f>Assumptions!F44</f>
        <v>15.2</v>
      </c>
      <c r="G36" s="44">
        <f>Assumptions!G44</f>
        <v>17.2</v>
      </c>
      <c r="H36" s="44">
        <f>Assumptions!H44</f>
        <v>19.7</v>
      </c>
      <c r="I36" s="44">
        <f>Assumptions!I44</f>
        <v>20</v>
      </c>
      <c r="J36" s="44">
        <f>Assumptions!J44</f>
        <v>20</v>
      </c>
      <c r="K36" s="44">
        <f>Assumptions!K44</f>
        <v>20</v>
      </c>
      <c r="L36" s="44">
        <f>Assumptions!L44</f>
        <v>20</v>
      </c>
      <c r="M36" s="44">
        <f>Assumptions!M44</f>
        <v>20</v>
      </c>
      <c r="O36" s="20" t="s">
        <v>459</v>
      </c>
    </row>
    <row r="37" spans="2:15" x14ac:dyDescent="0.2">
      <c r="B37" s="37" t="s">
        <v>197</v>
      </c>
      <c r="C37" s="37" t="s">
        <v>27</v>
      </c>
      <c r="D37" s="38">
        <f t="shared" ref="D37:M37" si="12">D34-D35</f>
        <v>70.983599999999939</v>
      </c>
      <c r="E37" s="38">
        <f t="shared" si="12"/>
        <v>108.02959999999999</v>
      </c>
      <c r="F37" s="38">
        <f t="shared" si="12"/>
        <v>151.53760000000003</v>
      </c>
      <c r="G37" s="38">
        <f t="shared" si="12"/>
        <v>173.71440000000001</v>
      </c>
      <c r="H37" s="38">
        <f t="shared" si="12"/>
        <v>198.18040000000008</v>
      </c>
      <c r="I37" s="38">
        <f t="shared" si="12"/>
        <v>218.231056</v>
      </c>
      <c r="J37" s="38">
        <f t="shared" si="12"/>
        <v>235.99991204999998</v>
      </c>
      <c r="K37" s="38">
        <f t="shared" si="12"/>
        <v>256.80297401999991</v>
      </c>
      <c r="L37" s="38">
        <f t="shared" si="12"/>
        <v>273.79184019194497</v>
      </c>
      <c r="M37" s="38">
        <f t="shared" si="12"/>
        <v>289.95894837112593</v>
      </c>
    </row>
    <row r="38" spans="2:15" x14ac:dyDescent="0.2">
      <c r="B38" s="33" t="s">
        <v>198</v>
      </c>
      <c r="C38" s="33" t="s">
        <v>4</v>
      </c>
      <c r="D38" s="35">
        <f t="shared" ref="D38:M38" si="13">D37/D9*100</f>
        <v>17.26254863813228</v>
      </c>
      <c r="E38" s="35">
        <f t="shared" si="13"/>
        <v>22.060363487849703</v>
      </c>
      <c r="F38" s="35">
        <f t="shared" si="13"/>
        <v>27.328692515779984</v>
      </c>
      <c r="G38" s="35">
        <f t="shared" si="13"/>
        <v>28.590256747860437</v>
      </c>
      <c r="H38" s="35">
        <f t="shared" si="13"/>
        <v>29.618950829472436</v>
      </c>
      <c r="I38" s="35">
        <f t="shared" si="13"/>
        <v>29.704515614429823</v>
      </c>
      <c r="J38" s="35">
        <f t="shared" si="13"/>
        <v>29.553931395970139</v>
      </c>
      <c r="K38" s="35">
        <f t="shared" si="13"/>
        <v>29.860442138736992</v>
      </c>
      <c r="L38" s="35">
        <f t="shared" si="13"/>
        <v>29.811479341166443</v>
      </c>
      <c r="M38" s="35">
        <f t="shared" si="13"/>
        <v>29.797602655085058</v>
      </c>
    </row>
    <row r="40" spans="2:15" ht="16" customHeight="1" thickBot="1" x14ac:dyDescent="0.25">
      <c r="B40" s="26" t="s">
        <v>199</v>
      </c>
    </row>
    <row r="41" spans="2:15" x14ac:dyDescent="0.2">
      <c r="B41" s="31" t="s">
        <v>143</v>
      </c>
      <c r="C41" s="31" t="s">
        <v>51</v>
      </c>
      <c r="D41" s="32">
        <f>Assumptions!D58</f>
        <v>40.1</v>
      </c>
      <c r="E41" s="32">
        <f>Assumptions!E58</f>
        <v>39.299999999999997</v>
      </c>
      <c r="F41" s="32">
        <f>Assumptions!F58</f>
        <v>37.6</v>
      </c>
      <c r="G41" s="32">
        <f>Assumptions!G58</f>
        <v>37.4</v>
      </c>
      <c r="H41" s="32">
        <f>Assumptions!H58</f>
        <v>36.5</v>
      </c>
      <c r="I41" s="32">
        <f>Assumptions!I58</f>
        <v>35.5</v>
      </c>
      <c r="J41" s="32">
        <f>Assumptions!J58</f>
        <v>34.799999999999997</v>
      </c>
      <c r="K41" s="32">
        <f>Assumptions!K58</f>
        <v>34.1</v>
      </c>
      <c r="L41" s="32">
        <f>Assumptions!L58</f>
        <v>33.5</v>
      </c>
      <c r="M41" s="32">
        <f>Assumptions!M58</f>
        <v>32.9</v>
      </c>
      <c r="O41" s="20" t="s">
        <v>460</v>
      </c>
    </row>
    <row r="42" spans="2:15" x14ac:dyDescent="0.2">
      <c r="B42" s="37" t="s">
        <v>200</v>
      </c>
      <c r="C42" s="37" t="s">
        <v>53</v>
      </c>
      <c r="D42" s="38">
        <f t="shared" ref="D42:M42" si="14">D37/D41</f>
        <v>1.7701645885286768</v>
      </c>
      <c r="E42" s="38">
        <f>E37/E41</f>
        <v>2.7488447837150125</v>
      </c>
      <c r="F42" s="38">
        <f t="shared" si="14"/>
        <v>4.030255319148937</v>
      </c>
      <c r="G42" s="38">
        <f t="shared" si="14"/>
        <v>4.644770053475936</v>
      </c>
      <c r="H42" s="38">
        <f t="shared" si="14"/>
        <v>5.4296000000000024</v>
      </c>
      <c r="I42" s="38">
        <f t="shared" si="14"/>
        <v>6.1473536901408448</v>
      </c>
      <c r="J42" s="38">
        <f t="shared" si="14"/>
        <v>6.7816066681034481</v>
      </c>
      <c r="K42" s="38">
        <f t="shared" si="14"/>
        <v>7.5308790035190585</v>
      </c>
      <c r="L42" s="38">
        <f t="shared" si="14"/>
        <v>8.1728907519983576</v>
      </c>
      <c r="M42" s="38">
        <f t="shared" si="14"/>
        <v>8.8133418957789047</v>
      </c>
    </row>
    <row r="43" spans="2:15" x14ac:dyDescent="0.2">
      <c r="B43" s="33" t="s">
        <v>201</v>
      </c>
      <c r="C43" s="33" t="s">
        <v>4</v>
      </c>
      <c r="D43" s="34"/>
      <c r="E43" s="35">
        <f t="shared" ref="E43:M43" si="15">(E42/D42-1)*100</f>
        <v>55.287525325528854</v>
      </c>
      <c r="F43" s="35">
        <f t="shared" si="15"/>
        <v>46.616329267675937</v>
      </c>
      <c r="G43" s="35">
        <f t="shared" si="15"/>
        <v>15.247538571744013</v>
      </c>
      <c r="H43" s="35">
        <f t="shared" si="15"/>
        <v>16.897067830876477</v>
      </c>
      <c r="I43" s="35">
        <f t="shared" si="15"/>
        <v>13.219273798085339</v>
      </c>
      <c r="J43" s="35">
        <f t="shared" si="15"/>
        <v>10.317496111860635</v>
      </c>
      <c r="K43" s="35">
        <f t="shared" si="15"/>
        <v>11.048596182077786</v>
      </c>
      <c r="L43" s="35">
        <f t="shared" si="15"/>
        <v>8.525057276571534</v>
      </c>
      <c r="M43" s="35">
        <f t="shared" si="15"/>
        <v>7.8362866116123087</v>
      </c>
    </row>
    <row r="45" spans="2:15" ht="16" customHeight="1" thickBot="1" x14ac:dyDescent="0.25">
      <c r="B45" s="26" t="s">
        <v>202</v>
      </c>
    </row>
    <row r="46" spans="2:15" x14ac:dyDescent="0.2">
      <c r="B46" s="31" t="s">
        <v>203</v>
      </c>
      <c r="C46" s="31" t="s">
        <v>27</v>
      </c>
      <c r="D46" s="36">
        <v>35.9</v>
      </c>
      <c r="E46" s="36">
        <v>34.6</v>
      </c>
      <c r="F46" s="36">
        <v>27</v>
      </c>
      <c r="G46" s="36">
        <v>18.5</v>
      </c>
      <c r="H46" s="36">
        <v>14.5</v>
      </c>
      <c r="I46" s="32">
        <f>I9*Assumptions!I51/100</f>
        <v>13.224114</v>
      </c>
      <c r="J46" s="32">
        <f>J9*Assumptions!J51/100</f>
        <v>11.978097374999999</v>
      </c>
      <c r="K46" s="32">
        <f>K9*Assumptions!K51/100</f>
        <v>11.180138079500001</v>
      </c>
      <c r="L46" s="32">
        <f>L9*Assumptions!L51/100</f>
        <v>11.02092936987</v>
      </c>
      <c r="M46" s="32">
        <f>M9*Assumptions!M51/100</f>
        <v>10.704043774937976</v>
      </c>
      <c r="O46" s="22" t="s">
        <v>204</v>
      </c>
    </row>
    <row r="47" spans="2:15" x14ac:dyDescent="0.2">
      <c r="B47" s="37" t="s">
        <v>205</v>
      </c>
      <c r="C47" s="37" t="s">
        <v>27</v>
      </c>
      <c r="D47" s="38">
        <f t="shared" ref="D47:M47" si="16">D28+D46</f>
        <v>123.59999999999994</v>
      </c>
      <c r="E47" s="38">
        <f t="shared" si="16"/>
        <v>165.1</v>
      </c>
      <c r="F47" s="38">
        <f t="shared" si="16"/>
        <v>190.10000000000002</v>
      </c>
      <c r="G47" s="38">
        <f t="shared" si="16"/>
        <v>205.7</v>
      </c>
      <c r="H47" s="38">
        <f t="shared" si="16"/>
        <v>236.40000000000009</v>
      </c>
      <c r="I47" s="38">
        <f t="shared" si="16"/>
        <v>263.01293399999997</v>
      </c>
      <c r="J47" s="38">
        <f t="shared" si="16"/>
        <v>285.47798743749996</v>
      </c>
      <c r="K47" s="38">
        <f t="shared" si="16"/>
        <v>312.18385560449991</v>
      </c>
      <c r="L47" s="38">
        <f t="shared" si="16"/>
        <v>334.76072960980122</v>
      </c>
      <c r="M47" s="38">
        <f t="shared" si="16"/>
        <v>356.15272923884538</v>
      </c>
    </row>
    <row r="48" spans="2:15" x14ac:dyDescent="0.2">
      <c r="B48" s="33" t="s">
        <v>206</v>
      </c>
      <c r="C48" s="33" t="s">
        <v>4</v>
      </c>
      <c r="D48" s="35">
        <f t="shared" ref="D48:M48" si="17">D47/D9*100</f>
        <v>30.058365758754853</v>
      </c>
      <c r="E48" s="35">
        <f t="shared" si="17"/>
        <v>33.714519093322444</v>
      </c>
      <c r="F48" s="35">
        <f t="shared" si="17"/>
        <v>34.283137962128045</v>
      </c>
      <c r="G48" s="35">
        <f t="shared" si="17"/>
        <v>33.854509545753778</v>
      </c>
      <c r="H48" s="35">
        <f t="shared" si="17"/>
        <v>35.33104169780303</v>
      </c>
      <c r="I48" s="35">
        <f t="shared" si="17"/>
        <v>35.799999999999997</v>
      </c>
      <c r="J48" s="35">
        <f t="shared" si="17"/>
        <v>35.75</v>
      </c>
      <c r="K48" s="35">
        <f t="shared" si="17"/>
        <v>36.29999999999999</v>
      </c>
      <c r="L48" s="35">
        <f t="shared" si="17"/>
        <v>36.449999999999996</v>
      </c>
      <c r="M48" s="35">
        <f t="shared" si="17"/>
        <v>36.6</v>
      </c>
    </row>
    <row r="49" spans="2:15" x14ac:dyDescent="0.2">
      <c r="B49" s="37" t="s">
        <v>207</v>
      </c>
      <c r="C49" s="37" t="s">
        <v>27</v>
      </c>
      <c r="D49" s="39">
        <v>67.599999999999994</v>
      </c>
      <c r="E49" s="39">
        <v>53.4</v>
      </c>
      <c r="F49" s="39">
        <v>69.099999999999994</v>
      </c>
      <c r="G49" s="39">
        <v>77.099999999999994</v>
      </c>
      <c r="H49" s="39">
        <v>77</v>
      </c>
      <c r="I49" s="40">
        <f>I9*Assumptions!I52/100</f>
        <v>84.487394999999992</v>
      </c>
      <c r="J49" s="40">
        <f>J9*Assumptions!J52/100</f>
        <v>87.839380750000004</v>
      </c>
      <c r="K49" s="40">
        <f>K9*Assumptions!K52/100</f>
        <v>90.301115257499987</v>
      </c>
      <c r="L49" s="40">
        <f>L9*Assumptions!L52/100</f>
        <v>91.841078082250007</v>
      </c>
      <c r="M49" s="40">
        <f>M9*Assumptions!M52/100</f>
        <v>97.309488863072488</v>
      </c>
      <c r="O49" s="22" t="s">
        <v>204</v>
      </c>
    </row>
    <row r="50" spans="2:15" x14ac:dyDescent="0.2">
      <c r="B50" s="33" t="s">
        <v>136</v>
      </c>
      <c r="C50" s="33" t="s">
        <v>4</v>
      </c>
      <c r="D50" s="35">
        <f t="shared" ref="D50:M50" si="18">D49/D9*100</f>
        <v>16.439688715953306</v>
      </c>
      <c r="E50" s="35">
        <f t="shared" si="18"/>
        <v>10.904635491117011</v>
      </c>
      <c r="F50" s="35">
        <f t="shared" si="18"/>
        <v>12.461677186654644</v>
      </c>
      <c r="G50" s="35">
        <f t="shared" si="18"/>
        <v>12.689269256089531</v>
      </c>
      <c r="H50" s="35">
        <f t="shared" si="18"/>
        <v>11.507995815274247</v>
      </c>
      <c r="I50" s="35">
        <f t="shared" si="18"/>
        <v>11.5</v>
      </c>
      <c r="J50" s="35">
        <f t="shared" si="18"/>
        <v>11.000000000000002</v>
      </c>
      <c r="K50" s="35">
        <f t="shared" si="18"/>
        <v>10.5</v>
      </c>
      <c r="L50" s="35">
        <f t="shared" si="18"/>
        <v>10</v>
      </c>
      <c r="M50" s="35">
        <f t="shared" si="18"/>
        <v>10</v>
      </c>
    </row>
    <row r="53" spans="2:15" x14ac:dyDescent="0.2">
      <c r="B53" s="22"/>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45"/>
  <sheetViews>
    <sheetView showGridLines="0" workbookViewId="0"/>
  </sheetViews>
  <sheetFormatPr baseColWidth="10" defaultColWidth="8.83203125" defaultRowHeight="14" outlineLevelRow="1" x14ac:dyDescent="0.2"/>
  <cols>
    <col min="1" max="1" width="3" style="6" customWidth="1"/>
    <col min="2" max="2" width="36" style="6" customWidth="1"/>
    <col min="3" max="3" width="7" style="6" customWidth="1"/>
    <col min="4" max="13" width="11" style="6" customWidth="1"/>
    <col min="14" max="14" width="3.33203125" style="6" customWidth="1"/>
    <col min="15" max="15" width="55" style="20" customWidth="1"/>
    <col min="16" max="17" width="8.83203125" style="6" customWidth="1"/>
    <col min="18" max="16384" width="8.83203125" style="6"/>
  </cols>
  <sheetData>
    <row r="2" spans="2:15" ht="19" customHeight="1" x14ac:dyDescent="0.2">
      <c r="B2" s="3" t="s">
        <v>77</v>
      </c>
    </row>
    <row r="3" spans="2:15" x14ac:dyDescent="0.2">
      <c r="B3" s="2" t="s">
        <v>0</v>
      </c>
    </row>
    <row r="4" spans="2:15" x14ac:dyDescent="0.2">
      <c r="B4" s="2" t="s">
        <v>1</v>
      </c>
    </row>
    <row r="6" spans="2:15" x14ac:dyDescent="0.2">
      <c r="C6" s="1" t="s">
        <v>15</v>
      </c>
      <c r="D6" s="17" t="s">
        <v>16</v>
      </c>
      <c r="E6" s="17" t="s">
        <v>17</v>
      </c>
      <c r="F6" s="17" t="s">
        <v>18</v>
      </c>
      <c r="G6" s="17" t="s">
        <v>19</v>
      </c>
      <c r="H6" s="17" t="s">
        <v>20</v>
      </c>
      <c r="I6" s="18" t="s">
        <v>21</v>
      </c>
      <c r="J6" s="18" t="s">
        <v>22</v>
      </c>
      <c r="K6" s="18" t="s">
        <v>23</v>
      </c>
      <c r="L6" s="18" t="s">
        <v>24</v>
      </c>
      <c r="M6" s="18" t="s">
        <v>25</v>
      </c>
      <c r="O6" s="21" t="s">
        <v>99</v>
      </c>
    </row>
    <row r="8" spans="2:15" ht="16" customHeight="1" thickBot="1" x14ac:dyDescent="0.25">
      <c r="B8" s="1" t="s">
        <v>208</v>
      </c>
      <c r="E8" s="103"/>
      <c r="F8" s="103"/>
      <c r="G8" s="103"/>
      <c r="H8" s="103"/>
      <c r="I8" s="103"/>
      <c r="J8" s="103"/>
      <c r="K8" s="103"/>
      <c r="L8" s="103"/>
      <c r="M8" s="103"/>
    </row>
    <row r="9" spans="2:15" x14ac:dyDescent="0.2">
      <c r="B9" s="14" t="s">
        <v>543</v>
      </c>
      <c r="C9" s="14" t="s">
        <v>27</v>
      </c>
      <c r="D9" s="95"/>
      <c r="E9" s="229">
        <v>176.5</v>
      </c>
      <c r="F9" s="229">
        <v>206.3</v>
      </c>
      <c r="G9" s="229">
        <v>233.4</v>
      </c>
      <c r="H9" s="229">
        <v>251.5</v>
      </c>
      <c r="I9" s="25">
        <f>H9+'Cash Flow'!I31</f>
        <v>321.1215571746576</v>
      </c>
      <c r="J9" s="25">
        <f>I9+'Cash Flow'!J31</f>
        <v>413.93637366433228</v>
      </c>
      <c r="K9" s="25">
        <f>J9+'Cash Flow'!K31</f>
        <v>520.60481783140222</v>
      </c>
      <c r="L9" s="25">
        <f>K9+'Cash Flow'!L31</f>
        <v>635.90603563279126</v>
      </c>
      <c r="M9" s="25">
        <f>L9+'Cash Flow'!M31</f>
        <v>767.22605465708307</v>
      </c>
      <c r="O9" s="22" t="s">
        <v>209</v>
      </c>
    </row>
    <row r="10" spans="2:15" x14ac:dyDescent="0.2">
      <c r="B10" s="91" t="s">
        <v>572</v>
      </c>
      <c r="C10" s="91" t="s">
        <v>27</v>
      </c>
      <c r="D10" s="226"/>
      <c r="E10" s="227">
        <v>144.80000000000001</v>
      </c>
      <c r="F10" s="227">
        <v>220.8</v>
      </c>
      <c r="G10" s="227">
        <v>148</v>
      </c>
      <c r="H10" s="227">
        <v>194.4</v>
      </c>
      <c r="I10" s="228">
        <f>H10</f>
        <v>194.4</v>
      </c>
      <c r="J10" s="228">
        <f>I10</f>
        <v>194.4</v>
      </c>
      <c r="K10" s="228">
        <f>J10</f>
        <v>194.4</v>
      </c>
      <c r="L10" s="228">
        <f>K10</f>
        <v>194.4</v>
      </c>
      <c r="M10" s="228">
        <f>L10</f>
        <v>194.4</v>
      </c>
      <c r="O10" s="22"/>
    </row>
    <row r="11" spans="2:15" x14ac:dyDescent="0.2">
      <c r="B11" s="9" t="s">
        <v>210</v>
      </c>
      <c r="C11" s="9" t="s">
        <v>27</v>
      </c>
      <c r="D11" s="8"/>
      <c r="E11" s="24">
        <v>121.8</v>
      </c>
      <c r="F11" s="24">
        <v>146.19999999999999</v>
      </c>
      <c r="G11" s="24">
        <v>164.6</v>
      </c>
      <c r="H11" s="24">
        <v>171</v>
      </c>
      <c r="I11" s="104">
        <f>'Income Statement'!I9*Assumptions!I48/365</f>
        <v>187.19065479452055</v>
      </c>
      <c r="J11" s="104">
        <f>'Income Statement'!J9*Assumptions!J48/365</f>
        <v>203.46357184931506</v>
      </c>
      <c r="K11" s="104">
        <f>'Income Statement'!K9*Assumptions!K48/365</f>
        <v>219.12599397123287</v>
      </c>
      <c r="L11" s="104">
        <f>'Income Statement'!L9*Assumptions!L48/365</f>
        <v>234.00603456573288</v>
      </c>
      <c r="M11" s="104">
        <f>'Income Statement'!M9*Assumptions!M48/365</f>
        <v>247.93924559632168</v>
      </c>
      <c r="O11" s="22" t="s">
        <v>211</v>
      </c>
    </row>
    <row r="12" spans="2:15" x14ac:dyDescent="0.2">
      <c r="B12" s="9" t="s">
        <v>212</v>
      </c>
      <c r="C12" s="9" t="s">
        <v>27</v>
      </c>
      <c r="D12" s="8"/>
      <c r="E12" s="24">
        <v>30.2</v>
      </c>
      <c r="F12" s="24">
        <v>26.7</v>
      </c>
      <c r="G12" s="24">
        <v>39.700000000000003</v>
      </c>
      <c r="H12" s="24">
        <v>40.700000000000003</v>
      </c>
      <c r="I12" s="24">
        <v>40.700000000000003</v>
      </c>
      <c r="J12" s="24">
        <v>40.700000000000003</v>
      </c>
      <c r="K12" s="24">
        <v>40.700000000000003</v>
      </c>
      <c r="L12" s="24">
        <v>40.700000000000003</v>
      </c>
      <c r="M12" s="24">
        <v>40.700000000000003</v>
      </c>
      <c r="O12" s="20" t="s">
        <v>213</v>
      </c>
    </row>
    <row r="13" spans="2:15" x14ac:dyDescent="0.2">
      <c r="B13" s="9" t="s">
        <v>214</v>
      </c>
      <c r="C13" s="9" t="s">
        <v>27</v>
      </c>
      <c r="D13" s="8"/>
      <c r="E13" s="231">
        <f>E9+E10+E11+E12</f>
        <v>473.3</v>
      </c>
      <c r="F13" s="231">
        <f>F9+F10+F11+F12</f>
        <v>600</v>
      </c>
      <c r="G13" s="231">
        <f>G9+G10+G11+G12</f>
        <v>585.70000000000005</v>
      </c>
      <c r="H13" s="231">
        <f>H9+H10+H11+H12</f>
        <v>657.6</v>
      </c>
      <c r="I13" s="230">
        <f>I9+I10+I11+I12</f>
        <v>743.4122119691782</v>
      </c>
      <c r="J13" s="230">
        <f>J9+J10+J11+J12</f>
        <v>852.49994551364739</v>
      </c>
      <c r="K13" s="230">
        <f>K9+K10+K11+K12</f>
        <v>974.83081180263514</v>
      </c>
      <c r="L13" s="230">
        <f>L9+L10+L11+L12</f>
        <v>1105.012070198524</v>
      </c>
      <c r="M13" s="230">
        <f>M9+M10+M11+M12</f>
        <v>1250.2653002534048</v>
      </c>
    </row>
    <row r="14" spans="2:15" x14ac:dyDescent="0.2">
      <c r="E14" s="103"/>
      <c r="F14" s="103"/>
      <c r="G14" s="103"/>
      <c r="H14" s="103"/>
      <c r="I14" s="103"/>
      <c r="J14" s="103"/>
      <c r="K14" s="103"/>
      <c r="L14" s="103"/>
      <c r="M14" s="103"/>
    </row>
    <row r="15" spans="2:15" ht="16" customHeight="1" thickBot="1" x14ac:dyDescent="0.25">
      <c r="B15" s="1" t="s">
        <v>215</v>
      </c>
      <c r="E15" s="103"/>
      <c r="F15" s="103"/>
      <c r="G15" s="103"/>
      <c r="H15" s="103"/>
      <c r="I15" s="103"/>
      <c r="J15" s="103"/>
      <c r="K15" s="103"/>
      <c r="L15" s="103"/>
      <c r="M15" s="103"/>
    </row>
    <row r="16" spans="2:15" x14ac:dyDescent="0.2">
      <c r="B16" s="14" t="s">
        <v>216</v>
      </c>
      <c r="C16" s="14" t="s">
        <v>27</v>
      </c>
      <c r="D16" s="95"/>
      <c r="E16" s="23">
        <v>47.4</v>
      </c>
      <c r="F16" s="23">
        <v>32.6</v>
      </c>
      <c r="G16" s="23">
        <v>30.3</v>
      </c>
      <c r="H16" s="23">
        <v>23.2</v>
      </c>
      <c r="I16" s="25">
        <f>H16+'Income Statement'!I9*Assumptions!I50/100-'Income Statement'!I46</f>
        <v>18.791961999999998</v>
      </c>
      <c r="J16" s="25">
        <f>I16+'Income Statement'!J9*Assumptions!J50/100-'Income Statement'!J46</f>
        <v>16.396342525000001</v>
      </c>
      <c r="K16" s="25">
        <f>J16+'Income Statement'!K9*Assumptions!K50/100-'Income Statement'!K46</f>
        <v>13.816310660500001</v>
      </c>
      <c r="L16" s="25">
        <f>K16+'Income Statement'!L9*Assumptions!L50/100-'Income Statement'!L46</f>
        <v>11.979489098855002</v>
      </c>
      <c r="M16" s="25">
        <f>L16+'Income Statement'!M9*Assumptions!M50/100-'Income Statement'!M46</f>
        <v>11.006394210224276</v>
      </c>
    </row>
    <row r="17" spans="2:15" x14ac:dyDescent="0.2">
      <c r="B17" s="9" t="s">
        <v>217</v>
      </c>
      <c r="C17" s="9" t="s">
        <v>27</v>
      </c>
      <c r="D17" s="8"/>
      <c r="E17" s="24">
        <v>20.2</v>
      </c>
      <c r="F17" s="24">
        <v>17.2</v>
      </c>
      <c r="G17" s="24">
        <v>14.3</v>
      </c>
      <c r="H17" s="24">
        <v>11.7</v>
      </c>
      <c r="I17" s="24">
        <v>11.7</v>
      </c>
      <c r="J17" s="24">
        <v>11.7</v>
      </c>
      <c r="K17" s="24">
        <v>11.7</v>
      </c>
      <c r="L17" s="24">
        <v>11.7</v>
      </c>
      <c r="M17" s="24">
        <v>11.7</v>
      </c>
      <c r="O17" s="20" t="s">
        <v>218</v>
      </c>
    </row>
    <row r="18" spans="2:15" x14ac:dyDescent="0.2">
      <c r="B18" s="9" t="s">
        <v>219</v>
      </c>
      <c r="C18" s="9" t="s">
        <v>27</v>
      </c>
      <c r="D18" s="8"/>
      <c r="E18" s="24">
        <v>33.799999999999997</v>
      </c>
      <c r="F18" s="24">
        <v>22.4</v>
      </c>
      <c r="G18" s="24">
        <v>41</v>
      </c>
      <c r="H18" s="24">
        <v>46</v>
      </c>
      <c r="I18" s="24">
        <v>46</v>
      </c>
      <c r="J18" s="24">
        <v>46</v>
      </c>
      <c r="K18" s="24">
        <v>46</v>
      </c>
      <c r="L18" s="24">
        <v>46</v>
      </c>
      <c r="M18" s="24">
        <v>46</v>
      </c>
      <c r="O18" s="20" t="s">
        <v>220</v>
      </c>
    </row>
    <row r="19" spans="2:15" x14ac:dyDescent="0.2">
      <c r="B19" s="9" t="s">
        <v>544</v>
      </c>
      <c r="C19" s="9" t="s">
        <v>27</v>
      </c>
      <c r="D19" s="8"/>
      <c r="E19" s="24">
        <v>126.2</v>
      </c>
      <c r="F19" s="24">
        <v>140.4</v>
      </c>
      <c r="G19" s="24">
        <v>302.3</v>
      </c>
      <c r="H19" s="24">
        <v>356.6</v>
      </c>
      <c r="I19" s="105">
        <f>H19-'Cash Flow'!I20</f>
        <v>403.97134703082196</v>
      </c>
      <c r="J19" s="105">
        <f>I19-'Cash Flow'!J20</f>
        <v>456.45322251135281</v>
      </c>
      <c r="K19" s="105">
        <f>J19-'Cash Flow'!K20</f>
        <v>512.08884904936508</v>
      </c>
      <c r="L19" s="105">
        <f>K19-'Cash Flow'!L20</f>
        <v>570.23331827459106</v>
      </c>
      <c r="M19" s="105">
        <f>L19-'Cash Flow'!M20</f>
        <v>631.30113614116738</v>
      </c>
      <c r="O19" s="22" t="s">
        <v>221</v>
      </c>
    </row>
    <row r="20" spans="2:15" x14ac:dyDescent="0.2">
      <c r="B20" s="9" t="s">
        <v>222</v>
      </c>
      <c r="C20" s="9" t="s">
        <v>27</v>
      </c>
      <c r="D20" s="8"/>
      <c r="E20" s="24">
        <v>700.9</v>
      </c>
      <c r="F20" s="24">
        <v>812.6</v>
      </c>
      <c r="G20" s="24">
        <v>973.5</v>
      </c>
      <c r="H20" s="24">
        <v>1095.0999999999999</v>
      </c>
      <c r="I20" s="105">
        <f>I13+I16+I17+I18+I19</f>
        <v>1223.8755210000002</v>
      </c>
      <c r="J20" s="105">
        <f>J13+J16+J17+J18+J19</f>
        <v>1383.0495105500004</v>
      </c>
      <c r="K20" s="105">
        <f>K13+K16+K17+K18+K19</f>
        <v>1558.4359715125004</v>
      </c>
      <c r="L20" s="105">
        <f>L13+L16+L17+L18+L19</f>
        <v>1744.9248775719702</v>
      </c>
      <c r="M20" s="105">
        <f>M13+M16+M17+M18+M19</f>
        <v>1950.2728306047966</v>
      </c>
    </row>
    <row r="21" spans="2:15" x14ac:dyDescent="0.2">
      <c r="E21" s="103"/>
      <c r="F21" s="103"/>
      <c r="G21" s="103"/>
      <c r="H21" s="103"/>
      <c r="I21" s="103"/>
      <c r="J21" s="103"/>
      <c r="K21" s="103"/>
      <c r="L21" s="103"/>
      <c r="M21" s="103"/>
    </row>
    <row r="22" spans="2:15" ht="16" customHeight="1" thickBot="1" x14ac:dyDescent="0.25">
      <c r="B22" s="1" t="s">
        <v>223</v>
      </c>
      <c r="E22" s="103"/>
      <c r="F22" s="103"/>
      <c r="G22" s="103"/>
      <c r="H22" s="103"/>
      <c r="I22" s="103"/>
      <c r="J22" s="103"/>
      <c r="K22" s="103"/>
      <c r="L22" s="103"/>
      <c r="M22" s="103"/>
    </row>
    <row r="23" spans="2:15" x14ac:dyDescent="0.2">
      <c r="B23" s="14" t="s">
        <v>224</v>
      </c>
      <c r="C23" s="14" t="s">
        <v>27</v>
      </c>
      <c r="D23" s="95"/>
      <c r="E23" s="23">
        <v>2.8</v>
      </c>
      <c r="F23" s="23">
        <v>1</v>
      </c>
      <c r="G23" s="23">
        <v>1.3</v>
      </c>
      <c r="H23" s="23">
        <v>1.2</v>
      </c>
      <c r="I23" s="23">
        <v>1.2</v>
      </c>
      <c r="J23" s="23">
        <v>1.2</v>
      </c>
      <c r="K23" s="23">
        <v>1.2</v>
      </c>
      <c r="L23" s="23">
        <v>1.2</v>
      </c>
      <c r="M23" s="23">
        <v>1.2</v>
      </c>
      <c r="O23" s="20" t="s">
        <v>225</v>
      </c>
    </row>
    <row r="24" spans="2:15" x14ac:dyDescent="0.2">
      <c r="B24" s="9" t="s">
        <v>226</v>
      </c>
      <c r="C24" s="9" t="s">
        <v>27</v>
      </c>
      <c r="D24" s="8"/>
      <c r="E24" s="24">
        <v>42.6</v>
      </c>
      <c r="F24" s="24">
        <v>43.1</v>
      </c>
      <c r="G24" s="24">
        <v>45.9</v>
      </c>
      <c r="H24" s="24">
        <v>57.7</v>
      </c>
      <c r="I24" s="158">
        <f>H24+(1*'Cash Flow'!I14)</f>
        <v>50.353270000000002</v>
      </c>
      <c r="J24" s="158">
        <f>I24+(1*'Cash Flow'!J14)</f>
        <v>42.367871750000006</v>
      </c>
      <c r="K24" s="158">
        <f>J24+(1*'Cash Flow'!K14)</f>
        <v>33.767765535000009</v>
      </c>
      <c r="L24" s="158">
        <f>K24+(1*'Cash Flow'!L14)</f>
        <v>24.583657726775009</v>
      </c>
      <c r="M24" s="158">
        <f>L24+(1*'Cash Flow'!M14)</f>
        <v>14.852708840467759</v>
      </c>
      <c r="O24" s="20" t="s">
        <v>440</v>
      </c>
    </row>
    <row r="25" spans="2:15" x14ac:dyDescent="0.2">
      <c r="B25" s="9" t="s">
        <v>227</v>
      </c>
      <c r="C25" s="9" t="s">
        <v>27</v>
      </c>
      <c r="D25" s="8"/>
      <c r="E25" s="24">
        <v>293.7</v>
      </c>
      <c r="F25" s="24">
        <v>333.3</v>
      </c>
      <c r="G25" s="24">
        <v>371.5</v>
      </c>
      <c r="H25" s="24">
        <v>401.1</v>
      </c>
      <c r="I25" s="104">
        <f>'Income Statement'!I9*Assumptions!I49/100*Assumptions!I53/100</f>
        <v>423.171648</v>
      </c>
      <c r="J25" s="104">
        <f>'Income Statement'!J9*Assumptions!J49/100*Assumptions!J53/100</f>
        <v>459.95893919999997</v>
      </c>
      <c r="K25" s="104">
        <f>'Income Statement'!K9*Assumptions!K49/100*Assumptions!K53/100</f>
        <v>495.36611798400003</v>
      </c>
      <c r="L25" s="104">
        <f>'Income Statement'!L9*Assumptions!L49/100*Assumptions!L53/100</f>
        <v>529.00460975376006</v>
      </c>
      <c r="M25" s="104">
        <f>'Income Statement'!M9*Assumptions!M49/100*Assumptions!M53/100</f>
        <v>560.50265585129762</v>
      </c>
      <c r="O25" s="20" t="s">
        <v>441</v>
      </c>
    </row>
    <row r="26" spans="2:15" x14ac:dyDescent="0.2">
      <c r="B26" s="9" t="s">
        <v>228</v>
      </c>
      <c r="C26" s="9" t="s">
        <v>27</v>
      </c>
      <c r="D26" s="8"/>
      <c r="E26" s="24">
        <v>13.1</v>
      </c>
      <c r="F26" s="24">
        <v>11.9</v>
      </c>
      <c r="G26" s="24">
        <v>9.6999999999999993</v>
      </c>
      <c r="H26" s="24">
        <v>7.3</v>
      </c>
      <c r="I26" s="24">
        <v>7.4</v>
      </c>
      <c r="J26" s="24">
        <v>7.4</v>
      </c>
      <c r="K26" s="24">
        <v>7.4</v>
      </c>
      <c r="L26" s="24">
        <v>7.4</v>
      </c>
      <c r="M26" s="24">
        <v>7.4</v>
      </c>
      <c r="O26" s="20" t="s">
        <v>229</v>
      </c>
    </row>
    <row r="27" spans="2:15" x14ac:dyDescent="0.2">
      <c r="B27" s="9" t="s">
        <v>230</v>
      </c>
      <c r="C27" s="9" t="s">
        <v>27</v>
      </c>
      <c r="D27" s="8"/>
      <c r="E27" s="24">
        <v>352.2</v>
      </c>
      <c r="F27" s="24">
        <v>389.2</v>
      </c>
      <c r="G27" s="24">
        <v>428.4</v>
      </c>
      <c r="H27" s="24">
        <v>467.3</v>
      </c>
      <c r="I27" s="105">
        <f>I23+I24+I25+I26</f>
        <v>482.12491799999998</v>
      </c>
      <c r="J27" s="105">
        <f>J23+J24+J25+J26</f>
        <v>510.92681094999995</v>
      </c>
      <c r="K27" s="105">
        <f>K23+K24+K25+K26</f>
        <v>537.73388351899996</v>
      </c>
      <c r="L27" s="105">
        <f>L23+L24+L25+L26</f>
        <v>562.18826748053505</v>
      </c>
      <c r="M27" s="105">
        <f>M23+M24+M25+M26</f>
        <v>583.95536469176534</v>
      </c>
    </row>
    <row r="28" spans="2:15" x14ac:dyDescent="0.2">
      <c r="E28" s="103"/>
      <c r="F28" s="103"/>
      <c r="G28" s="103"/>
      <c r="H28" s="103"/>
      <c r="I28" s="103"/>
      <c r="J28" s="103"/>
      <c r="K28" s="103"/>
      <c r="L28" s="103"/>
      <c r="M28" s="103"/>
    </row>
    <row r="29" spans="2:15" ht="16" customHeight="1" thickBot="1" x14ac:dyDescent="0.25">
      <c r="B29" s="1" t="s">
        <v>231</v>
      </c>
      <c r="E29" s="103"/>
      <c r="F29" s="103"/>
      <c r="G29" s="103"/>
      <c r="H29" s="103"/>
      <c r="I29" s="103"/>
      <c r="J29" s="103"/>
      <c r="K29" s="103"/>
      <c r="L29" s="103"/>
      <c r="M29" s="103"/>
    </row>
    <row r="30" spans="2:15" x14ac:dyDescent="0.2">
      <c r="B30" s="14" t="s">
        <v>232</v>
      </c>
      <c r="C30" s="14" t="s">
        <v>27</v>
      </c>
      <c r="D30" s="95"/>
      <c r="E30" s="23">
        <v>23.5</v>
      </c>
      <c r="F30" s="23">
        <v>31.7</v>
      </c>
      <c r="G30" s="23">
        <v>24.3</v>
      </c>
      <c r="H30" s="23">
        <v>16.3</v>
      </c>
      <c r="I30" s="106">
        <f>'Income Statement'!I9*Assumptions!I49/100*(1-Assumptions!I53/100)</f>
        <v>17.632152000000016</v>
      </c>
      <c r="J30" s="106">
        <f>'Income Statement'!J9*Assumptions!J49/100*(1-Assumptions!J53/100)</f>
        <v>19.164955800000016</v>
      </c>
      <c r="K30" s="106">
        <f>'Income Statement'!K9*Assumptions!K49/100*(1-Assumptions!K53/100)</f>
        <v>20.640254916000018</v>
      </c>
      <c r="L30" s="106">
        <f>'Income Statement'!L9*Assumptions!L49/100*(1-Assumptions!L53/100)</f>
        <v>22.041858739740022</v>
      </c>
      <c r="M30" s="106">
        <f>'Income Statement'!M9*Assumptions!M49/100*(1-Assumptions!M53/100)</f>
        <v>23.354277327137421</v>
      </c>
      <c r="O30" s="20" t="s">
        <v>442</v>
      </c>
    </row>
    <row r="31" spans="2:15" x14ac:dyDescent="0.2">
      <c r="B31" s="9" t="s">
        <v>233</v>
      </c>
      <c r="C31" s="9" t="s">
        <v>27</v>
      </c>
      <c r="D31" s="8"/>
      <c r="E31" s="24">
        <v>29.1</v>
      </c>
      <c r="F31" s="24">
        <v>16.899999999999999</v>
      </c>
      <c r="G31" s="24">
        <v>37.5</v>
      </c>
      <c r="H31" s="24">
        <v>45</v>
      </c>
      <c r="I31" s="24">
        <v>45</v>
      </c>
      <c r="J31" s="24">
        <v>45</v>
      </c>
      <c r="K31" s="24">
        <v>45</v>
      </c>
      <c r="L31" s="24">
        <v>45</v>
      </c>
      <c r="M31" s="24">
        <v>45</v>
      </c>
      <c r="O31" s="20" t="s">
        <v>234</v>
      </c>
    </row>
    <row r="32" spans="2:15" x14ac:dyDescent="0.2">
      <c r="B32" s="9" t="s">
        <v>235</v>
      </c>
      <c r="C32" s="9" t="s">
        <v>27</v>
      </c>
      <c r="D32" s="8"/>
      <c r="E32" s="24">
        <v>0</v>
      </c>
      <c r="F32" s="24">
        <v>0</v>
      </c>
      <c r="G32" s="24">
        <v>0</v>
      </c>
      <c r="H32" s="24">
        <v>0</v>
      </c>
      <c r="I32" s="24">
        <v>0</v>
      </c>
      <c r="J32" s="24">
        <v>0</v>
      </c>
      <c r="K32" s="24">
        <v>0</v>
      </c>
      <c r="L32" s="24">
        <v>0</v>
      </c>
      <c r="M32" s="24">
        <v>0</v>
      </c>
      <c r="O32" s="22" t="s">
        <v>236</v>
      </c>
    </row>
    <row r="33" spans="1:15" x14ac:dyDescent="0.2">
      <c r="B33" s="9" t="s">
        <v>237</v>
      </c>
      <c r="C33" s="9" t="s">
        <v>27</v>
      </c>
      <c r="D33" s="8"/>
      <c r="E33" s="24">
        <v>7</v>
      </c>
      <c r="F33" s="24">
        <v>6.7</v>
      </c>
      <c r="G33" s="24">
        <v>6.3</v>
      </c>
      <c r="H33" s="24">
        <v>5.3</v>
      </c>
      <c r="I33" s="24">
        <v>5.3</v>
      </c>
      <c r="J33" s="24">
        <v>5.3</v>
      </c>
      <c r="K33" s="24">
        <v>5.3</v>
      </c>
      <c r="L33" s="24">
        <v>5.3</v>
      </c>
      <c r="M33" s="24">
        <v>5.3</v>
      </c>
      <c r="O33" s="20" t="s">
        <v>238</v>
      </c>
    </row>
    <row r="34" spans="1:15" x14ac:dyDescent="0.2">
      <c r="B34" s="9" t="s">
        <v>239</v>
      </c>
      <c r="C34" s="9" t="s">
        <v>27</v>
      </c>
      <c r="D34" s="8"/>
      <c r="E34" s="24">
        <v>411.8</v>
      </c>
      <c r="F34" s="24">
        <v>444.4</v>
      </c>
      <c r="G34" s="24">
        <v>496.4</v>
      </c>
      <c r="H34" s="24">
        <v>533.9</v>
      </c>
      <c r="I34" s="105">
        <f>I27+I30+I31+I32+I33</f>
        <v>550.05706999999995</v>
      </c>
      <c r="J34" s="105">
        <f>J27+J30+J31+J32+J33</f>
        <v>580.39176674999987</v>
      </c>
      <c r="K34" s="105">
        <f>K27+K30+K31+K32+K33</f>
        <v>608.67413843499992</v>
      </c>
      <c r="L34" s="105">
        <f>L27+L30+L31+L32+L33</f>
        <v>634.53012622027506</v>
      </c>
      <c r="M34" s="105">
        <f>M27+M30+M31+M32+M33</f>
        <v>657.60964201890272</v>
      </c>
    </row>
    <row r="35" spans="1:15" x14ac:dyDescent="0.2">
      <c r="B35" s="8"/>
      <c r="C35" s="8"/>
      <c r="D35" s="8"/>
      <c r="E35" s="107"/>
      <c r="F35" s="107"/>
      <c r="G35" s="107"/>
      <c r="H35" s="107"/>
      <c r="I35" s="107"/>
      <c r="J35" s="107"/>
      <c r="K35" s="107"/>
      <c r="L35" s="107"/>
      <c r="M35" s="107"/>
    </row>
    <row r="36" spans="1:15" ht="16" customHeight="1" thickBot="1" x14ac:dyDescent="0.25">
      <c r="B36" s="1" t="s">
        <v>240</v>
      </c>
      <c r="E36" s="103"/>
      <c r="F36" s="103"/>
      <c r="G36" s="103"/>
      <c r="H36" s="103"/>
      <c r="I36" s="103"/>
      <c r="J36" s="103"/>
      <c r="K36" s="103"/>
      <c r="L36" s="103"/>
      <c r="M36" s="103"/>
    </row>
    <row r="37" spans="1:15" x14ac:dyDescent="0.2">
      <c r="B37" s="14" t="s">
        <v>241</v>
      </c>
      <c r="C37" s="14" t="s">
        <v>27</v>
      </c>
      <c r="D37" s="95"/>
      <c r="E37" s="23">
        <v>512.5</v>
      </c>
      <c r="F37" s="23">
        <v>598</v>
      </c>
      <c r="G37" s="23">
        <v>664.9</v>
      </c>
      <c r="H37" s="23">
        <v>731.8</v>
      </c>
      <c r="I37" s="25">
        <f>H37+'Income Statement'!I49+'Cash Flow'!I27</f>
        <v>811.28739499999995</v>
      </c>
      <c r="J37" s="25">
        <f>I37+'Income Statement'!J49+'Cash Flow'!J27</f>
        <v>894.12677574999998</v>
      </c>
      <c r="K37" s="25">
        <f>J37+'Income Statement'!K49+'Cash Flow'!K27</f>
        <v>979.42789100749997</v>
      </c>
      <c r="L37" s="25">
        <f>K37+'Income Statement'!L49+'Cash Flow'!L27</f>
        <v>1066.26896908975</v>
      </c>
      <c r="M37" s="25">
        <f>L37+'Income Statement'!M49+'Cash Flow'!M27</f>
        <v>1158.5784579528226</v>
      </c>
      <c r="O37" s="20" t="s">
        <v>443</v>
      </c>
    </row>
    <row r="38" spans="1:15" x14ac:dyDescent="0.2">
      <c r="B38" s="9" t="s">
        <v>242</v>
      </c>
      <c r="C38" s="9" t="s">
        <v>27</v>
      </c>
      <c r="D38" s="8"/>
      <c r="E38" s="24">
        <v>-221.4</v>
      </c>
      <c r="F38" s="24">
        <v>-228.1</v>
      </c>
      <c r="G38" s="24">
        <v>-189.2</v>
      </c>
      <c r="H38" s="24">
        <v>-166.7</v>
      </c>
      <c r="I38" s="105">
        <f>H38+'Income Statement'!I37-Assumptions!I57</f>
        <v>-133.46894399999999</v>
      </c>
      <c r="J38" s="105">
        <f>I38+'Income Statement'!J37-Assumptions!J57</f>
        <v>-87.469031950000016</v>
      </c>
      <c r="K38" s="105">
        <f>J38+'Income Statement'!K37-Assumptions!K57</f>
        <v>-25.666057930000107</v>
      </c>
      <c r="L38" s="105">
        <f>K38+'Income Statement'!L37-Assumptions!L57</f>
        <v>48.125782261944863</v>
      </c>
      <c r="M38" s="105">
        <f>L38+'Income Statement'!M37-Assumptions!M57</f>
        <v>138.08473063307076</v>
      </c>
      <c r="O38" s="22" t="s">
        <v>243</v>
      </c>
    </row>
    <row r="39" spans="1:15" x14ac:dyDescent="0.2">
      <c r="B39" s="9" t="s">
        <v>244</v>
      </c>
      <c r="C39" s="9" t="s">
        <v>27</v>
      </c>
      <c r="D39" s="8"/>
      <c r="E39" s="24">
        <v>-1.9</v>
      </c>
      <c r="F39" s="24">
        <v>-1.7</v>
      </c>
      <c r="G39" s="24">
        <v>1.4</v>
      </c>
      <c r="H39" s="24">
        <v>-4</v>
      </c>
      <c r="I39" s="24">
        <v>-4</v>
      </c>
      <c r="J39" s="24">
        <v>-4</v>
      </c>
      <c r="K39" s="24">
        <v>-4</v>
      </c>
      <c r="L39" s="24">
        <v>-4</v>
      </c>
      <c r="M39" s="24">
        <v>-4</v>
      </c>
      <c r="O39" s="20" t="s">
        <v>245</v>
      </c>
    </row>
    <row r="40" spans="1:15" x14ac:dyDescent="0.2">
      <c r="B40" s="9" t="s">
        <v>246</v>
      </c>
      <c r="C40" s="9" t="s">
        <v>27</v>
      </c>
      <c r="D40" s="8"/>
      <c r="E40" s="24">
        <v>289.10000000000002</v>
      </c>
      <c r="F40" s="24">
        <v>368.2</v>
      </c>
      <c r="G40" s="24">
        <v>477.1</v>
      </c>
      <c r="H40" s="24">
        <v>561.20000000000005</v>
      </c>
      <c r="I40" s="105">
        <f>I37+I38+I39</f>
        <v>673.81845099999998</v>
      </c>
      <c r="J40" s="105">
        <f>J37+J38+J39</f>
        <v>802.65774379999993</v>
      </c>
      <c r="K40" s="105">
        <f>K37+K38+K39</f>
        <v>949.76183307749989</v>
      </c>
      <c r="L40" s="105">
        <f>L37+L38+L39</f>
        <v>1110.3947513516948</v>
      </c>
      <c r="M40" s="105">
        <f>M37+M38+M39</f>
        <v>1292.6631885858933</v>
      </c>
    </row>
    <row r="41" spans="1:15" ht="16" customHeight="1" thickBot="1" x14ac:dyDescent="0.25">
      <c r="E41" s="103"/>
      <c r="F41" s="103"/>
      <c r="G41" s="103"/>
      <c r="H41" s="103"/>
      <c r="I41" s="103"/>
      <c r="J41" s="103"/>
      <c r="K41" s="103"/>
      <c r="L41" s="103"/>
      <c r="M41" s="103"/>
    </row>
    <row r="42" spans="1:15" x14ac:dyDescent="0.2">
      <c r="B42" s="14" t="s">
        <v>247</v>
      </c>
      <c r="C42" s="14" t="s">
        <v>27</v>
      </c>
      <c r="D42" s="95"/>
      <c r="E42" s="25">
        <f t="shared" ref="E42:M42" si="0">E34+E40</f>
        <v>700.90000000000009</v>
      </c>
      <c r="F42" s="25">
        <f t="shared" si="0"/>
        <v>812.59999999999991</v>
      </c>
      <c r="G42" s="25">
        <f t="shared" si="0"/>
        <v>973.5</v>
      </c>
      <c r="H42" s="25">
        <f t="shared" si="0"/>
        <v>1095.0999999999999</v>
      </c>
      <c r="I42" s="25">
        <f t="shared" si="0"/>
        <v>1223.8755209999999</v>
      </c>
      <c r="J42" s="25">
        <f t="shared" si="0"/>
        <v>1383.0495105499999</v>
      </c>
      <c r="K42" s="25">
        <f t="shared" si="0"/>
        <v>1558.4359715124997</v>
      </c>
      <c r="L42" s="25">
        <f t="shared" si="0"/>
        <v>1744.9248775719698</v>
      </c>
      <c r="M42" s="25">
        <f t="shared" si="0"/>
        <v>1950.2728306047961</v>
      </c>
    </row>
    <row r="43" spans="1:15" x14ac:dyDescent="0.2">
      <c r="I43" s="90"/>
      <c r="J43" s="90"/>
      <c r="K43" s="90"/>
      <c r="L43" s="90"/>
      <c r="M43" s="90"/>
    </row>
    <row r="44" spans="1:15" ht="15" outlineLevel="1" x14ac:dyDescent="0.2">
      <c r="A44" s="2"/>
      <c r="B44" s="7" t="s">
        <v>248</v>
      </c>
      <c r="C44" s="7"/>
      <c r="D44" s="174"/>
      <c r="E44" s="232">
        <f t="shared" ref="E44:M44" si="1">E20-E42</f>
        <v>0</v>
      </c>
      <c r="F44" s="232">
        <f t="shared" si="1"/>
        <v>0</v>
      </c>
      <c r="G44" s="232">
        <f t="shared" si="1"/>
        <v>0</v>
      </c>
      <c r="H44" s="232">
        <f t="shared" si="1"/>
        <v>0</v>
      </c>
      <c r="I44" s="232">
        <f t="shared" si="1"/>
        <v>0</v>
      </c>
      <c r="J44" s="232">
        <f t="shared" si="1"/>
        <v>0</v>
      </c>
      <c r="K44" s="232">
        <f t="shared" si="1"/>
        <v>0</v>
      </c>
      <c r="L44" s="232">
        <f t="shared" si="1"/>
        <v>0</v>
      </c>
      <c r="M44" s="232">
        <f t="shared" si="1"/>
        <v>0</v>
      </c>
    </row>
    <row r="45" spans="1:15" ht="15" outlineLevel="1" x14ac:dyDescent="0.2">
      <c r="B45" s="7" t="s">
        <v>571</v>
      </c>
      <c r="C45" s="7"/>
      <c r="D45" s="7"/>
      <c r="E45" s="232">
        <f>E9-'Cash Flow'!E33</f>
        <v>0</v>
      </c>
      <c r="F45" s="232">
        <f>F9-'Cash Flow'!F33</f>
        <v>0</v>
      </c>
      <c r="G45" s="232">
        <f>G9-'Cash Flow'!G33</f>
        <v>0</v>
      </c>
      <c r="H45" s="232">
        <f>H9-'Cash Flow'!H33</f>
        <v>0</v>
      </c>
      <c r="I45" s="232">
        <f>I9-'Cash Flow'!I33</f>
        <v>0</v>
      </c>
      <c r="J45" s="232">
        <f>J9-'Cash Flow'!J33</f>
        <v>0</v>
      </c>
      <c r="K45" s="232">
        <f>K9-'Cash Flow'!K33</f>
        <v>0</v>
      </c>
      <c r="L45" s="232">
        <f>L9-'Cash Flow'!L33</f>
        <v>0</v>
      </c>
      <c r="M45" s="232">
        <f>M9-'Cash Flow'!M33</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46"/>
  <sheetViews>
    <sheetView showGridLines="0" workbookViewId="0"/>
  </sheetViews>
  <sheetFormatPr baseColWidth="10" defaultColWidth="8.83203125" defaultRowHeight="14" x14ac:dyDescent="0.2"/>
  <cols>
    <col min="1" max="1" width="3.5" style="6" customWidth="1"/>
    <col min="2" max="2" width="35" style="6" customWidth="1"/>
    <col min="3" max="3" width="8" style="6" customWidth="1"/>
    <col min="4" max="13" width="12" style="6" customWidth="1"/>
    <col min="14" max="14" width="8.83203125" style="6" customWidth="1"/>
    <col min="15" max="15" width="50" style="7" customWidth="1"/>
    <col min="16" max="17" width="8.83203125" style="6" customWidth="1"/>
    <col min="18" max="16384" width="8.83203125" style="6"/>
  </cols>
  <sheetData>
    <row r="2" spans="2:15" ht="19" customHeight="1" x14ac:dyDescent="0.2">
      <c r="B2" s="3" t="s">
        <v>249</v>
      </c>
    </row>
    <row r="3" spans="2:15" x14ac:dyDescent="0.2">
      <c r="B3" s="2" t="s">
        <v>0</v>
      </c>
    </row>
    <row r="4" spans="2:15" x14ac:dyDescent="0.2">
      <c r="B4" s="2" t="s">
        <v>1</v>
      </c>
    </row>
    <row r="6" spans="2:15" ht="16" customHeight="1" thickBot="1" x14ac:dyDescent="0.25">
      <c r="C6" s="1" t="s">
        <v>15</v>
      </c>
      <c r="D6" s="19" t="s">
        <v>16</v>
      </c>
      <c r="E6" s="19" t="s">
        <v>17</v>
      </c>
      <c r="F6" s="19" t="s">
        <v>18</v>
      </c>
      <c r="G6" s="19" t="s">
        <v>19</v>
      </c>
      <c r="H6" s="19" t="s">
        <v>20</v>
      </c>
      <c r="I6" s="19" t="s">
        <v>21</v>
      </c>
      <c r="J6" s="19" t="s">
        <v>22</v>
      </c>
      <c r="K6" s="19" t="s">
        <v>23</v>
      </c>
      <c r="L6" s="19" t="s">
        <v>24</v>
      </c>
      <c r="M6" s="19" t="s">
        <v>25</v>
      </c>
      <c r="O6" s="21" t="s">
        <v>99</v>
      </c>
    </row>
    <row r="8" spans="2:15" ht="16" customHeight="1" thickBot="1" x14ac:dyDescent="0.25">
      <c r="B8" s="1" t="s">
        <v>250</v>
      </c>
    </row>
    <row r="9" spans="2:15" x14ac:dyDescent="0.2">
      <c r="B9" s="83" t="s">
        <v>197</v>
      </c>
      <c r="C9" s="83" t="s">
        <v>27</v>
      </c>
      <c r="D9" s="84">
        <f>'Income Statement'!D37</f>
        <v>70.983599999999939</v>
      </c>
      <c r="E9" s="84">
        <f>'Income Statement'!E37</f>
        <v>108.02959999999999</v>
      </c>
      <c r="F9" s="84">
        <f>'Income Statement'!F37</f>
        <v>151.53760000000003</v>
      </c>
      <c r="G9" s="84">
        <f>'Income Statement'!G37</f>
        <v>173.71440000000001</v>
      </c>
      <c r="H9" s="84">
        <f>'Income Statement'!H37</f>
        <v>198.18040000000008</v>
      </c>
      <c r="I9" s="84">
        <f>'Income Statement'!I37</f>
        <v>218.231056</v>
      </c>
      <c r="J9" s="84">
        <f>'Income Statement'!J37</f>
        <v>235.99991204999998</v>
      </c>
      <c r="K9" s="84">
        <f>'Income Statement'!K37</f>
        <v>256.80297401999991</v>
      </c>
      <c r="L9" s="84">
        <f>'Income Statement'!L37</f>
        <v>273.79184019194497</v>
      </c>
      <c r="M9" s="84">
        <f>'Income Statement'!M37</f>
        <v>289.95894837112593</v>
      </c>
    </row>
    <row r="10" spans="2:15" x14ac:dyDescent="0.2">
      <c r="B10" s="9" t="s">
        <v>203</v>
      </c>
      <c r="C10" s="9" t="s">
        <v>27</v>
      </c>
      <c r="D10" s="15">
        <f>'Income Statement'!D46</f>
        <v>35.9</v>
      </c>
      <c r="E10" s="15">
        <f>'Income Statement'!E46</f>
        <v>34.6</v>
      </c>
      <c r="F10" s="15">
        <f>'Income Statement'!F46</f>
        <v>27</v>
      </c>
      <c r="G10" s="15">
        <f>'Income Statement'!G46</f>
        <v>18.5</v>
      </c>
      <c r="H10" s="15">
        <f>'Income Statement'!H46</f>
        <v>14.5</v>
      </c>
      <c r="I10" s="15">
        <f>'Income Statement'!I46</f>
        <v>13.224114</v>
      </c>
      <c r="J10" s="15">
        <f>'Income Statement'!J46</f>
        <v>11.978097374999999</v>
      </c>
      <c r="K10" s="15">
        <f>'Income Statement'!K46</f>
        <v>11.180138079500001</v>
      </c>
      <c r="L10" s="15">
        <f>'Income Statement'!L46</f>
        <v>11.02092936987</v>
      </c>
      <c r="M10" s="15">
        <f>'Income Statement'!M46</f>
        <v>10.704043774937976</v>
      </c>
      <c r="O10" s="7" t="s">
        <v>444</v>
      </c>
    </row>
    <row r="11" spans="2:15" x14ac:dyDescent="0.2">
      <c r="B11" s="9" t="s">
        <v>207</v>
      </c>
      <c r="C11" s="9" t="s">
        <v>27</v>
      </c>
      <c r="D11" s="15">
        <f>'Income Statement'!D49</f>
        <v>67.599999999999994</v>
      </c>
      <c r="E11" s="15">
        <f>'Income Statement'!E49</f>
        <v>53.4</v>
      </c>
      <c r="F11" s="15">
        <f>'Income Statement'!F49</f>
        <v>69.099999999999994</v>
      </c>
      <c r="G11" s="15">
        <f>'Income Statement'!G49</f>
        <v>77.099999999999994</v>
      </c>
      <c r="H11" s="15">
        <f>'Income Statement'!H49</f>
        <v>77</v>
      </c>
      <c r="I11" s="15">
        <f>'Income Statement'!I49</f>
        <v>84.487394999999992</v>
      </c>
      <c r="J11" s="15">
        <f>'Income Statement'!J49</f>
        <v>87.839380750000004</v>
      </c>
      <c r="K11" s="15">
        <f>'Income Statement'!K49</f>
        <v>90.301115257499987</v>
      </c>
      <c r="L11" s="15">
        <f>'Income Statement'!L49</f>
        <v>91.841078082250007</v>
      </c>
      <c r="M11" s="15">
        <f>'Income Statement'!M49</f>
        <v>97.309488863072488</v>
      </c>
      <c r="O11" s="7" t="s">
        <v>445</v>
      </c>
    </row>
    <row r="12" spans="2:15" x14ac:dyDescent="0.2">
      <c r="B12" s="9" t="s">
        <v>251</v>
      </c>
      <c r="C12" s="9" t="s">
        <v>27</v>
      </c>
      <c r="D12" s="85">
        <v>-9.1999999999999993</v>
      </c>
      <c r="E12" s="85">
        <v>-13.4</v>
      </c>
      <c r="F12" s="85">
        <v>-25</v>
      </c>
      <c r="G12" s="85">
        <v>-19.100000000000001</v>
      </c>
      <c r="H12" s="85">
        <v>-7.7</v>
      </c>
      <c r="I12" s="15">
        <f>-('Balance Sheet'!I11-'Balance Sheet'!H11)</f>
        <v>-16.190654794520555</v>
      </c>
      <c r="J12" s="15">
        <f>-('Balance Sheet'!J11-'Balance Sheet'!I11)</f>
        <v>-16.272917054794505</v>
      </c>
      <c r="K12" s="15">
        <f>-('Balance Sheet'!K11-'Balance Sheet'!J11)</f>
        <v>-15.662422121917814</v>
      </c>
      <c r="L12" s="15">
        <f>-('Balance Sheet'!L11-'Balance Sheet'!K11)</f>
        <v>-14.880040594500002</v>
      </c>
      <c r="M12" s="15">
        <f>-('Balance Sheet'!M11-'Balance Sheet'!L11)</f>
        <v>-13.933211030588808</v>
      </c>
      <c r="O12" s="2" t="s">
        <v>252</v>
      </c>
    </row>
    <row r="13" spans="2:15" x14ac:dyDescent="0.2">
      <c r="B13" s="9" t="s">
        <v>253</v>
      </c>
      <c r="C13" s="9" t="s">
        <v>27</v>
      </c>
      <c r="D13" s="85">
        <v>46.6</v>
      </c>
      <c r="E13" s="85">
        <v>25.2</v>
      </c>
      <c r="F13" s="85">
        <v>47.7</v>
      </c>
      <c r="G13" s="85">
        <v>30.8</v>
      </c>
      <c r="H13" s="85">
        <v>21.7</v>
      </c>
      <c r="I13" s="15">
        <f>('Balance Sheet'!I25+'Balance Sheet'!I30)-('Balance Sheet'!H25+'Balance Sheet'!H30)</f>
        <v>23.40379999999999</v>
      </c>
      <c r="J13" s="15">
        <f>('Balance Sheet'!J25+'Balance Sheet'!J30)-('Balance Sheet'!I25+'Balance Sheet'!I30)</f>
        <v>38.320094999999981</v>
      </c>
      <c r="K13" s="15">
        <f>('Balance Sheet'!K25+'Balance Sheet'!K30)-('Balance Sheet'!J25+'Balance Sheet'!J30)</f>
        <v>36.882477900000083</v>
      </c>
      <c r="L13" s="15">
        <f>('Balance Sheet'!L25+'Balance Sheet'!L30)-('Balance Sheet'!K25+'Balance Sheet'!K30)</f>
        <v>35.040095593500041</v>
      </c>
      <c r="M13" s="15">
        <f>('Balance Sheet'!M25+'Balance Sheet'!M30)-('Balance Sheet'!L25+'Balance Sheet'!L30)</f>
        <v>32.810464684934914</v>
      </c>
      <c r="O13" s="2" t="s">
        <v>254</v>
      </c>
    </row>
    <row r="14" spans="2:15" x14ac:dyDescent="0.2">
      <c r="B14" s="9" t="s">
        <v>255</v>
      </c>
      <c r="C14" s="9" t="s">
        <v>27</v>
      </c>
      <c r="D14" s="86">
        <f>D15-D9-D10-D11-D12-D13</f>
        <v>-11.283599999999943</v>
      </c>
      <c r="E14" s="86">
        <f>E15-E9-E10-E11-E12-E13</f>
        <v>-8.9295999999999829</v>
      </c>
      <c r="F14" s="86">
        <f>F15-F9-F10-F11-F12-F13</f>
        <v>-25.737600000000029</v>
      </c>
      <c r="G14" s="86">
        <f>G15-G9-G10-G11-G12-G13</f>
        <v>-36.914400000000015</v>
      </c>
      <c r="H14" s="86">
        <f>H15-H9-H10-H11-H12-H13</f>
        <v>5.7195999999999003</v>
      </c>
      <c r="I14" s="173">
        <f>'Income Statement'!I9*-0.01</f>
        <v>-7.34673</v>
      </c>
      <c r="J14" s="173">
        <f>'Income Statement'!J9*-0.01</f>
        <v>-7.9853982499999994</v>
      </c>
      <c r="K14" s="173">
        <f>'Income Statement'!K9*-0.01</f>
        <v>-8.6001062150000003</v>
      </c>
      <c r="L14" s="173">
        <f>'Income Statement'!L9*-0.01</f>
        <v>-9.1841078082250007</v>
      </c>
      <c r="M14" s="173">
        <f>'Income Statement'!M9*-0.01</f>
        <v>-9.7309488863072495</v>
      </c>
      <c r="O14" s="2" t="s">
        <v>439</v>
      </c>
    </row>
    <row r="15" spans="2:15" x14ac:dyDescent="0.2">
      <c r="B15" s="9" t="s">
        <v>256</v>
      </c>
      <c r="C15" s="9" t="s">
        <v>27</v>
      </c>
      <c r="D15" s="85">
        <v>200.6</v>
      </c>
      <c r="E15" s="85">
        <v>198.9</v>
      </c>
      <c r="F15" s="85">
        <v>244.6</v>
      </c>
      <c r="G15" s="85">
        <v>244.1</v>
      </c>
      <c r="H15" s="85">
        <v>309.39999999999998</v>
      </c>
      <c r="I15" s="86">
        <f>I9+I10+I11+I12+I13+I14</f>
        <v>315.80898020547949</v>
      </c>
      <c r="J15" s="86">
        <f>J9+J10+J11+J12+J13+J14</f>
        <v>349.87916987020549</v>
      </c>
      <c r="K15" s="86">
        <f>K9+K10+K11+K12+K13+K14</f>
        <v>370.90417692008219</v>
      </c>
      <c r="L15" s="86">
        <f>L9+L10+L11+L12+L13+L14</f>
        <v>387.62979483484003</v>
      </c>
      <c r="M15" s="86">
        <f>M9+M10+M11+M12+M13+M14</f>
        <v>407.11878577717528</v>
      </c>
      <c r="O15" s="2" t="s">
        <v>257</v>
      </c>
    </row>
    <row r="17" spans="2:15" ht="16" customHeight="1" thickBot="1" x14ac:dyDescent="0.25">
      <c r="B17" s="1" t="s">
        <v>258</v>
      </c>
    </row>
    <row r="18" spans="2:15" x14ac:dyDescent="0.2">
      <c r="B18" s="83" t="s">
        <v>259</v>
      </c>
      <c r="C18" s="83" t="s">
        <v>27</v>
      </c>
      <c r="D18" s="87">
        <v>-24.4</v>
      </c>
      <c r="E18" s="87">
        <v>-15.4</v>
      </c>
      <c r="F18" s="87">
        <v>-8.8000000000000007</v>
      </c>
      <c r="G18" s="87">
        <v>-12.3</v>
      </c>
      <c r="H18" s="87">
        <v>-5</v>
      </c>
      <c r="I18" s="84">
        <f>-'Income Statement'!I9*Assumptions!I50/100</f>
        <v>-8.8160759999999989</v>
      </c>
      <c r="J18" s="84">
        <f>-'Income Statement'!J9*Assumptions!J50/100</f>
        <v>-9.5824778999999989</v>
      </c>
      <c r="K18" s="84">
        <f>-'Income Statement'!K9*Assumptions!K50/100</f>
        <v>-8.6001062150000003</v>
      </c>
      <c r="L18" s="84">
        <f>-'Income Statement'!L9*Assumptions!L50/100</f>
        <v>-9.1841078082250007</v>
      </c>
      <c r="M18" s="84">
        <f>-'Income Statement'!M9*Assumptions!M50/100</f>
        <v>-9.7309488863072495</v>
      </c>
      <c r="O18" s="2" t="s">
        <v>260</v>
      </c>
    </row>
    <row r="19" spans="2:15" x14ac:dyDescent="0.2">
      <c r="B19" s="9" t="s">
        <v>261</v>
      </c>
      <c r="C19" s="9" t="s">
        <v>27</v>
      </c>
      <c r="D19" s="85">
        <v>-1.2</v>
      </c>
      <c r="E19" s="85">
        <v>-8.6</v>
      </c>
      <c r="F19" s="85">
        <v>0</v>
      </c>
      <c r="G19" s="85">
        <v>0</v>
      </c>
      <c r="H19" s="85">
        <v>0</v>
      </c>
      <c r="I19" s="85">
        <v>0</v>
      </c>
      <c r="J19" s="85">
        <v>0</v>
      </c>
      <c r="K19" s="85">
        <v>0</v>
      </c>
      <c r="L19" s="85">
        <v>0</v>
      </c>
      <c r="M19" s="85">
        <v>0</v>
      </c>
    </row>
    <row r="20" spans="2:15" x14ac:dyDescent="0.2">
      <c r="B20" s="9" t="s">
        <v>262</v>
      </c>
      <c r="C20" s="9" t="s">
        <v>27</v>
      </c>
      <c r="D20" s="86">
        <f>D21-D18-D19</f>
        <v>-3.9000000000000012</v>
      </c>
      <c r="E20" s="86">
        <f>E21-E18-E19</f>
        <v>169.1</v>
      </c>
      <c r="F20" s="86">
        <f>F21-F18-F19</f>
        <v>-64.400000000000006</v>
      </c>
      <c r="G20" s="86">
        <f>G21-G18-G19</f>
        <v>-59.100000000000009</v>
      </c>
      <c r="H20" s="86">
        <f>H21-H18-H19</f>
        <v>-100.9</v>
      </c>
      <c r="I20" s="86">
        <f>-I15*0.15</f>
        <v>-47.371347030821923</v>
      </c>
      <c r="J20" s="86">
        <f>-J15*0.15</f>
        <v>-52.481875480530825</v>
      </c>
      <c r="K20" s="86">
        <f>-K15*0.15</f>
        <v>-55.635626538012325</v>
      </c>
      <c r="L20" s="86">
        <f>-L15*0.15</f>
        <v>-58.144469225226004</v>
      </c>
      <c r="M20" s="86">
        <f>-M15*0.15</f>
        <v>-61.067817866576291</v>
      </c>
      <c r="O20" s="2" t="s">
        <v>446</v>
      </c>
    </row>
    <row r="21" spans="2:15" x14ac:dyDescent="0.2">
      <c r="B21" s="9" t="s">
        <v>263</v>
      </c>
      <c r="C21" s="9" t="s">
        <v>27</v>
      </c>
      <c r="D21" s="85">
        <v>-29.5</v>
      </c>
      <c r="E21" s="85">
        <v>145.1</v>
      </c>
      <c r="F21" s="85">
        <v>-73.2</v>
      </c>
      <c r="G21" s="85">
        <v>-71.400000000000006</v>
      </c>
      <c r="H21" s="85">
        <v>-105.9</v>
      </c>
      <c r="I21" s="86">
        <f>I18+I19+I20</f>
        <v>-56.187423030821918</v>
      </c>
      <c r="J21" s="86">
        <f>J18+J19+J20</f>
        <v>-62.064353380530825</v>
      </c>
      <c r="K21" s="86">
        <f>K18+K19+K20</f>
        <v>-64.235732753012329</v>
      </c>
      <c r="L21" s="86">
        <f>L18+L19+L20</f>
        <v>-67.328577033451012</v>
      </c>
      <c r="M21" s="86">
        <f>M18+M19+M20</f>
        <v>-70.798766752883537</v>
      </c>
    </row>
    <row r="23" spans="2:15" ht="16" customHeight="1" thickBot="1" x14ac:dyDescent="0.25">
      <c r="B23" s="1" t="s">
        <v>264</v>
      </c>
    </row>
    <row r="24" spans="2:15" x14ac:dyDescent="0.2">
      <c r="B24" s="83" t="s">
        <v>141</v>
      </c>
      <c r="C24" s="83" t="s">
        <v>27</v>
      </c>
      <c r="D24" s="88">
        <f>-Assumptions!D57</f>
        <v>-130</v>
      </c>
      <c r="E24" s="88">
        <f>-Assumptions!E57</f>
        <v>-317.3</v>
      </c>
      <c r="F24" s="88">
        <f>-Assumptions!F57</f>
        <v>-170.8</v>
      </c>
      <c r="G24" s="88">
        <f>-Assumptions!G57</f>
        <v>-139.9</v>
      </c>
      <c r="H24" s="88">
        <f>-Assumptions!H57</f>
        <v>-183.4</v>
      </c>
      <c r="I24" s="88">
        <f>-Assumptions!I57</f>
        <v>-185</v>
      </c>
      <c r="J24" s="88">
        <f>-Assumptions!J57</f>
        <v>-190</v>
      </c>
      <c r="K24" s="88">
        <f>-Assumptions!K57</f>
        <v>-195</v>
      </c>
      <c r="L24" s="88">
        <f>-Assumptions!L57</f>
        <v>-200</v>
      </c>
      <c r="M24" s="88">
        <f>-Assumptions!M57</f>
        <v>-200</v>
      </c>
      <c r="O24" s="7" t="s">
        <v>447</v>
      </c>
    </row>
    <row r="25" spans="2:15" x14ac:dyDescent="0.2">
      <c r="B25" s="9" t="s">
        <v>265</v>
      </c>
      <c r="C25" s="9" t="s">
        <v>27</v>
      </c>
      <c r="D25" s="16">
        <v>0</v>
      </c>
      <c r="E25" s="16">
        <v>0</v>
      </c>
      <c r="F25" s="16">
        <v>0</v>
      </c>
      <c r="G25" s="16">
        <v>0</v>
      </c>
      <c r="H25" s="16">
        <v>0</v>
      </c>
      <c r="I25" s="16">
        <v>0</v>
      </c>
      <c r="J25" s="16">
        <v>0</v>
      </c>
      <c r="K25" s="16">
        <v>0</v>
      </c>
      <c r="L25" s="16">
        <v>0</v>
      </c>
      <c r="M25" s="16">
        <v>0</v>
      </c>
      <c r="O25" s="7" t="s">
        <v>341</v>
      </c>
    </row>
    <row r="26" spans="2:15" x14ac:dyDescent="0.2">
      <c r="B26" s="9" t="s">
        <v>266</v>
      </c>
      <c r="C26" s="9" t="s">
        <v>27</v>
      </c>
      <c r="D26" s="16">
        <v>0</v>
      </c>
      <c r="E26" s="16">
        <v>0</v>
      </c>
      <c r="F26" s="16">
        <v>0</v>
      </c>
      <c r="G26" s="16">
        <v>0</v>
      </c>
      <c r="H26" s="16">
        <v>0</v>
      </c>
      <c r="I26" s="16">
        <v>0</v>
      </c>
      <c r="J26" s="16">
        <v>0</v>
      </c>
      <c r="K26" s="16">
        <v>0</v>
      </c>
      <c r="L26" s="16">
        <v>0</v>
      </c>
      <c r="M26" s="16">
        <v>0</v>
      </c>
      <c r="O26" s="7" t="s">
        <v>340</v>
      </c>
    </row>
    <row r="27" spans="2:15" x14ac:dyDescent="0.2">
      <c r="B27" s="9" t="s">
        <v>267</v>
      </c>
      <c r="C27" s="9" t="s">
        <v>27</v>
      </c>
      <c r="D27" s="16">
        <v>22.1</v>
      </c>
      <c r="E27" s="16">
        <v>11.3</v>
      </c>
      <c r="F27" s="16">
        <v>29.3</v>
      </c>
      <c r="G27" s="16">
        <v>-5.8</v>
      </c>
      <c r="H27" s="16">
        <v>-2</v>
      </c>
      <c r="I27" s="16">
        <v>-5</v>
      </c>
      <c r="J27" s="16">
        <v>-5</v>
      </c>
      <c r="K27" s="16">
        <v>-5</v>
      </c>
      <c r="L27" s="16">
        <v>-5</v>
      </c>
      <c r="M27" s="16">
        <v>-5</v>
      </c>
      <c r="O27" s="2" t="s">
        <v>268</v>
      </c>
    </row>
    <row r="28" spans="2:15" x14ac:dyDescent="0.2">
      <c r="B28" s="9" t="s">
        <v>269</v>
      </c>
      <c r="C28" s="9" t="s">
        <v>27</v>
      </c>
      <c r="D28" s="9">
        <f t="shared" ref="D28:M28" si="0">D24+D25+D26+D27</f>
        <v>-107.9</v>
      </c>
      <c r="E28" s="9">
        <f t="shared" si="0"/>
        <v>-306</v>
      </c>
      <c r="F28" s="9">
        <f t="shared" si="0"/>
        <v>-141.5</v>
      </c>
      <c r="G28" s="9">
        <f t="shared" si="0"/>
        <v>-145.70000000000002</v>
      </c>
      <c r="H28" s="9">
        <f t="shared" si="0"/>
        <v>-185.4</v>
      </c>
      <c r="I28" s="9">
        <f t="shared" si="0"/>
        <v>-190</v>
      </c>
      <c r="J28" s="9">
        <f t="shared" si="0"/>
        <v>-195</v>
      </c>
      <c r="K28" s="9">
        <f t="shared" si="0"/>
        <v>-200</v>
      </c>
      <c r="L28" s="9">
        <f t="shared" si="0"/>
        <v>-205</v>
      </c>
      <c r="M28" s="9">
        <f t="shared" si="0"/>
        <v>-205</v>
      </c>
    </row>
    <row r="30" spans="2:15" ht="16" customHeight="1" thickBot="1" x14ac:dyDescent="0.25">
      <c r="B30" s="1" t="s">
        <v>270</v>
      </c>
    </row>
    <row r="31" spans="2:15" x14ac:dyDescent="0.2">
      <c r="B31" s="83" t="s">
        <v>271</v>
      </c>
      <c r="C31" s="83" t="s">
        <v>27</v>
      </c>
      <c r="D31" s="89">
        <f t="shared" ref="D31:M31" si="1">D15+D21+D28</f>
        <v>63.199999999999989</v>
      </c>
      <c r="E31" s="89">
        <f>E15+E21+E28</f>
        <v>38</v>
      </c>
      <c r="F31" s="89">
        <f t="shared" si="1"/>
        <v>29.899999999999977</v>
      </c>
      <c r="G31" s="89">
        <f t="shared" si="1"/>
        <v>26.999999999999972</v>
      </c>
      <c r="H31" s="89">
        <f t="shared" si="1"/>
        <v>18.099999999999966</v>
      </c>
      <c r="I31" s="89">
        <f t="shared" si="1"/>
        <v>69.621557174657596</v>
      </c>
      <c r="J31" s="89">
        <f t="shared" si="1"/>
        <v>92.814816489674683</v>
      </c>
      <c r="K31" s="89">
        <f t="shared" si="1"/>
        <v>106.66844416706988</v>
      </c>
      <c r="L31" s="89">
        <f t="shared" si="1"/>
        <v>115.30121780138904</v>
      </c>
      <c r="M31" s="89">
        <f t="shared" si="1"/>
        <v>131.32001902429175</v>
      </c>
    </row>
    <row r="32" spans="2:15" x14ac:dyDescent="0.2">
      <c r="B32" s="9" t="s">
        <v>272</v>
      </c>
      <c r="C32" s="9" t="s">
        <v>27</v>
      </c>
      <c r="D32" s="85">
        <v>75.3</v>
      </c>
      <c r="E32" s="85">
        <v>138.5</v>
      </c>
      <c r="F32" s="85">
        <v>176.4</v>
      </c>
      <c r="G32" s="85">
        <v>206.4</v>
      </c>
      <c r="H32" s="85">
        <v>233.4</v>
      </c>
      <c r="I32" s="86">
        <f>H33</f>
        <v>251.49999999999997</v>
      </c>
      <c r="J32" s="86">
        <f>I33</f>
        <v>321.1215571746576</v>
      </c>
      <c r="K32" s="86">
        <f>J33</f>
        <v>413.93637366433228</v>
      </c>
      <c r="L32" s="86">
        <f>K33</f>
        <v>520.60481783140222</v>
      </c>
      <c r="M32" s="86">
        <f>L33</f>
        <v>635.90603563279126</v>
      </c>
    </row>
    <row r="33" spans="2:15" x14ac:dyDescent="0.2">
      <c r="B33" s="9" t="s">
        <v>273</v>
      </c>
      <c r="C33" s="9" t="s">
        <v>27</v>
      </c>
      <c r="D33" s="86">
        <f t="shared" ref="D33:M33" si="2">D32+D31</f>
        <v>138.5</v>
      </c>
      <c r="E33" s="86">
        <f t="shared" si="2"/>
        <v>176.5</v>
      </c>
      <c r="F33" s="86">
        <f t="shared" si="2"/>
        <v>206.29999999999998</v>
      </c>
      <c r="G33" s="86">
        <f t="shared" si="2"/>
        <v>233.39999999999998</v>
      </c>
      <c r="H33" s="86">
        <f t="shared" si="2"/>
        <v>251.49999999999997</v>
      </c>
      <c r="I33" s="86">
        <f t="shared" si="2"/>
        <v>321.1215571746576</v>
      </c>
      <c r="J33" s="86">
        <f t="shared" si="2"/>
        <v>413.93637366433228</v>
      </c>
      <c r="K33" s="86">
        <f t="shared" si="2"/>
        <v>520.60481783140222</v>
      </c>
      <c r="L33" s="86">
        <f t="shared" si="2"/>
        <v>635.90603563279126</v>
      </c>
      <c r="M33" s="86">
        <f t="shared" si="2"/>
        <v>767.22605465708307</v>
      </c>
      <c r="O33" s="2" t="s">
        <v>448</v>
      </c>
    </row>
    <row r="35" spans="2:15" ht="16" customHeight="1" thickBot="1" x14ac:dyDescent="0.25">
      <c r="B35" s="1" t="s">
        <v>274</v>
      </c>
    </row>
    <row r="36" spans="2:15" x14ac:dyDescent="0.2">
      <c r="B36" s="83" t="s">
        <v>275</v>
      </c>
      <c r="C36" s="83" t="s">
        <v>27</v>
      </c>
      <c r="D36" s="89">
        <f t="shared" ref="D36:M36" si="3">D15</f>
        <v>200.6</v>
      </c>
      <c r="E36" s="89">
        <f t="shared" si="3"/>
        <v>198.9</v>
      </c>
      <c r="F36" s="89">
        <f t="shared" si="3"/>
        <v>244.6</v>
      </c>
      <c r="G36" s="89">
        <f t="shared" si="3"/>
        <v>244.1</v>
      </c>
      <c r="H36" s="89">
        <f t="shared" si="3"/>
        <v>309.39999999999998</v>
      </c>
      <c r="I36" s="89">
        <f t="shared" si="3"/>
        <v>315.80898020547949</v>
      </c>
      <c r="J36" s="89">
        <f t="shared" si="3"/>
        <v>349.87916987020549</v>
      </c>
      <c r="K36" s="89">
        <f t="shared" si="3"/>
        <v>370.90417692008219</v>
      </c>
      <c r="L36" s="89">
        <f t="shared" si="3"/>
        <v>387.62979483484003</v>
      </c>
      <c r="M36" s="89">
        <f t="shared" si="3"/>
        <v>407.11878577717528</v>
      </c>
    </row>
    <row r="37" spans="2:15" x14ac:dyDescent="0.2">
      <c r="B37" s="9" t="s">
        <v>276</v>
      </c>
      <c r="C37" s="9" t="s">
        <v>27</v>
      </c>
      <c r="D37" s="86">
        <f t="shared" ref="D37:M37" si="4">D18</f>
        <v>-24.4</v>
      </c>
      <c r="E37" s="86">
        <f t="shared" si="4"/>
        <v>-15.4</v>
      </c>
      <c r="F37" s="86">
        <f t="shared" si="4"/>
        <v>-8.8000000000000007</v>
      </c>
      <c r="G37" s="86">
        <f t="shared" si="4"/>
        <v>-12.3</v>
      </c>
      <c r="H37" s="86">
        <f t="shared" si="4"/>
        <v>-5</v>
      </c>
      <c r="I37" s="86">
        <f t="shared" si="4"/>
        <v>-8.8160759999999989</v>
      </c>
      <c r="J37" s="86">
        <f t="shared" si="4"/>
        <v>-9.5824778999999989</v>
      </c>
      <c r="K37" s="86">
        <f t="shared" si="4"/>
        <v>-8.6001062150000003</v>
      </c>
      <c r="L37" s="86">
        <f t="shared" si="4"/>
        <v>-9.1841078082250007</v>
      </c>
      <c r="M37" s="86">
        <f t="shared" si="4"/>
        <v>-9.7309488863072495</v>
      </c>
    </row>
    <row r="38" spans="2:15" x14ac:dyDescent="0.2">
      <c r="B38" s="9" t="s">
        <v>277</v>
      </c>
      <c r="C38" s="9" t="s">
        <v>27</v>
      </c>
      <c r="D38" s="86">
        <f t="shared" ref="D38:M38" si="5">D36+D37</f>
        <v>176.2</v>
      </c>
      <c r="E38" s="86">
        <f t="shared" si="5"/>
        <v>183.5</v>
      </c>
      <c r="F38" s="86">
        <f t="shared" si="5"/>
        <v>235.79999999999998</v>
      </c>
      <c r="G38" s="86">
        <f t="shared" si="5"/>
        <v>231.79999999999998</v>
      </c>
      <c r="H38" s="86">
        <f t="shared" si="5"/>
        <v>304.39999999999998</v>
      </c>
      <c r="I38" s="86">
        <f t="shared" si="5"/>
        <v>306.99290420547948</v>
      </c>
      <c r="J38" s="86">
        <f t="shared" si="5"/>
        <v>340.29669197020547</v>
      </c>
      <c r="K38" s="86">
        <f t="shared" si="5"/>
        <v>362.30407070508221</v>
      </c>
      <c r="L38" s="86">
        <f t="shared" si="5"/>
        <v>378.44568702661502</v>
      </c>
      <c r="M38" s="86">
        <f t="shared" si="5"/>
        <v>397.38783689086802</v>
      </c>
    </row>
    <row r="39" spans="2:15" x14ac:dyDescent="0.2">
      <c r="B39" s="9" t="s">
        <v>278</v>
      </c>
      <c r="C39" s="9" t="s">
        <v>4</v>
      </c>
      <c r="D39" s="15">
        <f>D38/'Income Statement'!D9*100</f>
        <v>42.850194552529182</v>
      </c>
      <c r="E39" s="15">
        <f>E38/'Income Statement'!E9*100</f>
        <v>37.47192158464366</v>
      </c>
      <c r="F39" s="15">
        <f>F38/'Income Statement'!F9*100</f>
        <v>42.524797114517582</v>
      </c>
      <c r="G39" s="15">
        <f>G38/'Income Statement'!G9*100</f>
        <v>38.150098749177083</v>
      </c>
      <c r="H39" s="15">
        <f>H38/'Income Statement'!H9*100</f>
        <v>45.493947093110144</v>
      </c>
      <c r="I39" s="15">
        <f>I38/'Income Statement'!I9*100</f>
        <v>41.786332722922914</v>
      </c>
      <c r="J39" s="15">
        <f>J38/'Income Statement'!J9*100</f>
        <v>42.614867952290979</v>
      </c>
      <c r="K39" s="15">
        <f>K38/'Income Statement'!K9*100</f>
        <v>42.12786001098037</v>
      </c>
      <c r="L39" s="15">
        <f>L38/'Income Statement'!L9*100</f>
        <v>41.206581513306155</v>
      </c>
      <c r="M39" s="15">
        <f>M38/'Income Statement'!M9*100</f>
        <v>40.837521760087135</v>
      </c>
    </row>
    <row r="40" spans="2:15" x14ac:dyDescent="0.2">
      <c r="B40" s="9" t="s">
        <v>279</v>
      </c>
      <c r="C40" s="9" t="s">
        <v>53</v>
      </c>
      <c r="D40" s="15">
        <f>D38/Assumptions!D58</f>
        <v>4.3940149625935154</v>
      </c>
      <c r="E40" s="15">
        <f>E38/Assumptions!E58</f>
        <v>4.6692111959287539</v>
      </c>
      <c r="F40" s="15">
        <f>F38/Assumptions!F58</f>
        <v>6.2712765957446805</v>
      </c>
      <c r="G40" s="15">
        <f>G38/Assumptions!G58</f>
        <v>6.1978609625668444</v>
      </c>
      <c r="H40" s="15">
        <f>H38/Assumptions!H58</f>
        <v>8.3397260273972602</v>
      </c>
      <c r="I40" s="15">
        <f>I38/Assumptions!I58</f>
        <v>8.6476874424078733</v>
      </c>
      <c r="J40" s="15">
        <f>J38/Assumptions!J58</f>
        <v>9.7786405738564799</v>
      </c>
      <c r="K40" s="15">
        <f>K38/Assumptions!K58</f>
        <v>10.62475280660065</v>
      </c>
      <c r="L40" s="15">
        <f>L38/Assumptions!L58</f>
        <v>11.296886179898955</v>
      </c>
      <c r="M40" s="15">
        <f>M38/Assumptions!M58</f>
        <v>12.078657656257388</v>
      </c>
      <c r="O40" s="7" t="s">
        <v>449</v>
      </c>
    </row>
    <row r="41" spans="2:15" x14ac:dyDescent="0.2">
      <c r="D41" s="90"/>
      <c r="E41" s="90"/>
      <c r="F41" s="90"/>
      <c r="G41" s="90"/>
      <c r="H41" s="90"/>
      <c r="I41" s="90"/>
      <c r="J41" s="90"/>
      <c r="K41" s="90"/>
      <c r="L41" s="90"/>
      <c r="M41" s="90"/>
    </row>
    <row r="42" spans="2:15" x14ac:dyDescent="0.2">
      <c r="B42" s="91" t="s">
        <v>280</v>
      </c>
      <c r="C42" s="91" t="s">
        <v>27</v>
      </c>
      <c r="D42" s="92">
        <f t="shared" ref="D42:M42" si="6">D38-D11</f>
        <v>108.6</v>
      </c>
      <c r="E42" s="92">
        <f t="shared" si="6"/>
        <v>130.1</v>
      </c>
      <c r="F42" s="92">
        <f t="shared" si="6"/>
        <v>166.7</v>
      </c>
      <c r="G42" s="92">
        <f t="shared" si="6"/>
        <v>154.69999999999999</v>
      </c>
      <c r="H42" s="92">
        <f t="shared" si="6"/>
        <v>227.39999999999998</v>
      </c>
      <c r="I42" s="92">
        <f t="shared" si="6"/>
        <v>222.50550920547948</v>
      </c>
      <c r="J42" s="92">
        <f t="shared" si="6"/>
        <v>252.45731122020547</v>
      </c>
      <c r="K42" s="92">
        <f t="shared" si="6"/>
        <v>272.00295544758222</v>
      </c>
      <c r="L42" s="92">
        <f t="shared" si="6"/>
        <v>286.604608944365</v>
      </c>
      <c r="M42" s="92">
        <f t="shared" si="6"/>
        <v>300.07834802779553</v>
      </c>
      <c r="O42" s="2" t="s">
        <v>281</v>
      </c>
    </row>
    <row r="43" spans="2:15" x14ac:dyDescent="0.2">
      <c r="B43" s="93" t="s">
        <v>282</v>
      </c>
      <c r="C43" s="93" t="s">
        <v>4</v>
      </c>
      <c r="D43" s="94">
        <f>D42/'Income Statement'!D9*100</f>
        <v>26.410505836575876</v>
      </c>
      <c r="E43" s="94">
        <f>E42/'Income Statement'!E9*100</f>
        <v>26.567286093526647</v>
      </c>
      <c r="F43" s="94">
        <f>F42/'Income Statement'!F9*100</f>
        <v>30.063119927862935</v>
      </c>
      <c r="G43" s="94">
        <f>G42/'Income Statement'!G9*100</f>
        <v>25.460829493087555</v>
      </c>
      <c r="H43" s="94">
        <f>H42/'Income Statement'!H9*100</f>
        <v>33.985951277835895</v>
      </c>
      <c r="I43" s="94">
        <f>I42/'Income Statement'!I9*100</f>
        <v>30.286332722922914</v>
      </c>
      <c r="J43" s="94">
        <f>J42/'Income Statement'!J9*100</f>
        <v>31.614867952290982</v>
      </c>
      <c r="K43" s="94">
        <f>K42/'Income Statement'!K9*100</f>
        <v>31.62786001098037</v>
      </c>
      <c r="L43" s="94">
        <f>L42/'Income Statement'!L9*100</f>
        <v>31.206581513306155</v>
      </c>
      <c r="M43" s="94">
        <f>M42/'Income Statement'!M9*100</f>
        <v>30.837521760087139</v>
      </c>
    </row>
    <row r="46" spans="2:15" x14ac:dyDescent="0.2">
      <c r="B46" s="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84"/>
  <sheetViews>
    <sheetView showGridLines="0" zoomScale="86" workbookViewId="0">
      <selection activeCell="A2" sqref="A2"/>
    </sheetView>
  </sheetViews>
  <sheetFormatPr baseColWidth="10" defaultColWidth="8.83203125" defaultRowHeight="14" outlineLevelRow="1" x14ac:dyDescent="0.2"/>
  <cols>
    <col min="1" max="1" width="2.33203125" style="6" customWidth="1"/>
    <col min="2" max="2" width="35" style="6" customWidth="1"/>
    <col min="3" max="13" width="10.83203125" style="6" customWidth="1"/>
    <col min="14" max="14" width="8.83203125" style="6" customWidth="1"/>
    <col min="15" max="15" width="50" style="6" customWidth="1"/>
    <col min="16" max="17" width="8.83203125" style="6" customWidth="1"/>
    <col min="18" max="16384" width="8.83203125" style="6"/>
  </cols>
  <sheetData>
    <row r="2" spans="2:13" ht="19" customHeight="1" x14ac:dyDescent="0.2">
      <c r="B2" s="45" t="s">
        <v>347</v>
      </c>
    </row>
    <row r="3" spans="2:13" x14ac:dyDescent="0.2">
      <c r="B3" s="5" t="s">
        <v>0</v>
      </c>
    </row>
    <row r="4" spans="2:13" x14ac:dyDescent="0.2">
      <c r="B4" s="5" t="s">
        <v>1</v>
      </c>
    </row>
    <row r="5" spans="2:13" x14ac:dyDescent="0.2">
      <c r="B5" s="5"/>
    </row>
    <row r="6" spans="2:13" ht="16" x14ac:dyDescent="0.2">
      <c r="B6" s="295" t="s">
        <v>582</v>
      </c>
    </row>
    <row r="7" spans="2:13" x14ac:dyDescent="0.2">
      <c r="B7" s="5" t="s">
        <v>583</v>
      </c>
    </row>
    <row r="8" spans="2:13" ht="30" customHeight="1" x14ac:dyDescent="0.2">
      <c r="B8" s="294" t="s">
        <v>584</v>
      </c>
      <c r="C8" s="294"/>
      <c r="D8" s="294"/>
      <c r="E8" s="294"/>
      <c r="F8" s="294"/>
      <c r="G8" s="294"/>
      <c r="H8" s="294"/>
      <c r="I8" s="294"/>
      <c r="J8" s="294"/>
    </row>
    <row r="10" spans="2:13" ht="16" customHeight="1" thickBot="1" x14ac:dyDescent="0.25">
      <c r="B10" s="4" t="s">
        <v>2</v>
      </c>
    </row>
    <row r="11" spans="2:13" x14ac:dyDescent="0.2">
      <c r="B11" s="11" t="s">
        <v>3</v>
      </c>
      <c r="C11" s="47" t="s">
        <v>4</v>
      </c>
      <c r="D11" s="115">
        <f>Assumptions!D60</f>
        <v>4.3099999999999996</v>
      </c>
      <c r="E11" s="95"/>
      <c r="F11" s="95"/>
      <c r="G11" s="95"/>
      <c r="H11" s="95"/>
      <c r="I11" s="95"/>
      <c r="J11" s="95"/>
      <c r="K11" s="95"/>
      <c r="L11" s="95"/>
      <c r="M11" s="95"/>
    </row>
    <row r="12" spans="2:13" x14ac:dyDescent="0.2">
      <c r="B12" s="10" t="s">
        <v>5</v>
      </c>
      <c r="C12" s="52" t="s">
        <v>4</v>
      </c>
      <c r="D12" s="116">
        <f>Assumptions!D61</f>
        <v>5.5</v>
      </c>
      <c r="E12" s="8"/>
      <c r="F12" s="8"/>
      <c r="G12" s="8"/>
      <c r="H12" s="8"/>
      <c r="I12" s="8"/>
      <c r="J12" s="8"/>
      <c r="K12" s="8"/>
      <c r="L12" s="8"/>
      <c r="M12" s="8"/>
    </row>
    <row r="13" spans="2:13" x14ac:dyDescent="0.2">
      <c r="B13" s="10" t="s">
        <v>575</v>
      </c>
      <c r="C13" s="52" t="s">
        <v>6</v>
      </c>
      <c r="D13" s="234">
        <f>Assumptions!D63</f>
        <v>1</v>
      </c>
      <c r="E13" s="8"/>
      <c r="F13" s="8"/>
      <c r="G13" s="8"/>
      <c r="H13" s="8"/>
      <c r="I13" s="8"/>
      <c r="J13" s="8"/>
      <c r="K13" s="8"/>
      <c r="L13" s="8"/>
      <c r="M13" s="8"/>
    </row>
    <row r="14" spans="2:13" x14ac:dyDescent="0.2">
      <c r="B14" s="10" t="s">
        <v>7</v>
      </c>
      <c r="C14" s="52" t="s">
        <v>4</v>
      </c>
      <c r="D14" s="235">
        <f>Assumptions!D64</f>
        <v>9.8099999999999987</v>
      </c>
      <c r="E14" s="8"/>
      <c r="F14" s="8"/>
      <c r="G14" s="8"/>
      <c r="H14" s="8"/>
      <c r="I14" s="8"/>
      <c r="J14" s="8"/>
      <c r="K14" s="8"/>
      <c r="L14" s="8"/>
      <c r="M14" s="8"/>
    </row>
    <row r="15" spans="2:13" x14ac:dyDescent="0.2">
      <c r="B15" s="10" t="s">
        <v>8</v>
      </c>
      <c r="C15" s="52" t="s">
        <v>4</v>
      </c>
      <c r="D15" s="116">
        <f>Assumptions!D65</f>
        <v>0</v>
      </c>
      <c r="E15" s="8"/>
      <c r="F15" s="8"/>
      <c r="G15" s="8"/>
      <c r="H15" s="8"/>
      <c r="I15" s="8"/>
      <c r="J15" s="8"/>
      <c r="K15" s="8"/>
      <c r="L15" s="8"/>
      <c r="M15" s="8"/>
    </row>
    <row r="16" spans="2:13" x14ac:dyDescent="0.2">
      <c r="B16" s="10" t="s">
        <v>9</v>
      </c>
      <c r="C16" s="52" t="s">
        <v>4</v>
      </c>
      <c r="D16" s="96">
        <f>Assumptions!I44</f>
        <v>20</v>
      </c>
      <c r="E16" s="8"/>
      <c r="F16" s="8"/>
      <c r="G16" s="8"/>
      <c r="H16" s="8"/>
      <c r="I16" s="8"/>
      <c r="J16" s="8"/>
      <c r="K16" s="8"/>
      <c r="L16" s="8"/>
      <c r="M16" s="8"/>
    </row>
    <row r="17" spans="2:15" x14ac:dyDescent="0.2">
      <c r="B17" s="10" t="s">
        <v>10</v>
      </c>
      <c r="C17" s="52" t="s">
        <v>4</v>
      </c>
      <c r="D17" s="10">
        <f>D15*(1-D16/100)</f>
        <v>0</v>
      </c>
      <c r="E17" s="8"/>
      <c r="F17" s="8"/>
      <c r="G17" s="8"/>
      <c r="H17" s="8"/>
      <c r="I17" s="8"/>
      <c r="J17" s="8"/>
      <c r="K17" s="8"/>
      <c r="L17" s="8"/>
      <c r="M17" s="8"/>
    </row>
    <row r="18" spans="2:15" x14ac:dyDescent="0.2">
      <c r="B18" s="10" t="s">
        <v>11</v>
      </c>
      <c r="C18" s="52" t="s">
        <v>4</v>
      </c>
      <c r="D18" s="116">
        <f>Assumptions!D66</f>
        <v>0</v>
      </c>
      <c r="E18" s="8"/>
      <c r="F18" s="8"/>
      <c r="G18" s="8"/>
      <c r="H18" s="8"/>
      <c r="I18" s="8"/>
      <c r="J18" s="8"/>
      <c r="K18" s="8"/>
      <c r="L18" s="8"/>
      <c r="M18" s="8"/>
    </row>
    <row r="19" spans="2:15" x14ac:dyDescent="0.2">
      <c r="B19" s="10" t="s">
        <v>12</v>
      </c>
      <c r="C19" s="52" t="s">
        <v>4</v>
      </c>
      <c r="D19" s="10">
        <f>100-D18</f>
        <v>100</v>
      </c>
      <c r="E19" s="8"/>
      <c r="F19" s="8"/>
      <c r="G19" s="8"/>
      <c r="H19" s="8"/>
      <c r="I19" s="8"/>
      <c r="J19" s="8"/>
      <c r="K19" s="8"/>
      <c r="L19" s="8"/>
      <c r="M19" s="8"/>
    </row>
    <row r="20" spans="2:15" x14ac:dyDescent="0.2">
      <c r="B20" s="10" t="s">
        <v>13</v>
      </c>
      <c r="C20" s="52" t="s">
        <v>4</v>
      </c>
      <c r="D20" s="236">
        <f>Assumptions!D67</f>
        <v>9.8099999999999987</v>
      </c>
      <c r="E20" s="8"/>
      <c r="F20" s="8"/>
      <c r="G20" s="8"/>
      <c r="H20" s="8"/>
      <c r="I20" s="8"/>
      <c r="J20" s="8"/>
      <c r="K20" s="8"/>
      <c r="L20" s="8"/>
      <c r="M20" s="8"/>
      <c r="O20" s="5"/>
    </row>
    <row r="21" spans="2:15" x14ac:dyDescent="0.2">
      <c r="C21" s="113"/>
    </row>
    <row r="22" spans="2:15" ht="16" customHeight="1" thickBot="1" x14ac:dyDescent="0.25">
      <c r="B22" s="4" t="s">
        <v>14</v>
      </c>
      <c r="C22" s="1" t="s">
        <v>15</v>
      </c>
      <c r="D22" s="19" t="s">
        <v>16</v>
      </c>
      <c r="E22" s="19" t="s">
        <v>17</v>
      </c>
      <c r="F22" s="19" t="s">
        <v>18</v>
      </c>
      <c r="G22" s="19" t="s">
        <v>19</v>
      </c>
      <c r="H22" s="19" t="s">
        <v>20</v>
      </c>
      <c r="I22" s="19" t="s">
        <v>21</v>
      </c>
      <c r="J22" s="19" t="s">
        <v>22</v>
      </c>
      <c r="K22" s="19" t="s">
        <v>23</v>
      </c>
      <c r="L22" s="19" t="s">
        <v>24</v>
      </c>
      <c r="M22" s="19" t="s">
        <v>25</v>
      </c>
      <c r="O22" s="21" t="s">
        <v>99</v>
      </c>
    </row>
    <row r="23" spans="2:15" x14ac:dyDescent="0.2">
      <c r="B23" s="11" t="s">
        <v>26</v>
      </c>
      <c r="C23" s="11" t="s">
        <v>27</v>
      </c>
      <c r="D23" s="111"/>
      <c r="E23" s="111"/>
      <c r="F23" s="111"/>
      <c r="G23" s="111"/>
      <c r="H23" s="111"/>
      <c r="I23" s="12">
        <f>'Cash Flow'!I42</f>
        <v>222.50550920547948</v>
      </c>
      <c r="J23" s="12">
        <f>'Cash Flow'!J42</f>
        <v>252.45731122020547</v>
      </c>
      <c r="K23" s="12">
        <f>'Cash Flow'!K42</f>
        <v>272.00295544758222</v>
      </c>
      <c r="L23" s="12">
        <f>'Cash Flow'!L42</f>
        <v>286.604608944365</v>
      </c>
      <c r="M23" s="12">
        <f>'Cash Flow'!M42</f>
        <v>300.07834802779553</v>
      </c>
      <c r="O23" s="7" t="s">
        <v>450</v>
      </c>
    </row>
    <row r="24" spans="2:15" x14ac:dyDescent="0.2">
      <c r="B24" s="10" t="s">
        <v>28</v>
      </c>
      <c r="C24" s="10" t="s">
        <v>29</v>
      </c>
      <c r="D24" s="110"/>
      <c r="E24" s="110"/>
      <c r="F24" s="110"/>
      <c r="G24" s="110"/>
      <c r="H24" s="110"/>
      <c r="I24" s="13">
        <v>1</v>
      </c>
      <c r="J24" s="13">
        <v>2</v>
      </c>
      <c r="K24" s="13">
        <v>3</v>
      </c>
      <c r="L24" s="13">
        <v>4</v>
      </c>
      <c r="M24" s="13">
        <v>5</v>
      </c>
    </row>
    <row r="25" spans="2:15" x14ac:dyDescent="0.2">
      <c r="B25" s="10" t="s">
        <v>30</v>
      </c>
      <c r="C25" s="10" t="s">
        <v>6</v>
      </c>
      <c r="D25" s="110"/>
      <c r="E25" s="110"/>
      <c r="F25" s="110"/>
      <c r="G25" s="110"/>
      <c r="H25" s="110"/>
      <c r="I25" s="109">
        <f>1/(1+$D$20/100)^I24</f>
        <v>0.91066387396411974</v>
      </c>
      <c r="J25" s="109">
        <f>1/(1+$D$20/100)^J24</f>
        <v>0.82930869134333829</v>
      </c>
      <c r="K25" s="109">
        <f>1/(1+$D$20/100)^K24</f>
        <v>0.75522146557083891</v>
      </c>
      <c r="L25" s="109">
        <f>1/(1+$D$20/100)^L24</f>
        <v>0.68775290553760027</v>
      </c>
      <c r="M25" s="109">
        <f>1/(1+$D$20/100)^M24</f>
        <v>0.62631172528695034</v>
      </c>
    </row>
    <row r="26" spans="2:15" x14ac:dyDescent="0.2">
      <c r="B26" s="10" t="s">
        <v>31</v>
      </c>
      <c r="C26" s="10" t="s">
        <v>27</v>
      </c>
      <c r="D26" s="110"/>
      <c r="E26" s="110"/>
      <c r="F26" s="110"/>
      <c r="G26" s="110"/>
      <c r="H26" s="110"/>
      <c r="I26" s="109">
        <f>I23*I25</f>
        <v>202.62772899142107</v>
      </c>
      <c r="J26" s="109">
        <f>J23*J25</f>
        <v>209.36504238808647</v>
      </c>
      <c r="K26" s="109">
        <f>K23*K25</f>
        <v>205.42247065272264</v>
      </c>
      <c r="L26" s="109">
        <f>L23*L25</f>
        <v>197.11315254195472</v>
      </c>
      <c r="M26" s="109">
        <f>M23*M25</f>
        <v>187.94258787454655</v>
      </c>
    </row>
    <row r="28" spans="2:15" ht="15" thickBot="1" x14ac:dyDescent="0.25">
      <c r="B28" s="4" t="s">
        <v>32</v>
      </c>
    </row>
    <row r="29" spans="2:15" x14ac:dyDescent="0.2">
      <c r="B29" s="142" t="s">
        <v>33</v>
      </c>
      <c r="C29" s="95"/>
      <c r="D29" s="95"/>
    </row>
    <row r="30" spans="2:15" x14ac:dyDescent="0.2">
      <c r="B30" s="10" t="s">
        <v>34</v>
      </c>
      <c r="C30" s="10" t="s">
        <v>4</v>
      </c>
      <c r="D30" s="136">
        <f>Assumptions!D68</f>
        <v>3</v>
      </c>
    </row>
    <row r="31" spans="2:15" x14ac:dyDescent="0.2">
      <c r="B31" s="10" t="s">
        <v>35</v>
      </c>
      <c r="C31" s="118" t="s">
        <v>27</v>
      </c>
      <c r="D31" s="137">
        <f>M23</f>
        <v>300.07834802779553</v>
      </c>
    </row>
    <row r="32" spans="2:15" x14ac:dyDescent="0.2">
      <c r="B32" s="10" t="s">
        <v>36</v>
      </c>
      <c r="C32" s="10" t="s">
        <v>27</v>
      </c>
      <c r="D32" s="137">
        <f>D31*(1+D30/100)/(D20/100-D30/100)</f>
        <v>4538.6299334600508</v>
      </c>
      <c r="O32" s="5" t="s">
        <v>453</v>
      </c>
    </row>
    <row r="33" spans="2:15" x14ac:dyDescent="0.2">
      <c r="B33" s="10" t="s">
        <v>37</v>
      </c>
      <c r="C33" s="10" t="s">
        <v>27</v>
      </c>
      <c r="D33" s="137">
        <f>D32*M25</f>
        <v>2842.5971440643611</v>
      </c>
      <c r="O33" s="98"/>
    </row>
    <row r="34" spans="2:15" x14ac:dyDescent="0.2">
      <c r="D34" s="103"/>
    </row>
    <row r="35" spans="2:15" x14ac:dyDescent="0.2">
      <c r="B35" s="97" t="s">
        <v>38</v>
      </c>
      <c r="D35" s="103"/>
    </row>
    <row r="36" spans="2:15" x14ac:dyDescent="0.2">
      <c r="B36" s="10" t="s">
        <v>39</v>
      </c>
      <c r="C36" s="10" t="s">
        <v>27</v>
      </c>
      <c r="D36" s="138">
        <f>'Income Statement'!M47</f>
        <v>356.15272923884538</v>
      </c>
    </row>
    <row r="37" spans="2:15" x14ac:dyDescent="0.2">
      <c r="B37" s="10" t="s">
        <v>40</v>
      </c>
      <c r="C37" s="10" t="s">
        <v>6</v>
      </c>
      <c r="D37" s="122">
        <f>INDEX(Assumptions!$E$17:$G$17,MATCH(Assumptions!$H$17,Assumptions!$E$9:$G$9,0))</f>
        <v>20</v>
      </c>
    </row>
    <row r="38" spans="2:15" x14ac:dyDescent="0.2">
      <c r="B38" s="10" t="s">
        <v>36</v>
      </c>
      <c r="C38" s="118" t="s">
        <v>27</v>
      </c>
      <c r="D38" s="137">
        <f>D36*D37</f>
        <v>7123.0545847769081</v>
      </c>
      <c r="O38" s="98"/>
    </row>
    <row r="39" spans="2:15" x14ac:dyDescent="0.2">
      <c r="B39" s="10" t="s">
        <v>37</v>
      </c>
      <c r="C39" s="10" t="s">
        <v>27</v>
      </c>
      <c r="D39" s="137">
        <f>D38*M25</f>
        <v>4461.2526063047471</v>
      </c>
      <c r="O39" s="98"/>
    </row>
    <row r="40" spans="2:15" x14ac:dyDescent="0.2">
      <c r="D40" s="103"/>
    </row>
    <row r="41" spans="2:15" ht="15" thickBot="1" x14ac:dyDescent="0.25">
      <c r="B41" s="4" t="s">
        <v>41</v>
      </c>
      <c r="D41" s="103"/>
    </row>
    <row r="42" spans="2:15" x14ac:dyDescent="0.2">
      <c r="B42" s="11" t="s">
        <v>42</v>
      </c>
      <c r="C42" s="11" t="s">
        <v>27</v>
      </c>
      <c r="D42" s="141">
        <f>SUM(I26:M26)</f>
        <v>1002.4709824487314</v>
      </c>
    </row>
    <row r="43" spans="2:15" x14ac:dyDescent="0.2">
      <c r="B43" s="10" t="s">
        <v>43</v>
      </c>
      <c r="C43" s="10" t="s">
        <v>27</v>
      </c>
      <c r="D43" s="137">
        <f>D33</f>
        <v>2842.5971440643611</v>
      </c>
      <c r="O43" s="98"/>
    </row>
    <row r="44" spans="2:15" x14ac:dyDescent="0.2">
      <c r="B44" s="10" t="s">
        <v>44</v>
      </c>
      <c r="C44" s="10" t="s">
        <v>27</v>
      </c>
      <c r="D44" s="137">
        <f>D42+D43</f>
        <v>3845.0681265130925</v>
      </c>
    </row>
    <row r="45" spans="2:15" x14ac:dyDescent="0.2">
      <c r="B45" s="10" t="s">
        <v>45</v>
      </c>
      <c r="C45" s="10" t="s">
        <v>27</v>
      </c>
      <c r="D45" s="137">
        <f>D39</f>
        <v>4461.2526063047471</v>
      </c>
      <c r="O45" s="98"/>
    </row>
    <row r="46" spans="2:15" x14ac:dyDescent="0.2">
      <c r="B46" s="10" t="s">
        <v>46</v>
      </c>
      <c r="C46" s="10" t="s">
        <v>27</v>
      </c>
      <c r="D46" s="137">
        <f>D42+D45</f>
        <v>5463.7235887534789</v>
      </c>
    </row>
    <row r="47" spans="2:15" x14ac:dyDescent="0.2">
      <c r="D47" s="103"/>
    </row>
    <row r="48" spans="2:15" x14ac:dyDescent="0.2">
      <c r="B48" s="10" t="s">
        <v>47</v>
      </c>
      <c r="C48" s="10" t="s">
        <v>27</v>
      </c>
      <c r="D48" s="139">
        <v>-698</v>
      </c>
      <c r="O48" s="5" t="s">
        <v>452</v>
      </c>
    </row>
    <row r="49" spans="2:15" x14ac:dyDescent="0.2">
      <c r="B49" s="10" t="s">
        <v>48</v>
      </c>
      <c r="C49" s="10" t="s">
        <v>27</v>
      </c>
      <c r="D49" s="137">
        <f>D44-D48</f>
        <v>4543.0681265130925</v>
      </c>
    </row>
    <row r="50" spans="2:15" x14ac:dyDescent="0.2">
      <c r="B50" s="10" t="s">
        <v>49</v>
      </c>
      <c r="C50" s="10" t="s">
        <v>27</v>
      </c>
      <c r="D50" s="137">
        <f>D46-D48</f>
        <v>6161.7235887534789</v>
      </c>
    </row>
    <row r="51" spans="2:15" x14ac:dyDescent="0.2">
      <c r="B51" s="10" t="s">
        <v>50</v>
      </c>
      <c r="C51" s="10" t="s">
        <v>51</v>
      </c>
      <c r="D51" s="138">
        <f>Assumptions!H58</f>
        <v>36.5</v>
      </c>
    </row>
    <row r="52" spans="2:15" x14ac:dyDescent="0.2">
      <c r="C52" s="113"/>
      <c r="D52" s="103"/>
    </row>
    <row r="53" spans="2:15" ht="16" customHeight="1" x14ac:dyDescent="0.2">
      <c r="B53" s="10" t="s">
        <v>52</v>
      </c>
      <c r="C53" s="10" t="s">
        <v>53</v>
      </c>
      <c r="D53" s="140">
        <f>D49/D51</f>
        <v>124.46761990446829</v>
      </c>
      <c r="O53" s="98"/>
    </row>
    <row r="54" spans="2:15" ht="16" customHeight="1" x14ac:dyDescent="0.2">
      <c r="B54" s="10" t="s">
        <v>54</v>
      </c>
      <c r="C54" s="10" t="s">
        <v>53</v>
      </c>
      <c r="D54" s="140">
        <f>D50/D51</f>
        <v>168.8143448973556</v>
      </c>
    </row>
    <row r="55" spans="2:15" x14ac:dyDescent="0.2">
      <c r="B55" s="10" t="s">
        <v>55</v>
      </c>
      <c r="C55" s="10" t="s">
        <v>53</v>
      </c>
      <c r="D55" s="139">
        <v>80.52</v>
      </c>
    </row>
    <row r="56" spans="2:15" x14ac:dyDescent="0.2">
      <c r="B56" s="10" t="s">
        <v>56</v>
      </c>
      <c r="C56" s="10" t="s">
        <v>4</v>
      </c>
      <c r="D56" s="137">
        <f>(D53/D55-1)*100</f>
        <v>54.57975646357216</v>
      </c>
    </row>
    <row r="57" spans="2:15" x14ac:dyDescent="0.2">
      <c r="B57" s="10" t="s">
        <v>57</v>
      </c>
      <c r="C57" s="10" t="s">
        <v>4</v>
      </c>
      <c r="D57" s="137">
        <f>(D54/D55-1)*100</f>
        <v>109.65517250044164</v>
      </c>
    </row>
    <row r="58" spans="2:15" x14ac:dyDescent="0.2">
      <c r="D58" s="103"/>
    </row>
    <row r="59" spans="2:15" x14ac:dyDescent="0.2">
      <c r="B59" s="10" t="s">
        <v>58</v>
      </c>
      <c r="C59" s="10" t="s">
        <v>4</v>
      </c>
      <c r="D59" s="137">
        <f>D43/D44*100</f>
        <v>73.928394778330656</v>
      </c>
      <c r="O59" s="5"/>
    </row>
    <row r="60" spans="2:15" x14ac:dyDescent="0.2">
      <c r="B60" s="10" t="s">
        <v>59</v>
      </c>
      <c r="C60" s="10" t="s">
        <v>4</v>
      </c>
      <c r="D60" s="137">
        <f>D45/D46*100</f>
        <v>81.652238328596695</v>
      </c>
    </row>
    <row r="64" spans="2:15" ht="15" x14ac:dyDescent="0.2">
      <c r="B64" s="143" t="s">
        <v>283</v>
      </c>
      <c r="C64" s="67"/>
      <c r="D64" s="27"/>
      <c r="E64" s="27"/>
      <c r="F64" s="27"/>
      <c r="G64" s="27"/>
      <c r="H64" s="27"/>
      <c r="I64" s="27"/>
    </row>
    <row r="65" spans="2:15" x14ac:dyDescent="0.2">
      <c r="B65" s="78" t="s">
        <v>284</v>
      </c>
      <c r="C65" s="67"/>
      <c r="D65" s="27"/>
      <c r="E65" s="27"/>
      <c r="F65" s="27"/>
      <c r="G65" s="27"/>
      <c r="H65" s="27"/>
      <c r="I65" s="27"/>
    </row>
    <row r="66" spans="2:15" x14ac:dyDescent="0.2">
      <c r="B66" s="144">
        <f>'DCF &amp; Sensitivity'!D53</f>
        <v>124.46761990446829</v>
      </c>
      <c r="C66" s="147">
        <v>6</v>
      </c>
      <c r="D66" s="147">
        <v>7</v>
      </c>
      <c r="E66" s="147">
        <v>8</v>
      </c>
      <c r="F66" s="147">
        <v>9</v>
      </c>
      <c r="G66" s="147">
        <v>10</v>
      </c>
      <c r="H66" s="147">
        <v>11</v>
      </c>
      <c r="I66" s="147">
        <v>12</v>
      </c>
      <c r="O66" s="7" t="s">
        <v>344</v>
      </c>
    </row>
    <row r="67" spans="2:15" x14ac:dyDescent="0.2">
      <c r="B67" s="150">
        <v>1.4999999999999999E-2</v>
      </c>
      <c r="C67" s="145">
        <f t="dataTable" ref="C67:I73" dt2D="1" dtr="1" r1="D20" r2="D30" ca="1"/>
        <v>152.31300815086303</v>
      </c>
      <c r="D67" s="145">
        <v>132.72788028750887</v>
      </c>
      <c r="E67" s="145">
        <v>118.06339099725734</v>
      </c>
      <c r="F67" s="145">
        <v>106.67597961149232</v>
      </c>
      <c r="G67" s="145">
        <v>97.580527879013189</v>
      </c>
      <c r="H67" s="145">
        <v>90.150657463305549</v>
      </c>
      <c r="I67" s="145">
        <v>83.969066363242902</v>
      </c>
      <c r="O67" s="7" t="s">
        <v>451</v>
      </c>
    </row>
    <row r="68" spans="2:15" x14ac:dyDescent="0.2">
      <c r="B68" s="151">
        <v>0.02</v>
      </c>
      <c r="C68" s="146">
        <v>152.40398334696164</v>
      </c>
      <c r="D68" s="146">
        <v>132.79220159387657</v>
      </c>
      <c r="E68" s="146">
        <v>118.11080853148981</v>
      </c>
      <c r="F68" s="146">
        <v>106.71207164819214</v>
      </c>
      <c r="G68" s="146">
        <v>97.608702783278972</v>
      </c>
      <c r="H68" s="146">
        <v>90.173107522148939</v>
      </c>
      <c r="I68" s="146">
        <v>83.987261061310676</v>
      </c>
    </row>
    <row r="69" spans="2:15" x14ac:dyDescent="0.2">
      <c r="B69" s="151">
        <v>2.5000000000000001E-2</v>
      </c>
      <c r="C69" s="146">
        <v>152.49511080280269</v>
      </c>
      <c r="D69" s="146">
        <v>132.85661511717097</v>
      </c>
      <c r="E69" s="146">
        <v>118.15828552344544</v>
      </c>
      <c r="F69" s="146">
        <v>106.74820389886044</v>
      </c>
      <c r="G69" s="146">
        <v>97.636905933062835</v>
      </c>
      <c r="H69" s="146">
        <v>90.195578036626813</v>
      </c>
      <c r="I69" s="146">
        <v>84.005470953280806</v>
      </c>
    </row>
    <row r="70" spans="2:15" x14ac:dyDescent="0.2">
      <c r="B70" s="151">
        <v>0.03</v>
      </c>
      <c r="C70" s="146">
        <v>152.58639090094832</v>
      </c>
      <c r="D70" s="146">
        <v>132.92112105585031</v>
      </c>
      <c r="E70" s="146">
        <v>118.20582208502709</v>
      </c>
      <c r="F70" s="146">
        <v>106.78437643074463</v>
      </c>
      <c r="G70" s="146">
        <v>97.665137370860521</v>
      </c>
      <c r="H70" s="146">
        <v>90.218069034709487</v>
      </c>
      <c r="I70" s="146">
        <v>84.023696058193252</v>
      </c>
    </row>
    <row r="71" spans="2:15" x14ac:dyDescent="0.2">
      <c r="B71" s="151">
        <v>3.5000000000000003E-2</v>
      </c>
      <c r="C71" s="146">
        <v>152.67782402524338</v>
      </c>
      <c r="D71" s="146">
        <v>132.98571960894267</v>
      </c>
      <c r="E71" s="146">
        <v>118.25341832841865</v>
      </c>
      <c r="F71" s="146">
        <v>106.82058931124216</v>
      </c>
      <c r="G71" s="146">
        <v>97.693397139253079</v>
      </c>
      <c r="H71" s="146">
        <v>90.240580544418336</v>
      </c>
      <c r="I71" s="146">
        <v>84.041936395119833</v>
      </c>
    </row>
    <row r="72" spans="2:15" x14ac:dyDescent="0.2">
      <c r="B72" s="151">
        <v>0.04</v>
      </c>
      <c r="C72" s="146">
        <v>152.7694105608208</v>
      </c>
      <c r="D72" s="146">
        <v>133.05041097604811</v>
      </c>
      <c r="E72" s="146">
        <v>118.30107436608583</v>
      </c>
      <c r="F72" s="146">
        <v>106.85684260790099</v>
      </c>
      <c r="G72" s="146">
        <v>97.721685280907067</v>
      </c>
      <c r="H72" s="146">
        <v>90.263112593825824</v>
      </c>
      <c r="I72" s="146">
        <v>84.060191983164259</v>
      </c>
    </row>
    <row r="73" spans="2:15" hidden="1" outlineLevel="1" x14ac:dyDescent="0.2">
      <c r="C73" s="90">
        <v>152.04099231452821</v>
      </c>
      <c r="D73" s="90">
        <v>132.53546769388888</v>
      </c>
      <c r="E73" s="90">
        <v>117.92149402606675</v>
      </c>
      <c r="F73" s="90">
        <v>106.5679441149709</v>
      </c>
      <c r="G73" s="90">
        <v>97.496172215641408</v>
      </c>
      <c r="H73" s="90">
        <v>90.083429741641794</v>
      </c>
      <c r="I73" s="90">
        <v>83.91457324252994</v>
      </c>
    </row>
    <row r="74" spans="2:15" collapsed="1" x14ac:dyDescent="0.2">
      <c r="C74" s="90"/>
      <c r="D74" s="90"/>
      <c r="E74" s="90"/>
      <c r="F74" s="90"/>
      <c r="G74" s="90"/>
      <c r="H74" s="90"/>
      <c r="I74" s="90"/>
    </row>
    <row r="75" spans="2:15" ht="15" x14ac:dyDescent="0.2">
      <c r="B75" s="143" t="s">
        <v>343</v>
      </c>
      <c r="C75" s="27"/>
      <c r="D75" s="27"/>
      <c r="E75" s="27"/>
      <c r="F75" s="27"/>
      <c r="G75" s="27"/>
      <c r="H75" s="27"/>
      <c r="I75" s="27"/>
    </row>
    <row r="76" spans="2:15" x14ac:dyDescent="0.2">
      <c r="B76" s="78" t="s">
        <v>285</v>
      </c>
      <c r="C76" s="27"/>
      <c r="D76" s="27"/>
      <c r="E76" s="27"/>
      <c r="F76" s="27"/>
      <c r="G76" s="27"/>
      <c r="H76" s="27"/>
      <c r="I76" s="27"/>
    </row>
    <row r="77" spans="2:15" x14ac:dyDescent="0.2">
      <c r="B77" s="144">
        <f>D54</f>
        <v>168.8143448973556</v>
      </c>
      <c r="C77" s="147">
        <v>6</v>
      </c>
      <c r="D77" s="147">
        <v>7</v>
      </c>
      <c r="E77" s="147">
        <v>8</v>
      </c>
      <c r="F77" s="147">
        <v>9</v>
      </c>
      <c r="G77" s="147">
        <v>10</v>
      </c>
      <c r="H77" s="147">
        <v>11</v>
      </c>
      <c r="I77" s="147">
        <v>12</v>
      </c>
    </row>
    <row r="78" spans="2:15" x14ac:dyDescent="0.2">
      <c r="B78" s="148">
        <v>12</v>
      </c>
      <c r="C78" s="145">
        <f t="dataTable" ref="C78:I84" dt2D="1" dtr="1" r1="D20" r2="D37"/>
        <v>137.14756267476824</v>
      </c>
      <c r="D78" s="145">
        <v>132.28151193238105</v>
      </c>
      <c r="E78" s="145">
        <v>127.67067865360065</v>
      </c>
      <c r="F78" s="145">
        <v>123.29929488519033</v>
      </c>
      <c r="G78" s="145">
        <v>119.15270474750746</v>
      </c>
      <c r="H78" s="145">
        <v>115.21727662843402</v>
      </c>
      <c r="I78" s="145">
        <v>111.48032303072495</v>
      </c>
      <c r="O78" s="7" t="s">
        <v>348</v>
      </c>
    </row>
    <row r="79" spans="2:15" x14ac:dyDescent="0.2">
      <c r="B79" s="149">
        <v>15</v>
      </c>
      <c r="C79" s="146">
        <v>159.02192193879119</v>
      </c>
      <c r="D79" s="146">
        <v>153.15263306109497</v>
      </c>
      <c r="E79" s="146">
        <v>147.59327288080638</v>
      </c>
      <c r="F79" s="146">
        <v>142.32462395764037</v>
      </c>
      <c r="G79" s="146">
        <v>137.32882725573589</v>
      </c>
      <c r="H79" s="146">
        <v>132.58927472365099</v>
      </c>
      <c r="I79" s="146">
        <v>128.09051124778762</v>
      </c>
    </row>
    <row r="80" spans="2:15" x14ac:dyDescent="0.2">
      <c r="B80" s="149">
        <v>18</v>
      </c>
      <c r="C80" s="146">
        <v>180.89628120281412</v>
      </c>
      <c r="D80" s="146">
        <v>174.02375418980884</v>
      </c>
      <c r="E80" s="146">
        <v>167.51586710801217</v>
      </c>
      <c r="F80" s="146">
        <v>161.3499530300904</v>
      </c>
      <c r="G80" s="146">
        <v>155.50494976396436</v>
      </c>
      <c r="H80" s="146">
        <v>149.96127281886797</v>
      </c>
      <c r="I80" s="146">
        <v>144.70069946485026</v>
      </c>
    </row>
    <row r="81" spans="2:9" x14ac:dyDescent="0.2">
      <c r="B81" s="149">
        <v>20</v>
      </c>
      <c r="C81" s="146">
        <v>195.47918737882941</v>
      </c>
      <c r="D81" s="146">
        <v>187.93783494228481</v>
      </c>
      <c r="E81" s="146">
        <v>180.79759659281598</v>
      </c>
      <c r="F81" s="146">
        <v>174.03350574505708</v>
      </c>
      <c r="G81" s="146">
        <v>167.62236476945</v>
      </c>
      <c r="H81" s="146">
        <v>161.54260488234593</v>
      </c>
      <c r="I81" s="146">
        <v>155.77415827622536</v>
      </c>
    </row>
    <row r="82" spans="2:9" x14ac:dyDescent="0.2">
      <c r="B82" s="149">
        <v>22</v>
      </c>
      <c r="C82" s="146">
        <v>210.06209355484469</v>
      </c>
      <c r="D82" s="146">
        <v>201.85191569476072</v>
      </c>
      <c r="E82" s="146">
        <v>194.07932607761981</v>
      </c>
      <c r="F82" s="146">
        <v>186.71705846002374</v>
      </c>
      <c r="G82" s="146">
        <v>179.73977977493561</v>
      </c>
      <c r="H82" s="146">
        <v>173.12393694582389</v>
      </c>
      <c r="I82" s="146">
        <v>166.84761708760047</v>
      </c>
    </row>
    <row r="83" spans="2:9" x14ac:dyDescent="0.2">
      <c r="B83" s="149">
        <v>25</v>
      </c>
      <c r="C83" s="146">
        <v>231.93645281886762</v>
      </c>
      <c r="D83" s="146">
        <v>222.72303682347462</v>
      </c>
      <c r="E83" s="146">
        <v>214.00192030482555</v>
      </c>
      <c r="F83" s="146">
        <v>205.74238753247377</v>
      </c>
      <c r="G83" s="146">
        <v>197.91590228316406</v>
      </c>
      <c r="H83" s="146">
        <v>190.49593504104084</v>
      </c>
      <c r="I83" s="146">
        <v>183.45780530466311</v>
      </c>
    </row>
    <row r="84" spans="2:9" x14ac:dyDescent="0.2">
      <c r="B84" s="149">
        <v>30</v>
      </c>
      <c r="C84" s="146">
        <v>268.39371825890589</v>
      </c>
      <c r="D84" s="146">
        <v>257.50823870466445</v>
      </c>
      <c r="E84" s="146">
        <v>247.20624401683514</v>
      </c>
      <c r="F84" s="146">
        <v>237.45126931989046</v>
      </c>
      <c r="G84" s="146">
        <v>228.20943979687814</v>
      </c>
      <c r="H84" s="146">
        <v>219.44926519973578</v>
      </c>
      <c r="I84" s="146">
        <v>211.14145233310089</v>
      </c>
    </row>
  </sheetData>
  <mergeCells count="1">
    <mergeCell ref="B8:J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P60"/>
  <sheetViews>
    <sheetView showGridLines="0" workbookViewId="0"/>
  </sheetViews>
  <sheetFormatPr baseColWidth="10" defaultColWidth="8.83203125" defaultRowHeight="14" x14ac:dyDescent="0.2"/>
  <cols>
    <col min="1" max="1" width="2" style="27" customWidth="1"/>
    <col min="2" max="4" width="20.83203125" style="27" customWidth="1"/>
    <col min="5" max="11" width="13.83203125" style="27" customWidth="1"/>
    <col min="12" max="15" width="13.83203125" style="159" customWidth="1"/>
    <col min="16" max="16" width="8.83203125" style="27" customWidth="1"/>
    <col min="17" max="16384" width="8.83203125" style="27"/>
  </cols>
  <sheetData>
    <row r="2" spans="2:15" ht="13" customHeight="1" x14ac:dyDescent="0.2">
      <c r="B2" s="45" t="s">
        <v>286</v>
      </c>
    </row>
    <row r="3" spans="2:15" x14ac:dyDescent="0.2">
      <c r="B3" s="22"/>
    </row>
    <row r="4" spans="2:15" x14ac:dyDescent="0.2">
      <c r="B4" s="22"/>
    </row>
    <row r="5" spans="2:15" x14ac:dyDescent="0.2">
      <c r="B5" s="22"/>
    </row>
    <row r="6" spans="2:15" x14ac:dyDescent="0.2">
      <c r="B6" s="22"/>
    </row>
    <row r="7" spans="2:15" x14ac:dyDescent="0.2">
      <c r="B7" s="22"/>
    </row>
    <row r="8" spans="2:15" x14ac:dyDescent="0.2">
      <c r="B8" s="22"/>
    </row>
    <row r="9" spans="2:15" x14ac:dyDescent="0.2">
      <c r="B9" s="22"/>
    </row>
    <row r="10" spans="2:15" x14ac:dyDescent="0.2">
      <c r="B10" s="22"/>
    </row>
    <row r="11" spans="2:15" x14ac:dyDescent="0.2">
      <c r="B11" s="22"/>
    </row>
    <row r="12" spans="2:15" x14ac:dyDescent="0.2">
      <c r="B12" s="22"/>
    </row>
    <row r="13" spans="2:15" ht="16" customHeight="1" x14ac:dyDescent="0.2">
      <c r="B13" s="153" t="s">
        <v>414</v>
      </c>
      <c r="C13" s="153" t="s">
        <v>288</v>
      </c>
      <c r="D13" s="155" t="s">
        <v>287</v>
      </c>
      <c r="E13" s="154" t="s">
        <v>289</v>
      </c>
      <c r="F13" s="154" t="s">
        <v>290</v>
      </c>
      <c r="G13" s="154" t="s">
        <v>291</v>
      </c>
      <c r="H13" s="154" t="s">
        <v>292</v>
      </c>
      <c r="I13" s="154" t="s">
        <v>95</v>
      </c>
      <c r="J13" s="154" t="s">
        <v>206</v>
      </c>
      <c r="K13" s="154" t="s">
        <v>278</v>
      </c>
      <c r="L13" s="160" t="s">
        <v>293</v>
      </c>
      <c r="M13" s="160" t="s">
        <v>294</v>
      </c>
      <c r="N13" s="160" t="s">
        <v>295</v>
      </c>
      <c r="O13" s="160" t="s">
        <v>296</v>
      </c>
    </row>
    <row r="14" spans="2:15" x14ac:dyDescent="0.2">
      <c r="B14" s="152" t="s">
        <v>370</v>
      </c>
      <c r="C14" s="152" t="s">
        <v>297</v>
      </c>
      <c r="D14" s="152" t="s">
        <v>349</v>
      </c>
      <c r="E14" s="156">
        <v>2899.9</v>
      </c>
      <c r="F14" s="156">
        <v>2324.8000000000002</v>
      </c>
      <c r="G14" s="156">
        <v>669.1</v>
      </c>
      <c r="H14" s="163">
        <v>0.1013</v>
      </c>
      <c r="I14" s="163">
        <v>0.8284999999999999</v>
      </c>
      <c r="J14" s="163">
        <v>0.35340000000000005</v>
      </c>
      <c r="K14" s="163">
        <v>0.45490000000000003</v>
      </c>
      <c r="L14" s="161">
        <v>3.47</v>
      </c>
      <c r="M14" s="161">
        <v>9.83</v>
      </c>
      <c r="N14" s="161">
        <v>14.87</v>
      </c>
      <c r="O14" s="161">
        <v>9.5299999999999994</v>
      </c>
    </row>
    <row r="15" spans="2:15" x14ac:dyDescent="0.2">
      <c r="B15" s="102" t="s">
        <v>370</v>
      </c>
      <c r="C15" s="102" t="s">
        <v>298</v>
      </c>
      <c r="D15" s="102" t="s">
        <v>350</v>
      </c>
      <c r="E15" s="157">
        <v>101838.7</v>
      </c>
      <c r="F15" s="157">
        <v>91759</v>
      </c>
      <c r="G15" s="157">
        <v>4812</v>
      </c>
      <c r="H15" s="164">
        <v>0.21710000000000002</v>
      </c>
      <c r="I15" s="164">
        <v>0.74809999999999999</v>
      </c>
      <c r="J15" s="164">
        <v>-9.7000000000000003E-3</v>
      </c>
      <c r="K15" s="164">
        <v>0.25800000000000001</v>
      </c>
      <c r="L15" s="162">
        <v>19.07</v>
      </c>
      <c r="M15" s="162" t="s">
        <v>437</v>
      </c>
      <c r="N15" s="162" t="s">
        <v>437</v>
      </c>
      <c r="O15" s="162">
        <v>82.03</v>
      </c>
    </row>
    <row r="16" spans="2:15" x14ac:dyDescent="0.2">
      <c r="B16" s="102" t="s">
        <v>370</v>
      </c>
      <c r="C16" s="102" t="s">
        <v>299</v>
      </c>
      <c r="D16" s="102" t="s">
        <v>351</v>
      </c>
      <c r="E16" s="157">
        <v>131808.5</v>
      </c>
      <c r="F16" s="157">
        <v>122998.7</v>
      </c>
      <c r="G16" s="157">
        <v>9221.5</v>
      </c>
      <c r="H16" s="164">
        <v>0.1487</v>
      </c>
      <c r="I16" s="164">
        <v>0.73499999999999999</v>
      </c>
      <c r="J16" s="164">
        <v>0.15529999999999999</v>
      </c>
      <c r="K16" s="164">
        <v>0.35070000000000001</v>
      </c>
      <c r="L16" s="162">
        <v>12.43</v>
      </c>
      <c r="M16" s="162">
        <v>80.05</v>
      </c>
      <c r="N16" s="162">
        <v>89.24</v>
      </c>
      <c r="O16" s="162">
        <v>37.99</v>
      </c>
    </row>
    <row r="17" spans="2:15" x14ac:dyDescent="0.2">
      <c r="B17" s="102" t="s">
        <v>370</v>
      </c>
      <c r="C17" s="102" t="s">
        <v>300</v>
      </c>
      <c r="D17" s="102" t="s">
        <v>352</v>
      </c>
      <c r="E17" s="157">
        <v>58454.5</v>
      </c>
      <c r="F17" s="157">
        <v>54231.4</v>
      </c>
      <c r="G17" s="157">
        <v>6799.6</v>
      </c>
      <c r="H17" s="164">
        <v>0.14169999999999999</v>
      </c>
      <c r="I17" s="164">
        <v>0.80459999999999998</v>
      </c>
      <c r="J17" s="164">
        <v>0.32740000000000002</v>
      </c>
      <c r="K17" s="164">
        <v>0.32729999999999998</v>
      </c>
      <c r="L17" s="162">
        <v>7.98</v>
      </c>
      <c r="M17" s="162">
        <v>24.36</v>
      </c>
      <c r="N17" s="162">
        <v>32.479999999999997</v>
      </c>
      <c r="O17" s="162">
        <v>26.26</v>
      </c>
    </row>
    <row r="18" spans="2:15" x14ac:dyDescent="0.2">
      <c r="B18" s="102" t="s">
        <v>370</v>
      </c>
      <c r="C18" s="102" t="s">
        <v>301</v>
      </c>
      <c r="D18" s="102" t="s">
        <v>353</v>
      </c>
      <c r="E18" s="157">
        <v>2061.1</v>
      </c>
      <c r="F18" s="157">
        <v>1857.8</v>
      </c>
      <c r="G18" s="157">
        <v>999.4</v>
      </c>
      <c r="H18" s="164">
        <v>0.1104</v>
      </c>
      <c r="I18" s="164">
        <v>0.78090000000000004</v>
      </c>
      <c r="J18" s="164">
        <v>3.27E-2</v>
      </c>
      <c r="K18" s="164">
        <v>0.25030000000000002</v>
      </c>
      <c r="L18" s="162">
        <v>1.86</v>
      </c>
      <c r="M18" s="162">
        <v>56.89</v>
      </c>
      <c r="N18" s="162" t="s">
        <v>437</v>
      </c>
      <c r="O18" s="162">
        <v>8.24</v>
      </c>
    </row>
    <row r="19" spans="2:15" x14ac:dyDescent="0.2">
      <c r="B19" s="102" t="s">
        <v>370</v>
      </c>
      <c r="C19" s="102" t="s">
        <v>302</v>
      </c>
      <c r="D19" s="102" t="s">
        <v>354</v>
      </c>
      <c r="E19" s="157">
        <v>341.7</v>
      </c>
      <c r="F19" s="157">
        <v>827.8</v>
      </c>
      <c r="G19" s="157">
        <v>859.8</v>
      </c>
      <c r="H19" s="164">
        <v>1.8700000000000001E-2</v>
      </c>
      <c r="I19" s="164">
        <v>0.70340000000000003</v>
      </c>
      <c r="J19" s="164">
        <v>6.6900000000000001E-2</v>
      </c>
      <c r="K19" s="164">
        <v>0.15130000000000002</v>
      </c>
      <c r="L19" s="162">
        <v>0.96</v>
      </c>
      <c r="M19" s="162">
        <v>14.39</v>
      </c>
      <c r="N19" s="162">
        <v>14.4</v>
      </c>
      <c r="O19" s="162">
        <v>2.63</v>
      </c>
    </row>
    <row r="20" spans="2:15" x14ac:dyDescent="0.2">
      <c r="B20" s="102" t="s">
        <v>370</v>
      </c>
      <c r="C20" s="102" t="s">
        <v>303</v>
      </c>
      <c r="D20" s="102" t="s">
        <v>355</v>
      </c>
      <c r="E20" s="157">
        <v>4313</v>
      </c>
      <c r="F20" s="157">
        <v>3449.2</v>
      </c>
      <c r="G20" s="157">
        <v>1001.3</v>
      </c>
      <c r="H20" s="164">
        <v>0.21890000000000001</v>
      </c>
      <c r="I20" s="164">
        <v>0.74109999999999998</v>
      </c>
      <c r="J20" s="164">
        <v>-0.26780000000000004</v>
      </c>
      <c r="K20" s="164">
        <v>5.16E-2</v>
      </c>
      <c r="L20" s="162">
        <v>3.44</v>
      </c>
      <c r="M20" s="162" t="s">
        <v>437</v>
      </c>
      <c r="N20" s="162" t="s">
        <v>437</v>
      </c>
      <c r="O20" s="162">
        <v>83.45</v>
      </c>
    </row>
    <row r="21" spans="2:15" x14ac:dyDescent="0.2">
      <c r="B21" s="102" t="s">
        <v>370</v>
      </c>
      <c r="C21" s="102" t="s">
        <v>305</v>
      </c>
      <c r="D21" s="102" t="s">
        <v>357</v>
      </c>
      <c r="E21" s="157">
        <v>19597.2</v>
      </c>
      <c r="F21" s="157">
        <v>17335</v>
      </c>
      <c r="G21" s="157">
        <v>2673.1</v>
      </c>
      <c r="H21" s="164">
        <v>0.23309999999999997</v>
      </c>
      <c r="I21" s="164">
        <v>0.76629999999999998</v>
      </c>
      <c r="J21" s="164">
        <v>-2.2700000000000001E-2</v>
      </c>
      <c r="K21" s="164">
        <v>0.24210000000000001</v>
      </c>
      <c r="L21" s="162">
        <v>5.78</v>
      </c>
      <c r="M21" s="162" t="s">
        <v>437</v>
      </c>
      <c r="N21" s="162" t="s">
        <v>437</v>
      </c>
      <c r="O21" s="162">
        <v>26.97</v>
      </c>
    </row>
    <row r="22" spans="2:15" x14ac:dyDescent="0.2">
      <c r="B22" s="102" t="s">
        <v>370</v>
      </c>
      <c r="C22" s="102" t="s">
        <v>304</v>
      </c>
      <c r="D22" s="102" t="s">
        <v>356</v>
      </c>
      <c r="E22" s="157">
        <v>2603.1999999999998</v>
      </c>
      <c r="F22" s="157">
        <v>1972.1</v>
      </c>
      <c r="G22" s="157">
        <v>623.5</v>
      </c>
      <c r="H22" s="164">
        <v>0.13170000000000001</v>
      </c>
      <c r="I22" s="164">
        <v>0.7883</v>
      </c>
      <c r="J22" s="164">
        <v>-0.2152</v>
      </c>
      <c r="K22" s="164">
        <v>0.21160000000000001</v>
      </c>
      <c r="L22" s="162">
        <v>3.16</v>
      </c>
      <c r="M22" s="162" t="s">
        <v>437</v>
      </c>
      <c r="N22" s="162" t="s">
        <v>437</v>
      </c>
      <c r="O22" s="162">
        <v>19.73</v>
      </c>
    </row>
    <row r="23" spans="2:15" x14ac:dyDescent="0.2">
      <c r="B23" s="102" t="s">
        <v>370</v>
      </c>
      <c r="C23" s="102" t="s">
        <v>371</v>
      </c>
      <c r="D23" s="102" t="s">
        <v>372</v>
      </c>
      <c r="E23" s="157">
        <v>15155.3</v>
      </c>
      <c r="F23" s="157">
        <v>13270.5</v>
      </c>
      <c r="G23" s="157">
        <v>2725.4</v>
      </c>
      <c r="H23" s="164">
        <v>6.25E-2</v>
      </c>
      <c r="I23" s="164">
        <v>0.87919999999999998</v>
      </c>
      <c r="J23" s="164">
        <v>0.3271</v>
      </c>
      <c r="K23" s="164">
        <v>0.43030000000000002</v>
      </c>
      <c r="L23" s="162">
        <v>4.87</v>
      </c>
      <c r="M23" s="162">
        <v>14.89</v>
      </c>
      <c r="N23" s="162">
        <v>14.69</v>
      </c>
      <c r="O23" s="162">
        <v>12.92</v>
      </c>
    </row>
    <row r="24" spans="2:15" x14ac:dyDescent="0.2">
      <c r="B24" s="158" t="s">
        <v>373</v>
      </c>
      <c r="C24" s="158" t="s">
        <v>374</v>
      </c>
      <c r="D24" s="158" t="s">
        <v>375</v>
      </c>
      <c r="E24" s="157">
        <v>97205.1</v>
      </c>
      <c r="F24" s="157">
        <v>90857.5</v>
      </c>
      <c r="G24" s="157">
        <v>23769</v>
      </c>
      <c r="H24" s="164">
        <v>0.10529999999999999</v>
      </c>
      <c r="I24" s="164">
        <v>0.89400000000000002</v>
      </c>
      <c r="J24" s="164">
        <v>0.38919999999999999</v>
      </c>
      <c r="K24" s="164">
        <v>0.40289999999999998</v>
      </c>
      <c r="L24" s="162">
        <v>3.72</v>
      </c>
      <c r="M24" s="162">
        <v>9.5500000000000007</v>
      </c>
      <c r="N24" s="162">
        <v>13.9</v>
      </c>
      <c r="O24" s="162">
        <v>9.8699999999999992</v>
      </c>
    </row>
    <row r="25" spans="2:15" x14ac:dyDescent="0.2">
      <c r="B25" s="158" t="s">
        <v>373</v>
      </c>
      <c r="C25" s="158" t="s">
        <v>376</v>
      </c>
      <c r="D25" s="158" t="s">
        <v>377</v>
      </c>
      <c r="E25" s="157">
        <v>93311.6</v>
      </c>
      <c r="F25" s="157">
        <v>82937</v>
      </c>
      <c r="G25" s="157">
        <v>13278</v>
      </c>
      <c r="H25" s="164">
        <v>0.20879999999999999</v>
      </c>
      <c r="I25" s="164">
        <v>0.77529999999999999</v>
      </c>
      <c r="J25" s="164">
        <v>0.20620000000000002</v>
      </c>
      <c r="K25" s="164">
        <v>0.34139999999999998</v>
      </c>
      <c r="L25" s="162">
        <v>6.25</v>
      </c>
      <c r="M25" s="162">
        <v>30.29</v>
      </c>
      <c r="N25" s="162">
        <v>52.96</v>
      </c>
      <c r="O25" s="162">
        <v>20.58</v>
      </c>
    </row>
    <row r="26" spans="2:15" x14ac:dyDescent="0.2">
      <c r="B26" s="158" t="s">
        <v>373</v>
      </c>
      <c r="C26" s="158" t="s">
        <v>378</v>
      </c>
      <c r="D26" s="158" t="s">
        <v>379</v>
      </c>
      <c r="E26" s="157">
        <v>102282.4</v>
      </c>
      <c r="F26" s="157">
        <v>100965.5</v>
      </c>
      <c r="G26" s="157">
        <v>18831</v>
      </c>
      <c r="H26" s="164">
        <v>0.15629999999999999</v>
      </c>
      <c r="I26" s="164">
        <v>0.80900000000000005</v>
      </c>
      <c r="J26" s="164">
        <v>0.30349999999999999</v>
      </c>
      <c r="K26" s="164">
        <v>0.30230000000000001</v>
      </c>
      <c r="L26" s="162">
        <v>5.0199999999999996</v>
      </c>
      <c r="M26" s="162">
        <v>16.53</v>
      </c>
      <c r="N26" s="162">
        <v>23.91</v>
      </c>
      <c r="O26" s="162">
        <v>16.809999999999999</v>
      </c>
    </row>
    <row r="27" spans="2:15" x14ac:dyDescent="0.2">
      <c r="B27" s="158" t="s">
        <v>373</v>
      </c>
      <c r="C27" s="158" t="s">
        <v>380</v>
      </c>
      <c r="D27" s="158" t="s">
        <v>381</v>
      </c>
      <c r="E27" s="157">
        <v>31616.5</v>
      </c>
      <c r="F27" s="157">
        <v>27290.5</v>
      </c>
      <c r="G27" s="157">
        <v>9552</v>
      </c>
      <c r="H27" s="164">
        <v>0.13089999999999999</v>
      </c>
      <c r="I27" s="164">
        <v>0.75700000000000001</v>
      </c>
      <c r="J27" s="164">
        <v>0.14349999999999999</v>
      </c>
      <c r="K27" s="164">
        <v>0.29070000000000001</v>
      </c>
      <c r="L27" s="162">
        <v>2.86</v>
      </c>
      <c r="M27" s="162">
        <v>19.91</v>
      </c>
      <c r="N27" s="162">
        <v>46.42</v>
      </c>
      <c r="O27" s="162">
        <v>11.39</v>
      </c>
    </row>
    <row r="28" spans="2:15" x14ac:dyDescent="0.2">
      <c r="B28" s="158" t="s">
        <v>373</v>
      </c>
      <c r="C28" s="158" t="s">
        <v>382</v>
      </c>
      <c r="D28" s="158" t="s">
        <v>383</v>
      </c>
      <c r="E28" s="157">
        <v>315378.3</v>
      </c>
      <c r="F28" s="157">
        <v>299431</v>
      </c>
      <c r="G28" s="157">
        <v>4475.3999999999996</v>
      </c>
      <c r="H28" s="164">
        <v>0.56179999999999997</v>
      </c>
      <c r="I28" s="164">
        <v>0.8237000000000001</v>
      </c>
      <c r="J28" s="164">
        <v>0.32179999999999997</v>
      </c>
      <c r="K28" s="164">
        <v>0.46939999999999998</v>
      </c>
      <c r="L28" s="162">
        <v>66.91</v>
      </c>
      <c r="M28" s="162">
        <v>207.91</v>
      </c>
      <c r="N28" s="162">
        <v>209.31</v>
      </c>
      <c r="O28" s="162">
        <v>150.13999999999999</v>
      </c>
    </row>
    <row r="29" spans="2:15" x14ac:dyDescent="0.2">
      <c r="B29" s="158" t="s">
        <v>373</v>
      </c>
      <c r="C29" s="158" t="s">
        <v>384</v>
      </c>
      <c r="D29" s="158" t="s">
        <v>385</v>
      </c>
      <c r="E29" s="157">
        <v>78903</v>
      </c>
      <c r="F29" s="157">
        <v>71943.3</v>
      </c>
      <c r="G29" s="157">
        <v>5296.8</v>
      </c>
      <c r="H29" s="164">
        <v>0.14119999999999999</v>
      </c>
      <c r="I29" s="164">
        <v>0.86360000000000003</v>
      </c>
      <c r="J29" s="164">
        <v>0.36020000000000002</v>
      </c>
      <c r="K29" s="164">
        <v>0.29960000000000003</v>
      </c>
      <c r="L29" s="162">
        <v>13.58</v>
      </c>
      <c r="M29" s="162">
        <v>37.700000000000003</v>
      </c>
      <c r="N29" s="162">
        <v>70.39</v>
      </c>
      <c r="O29" s="162">
        <v>49.72</v>
      </c>
    </row>
    <row r="30" spans="2:15" x14ac:dyDescent="0.2">
      <c r="B30" s="158" t="s">
        <v>373</v>
      </c>
      <c r="C30" s="158" t="s">
        <v>386</v>
      </c>
      <c r="D30" s="158" t="s">
        <v>387</v>
      </c>
      <c r="E30" s="157">
        <v>79816.2</v>
      </c>
      <c r="F30" s="157">
        <v>83802.5</v>
      </c>
      <c r="G30" s="157">
        <v>7054.2</v>
      </c>
      <c r="H30" s="164">
        <v>0.1512</v>
      </c>
      <c r="I30" s="164">
        <v>0.82019999999999993</v>
      </c>
      <c r="J30" s="164">
        <v>0.20170000000000002</v>
      </c>
      <c r="K30" s="164">
        <v>0.16850000000000001</v>
      </c>
      <c r="L30" s="162">
        <v>10.46</v>
      </c>
      <c r="M30" s="162">
        <v>51.89</v>
      </c>
      <c r="N30" s="162">
        <v>64</v>
      </c>
      <c r="O30" s="162">
        <v>59.16</v>
      </c>
    </row>
    <row r="31" spans="2:15" x14ac:dyDescent="0.2">
      <c r="B31" s="158" t="s">
        <v>373</v>
      </c>
      <c r="C31" s="158" t="s">
        <v>358</v>
      </c>
      <c r="D31" s="158" t="s">
        <v>359</v>
      </c>
      <c r="E31" s="157">
        <v>63889.7</v>
      </c>
      <c r="F31" s="157">
        <v>58194.3</v>
      </c>
      <c r="G31" s="157">
        <v>2167.9</v>
      </c>
      <c r="H31" s="164">
        <v>0.29849999999999999</v>
      </c>
      <c r="I31" s="164">
        <v>0.7451000000000001</v>
      </c>
      <c r="J31" s="164">
        <v>-1.9599999999999999E-2</v>
      </c>
      <c r="K31" s="164">
        <v>0.1202</v>
      </c>
      <c r="L31" s="162">
        <v>26.84</v>
      </c>
      <c r="M31" s="162" t="s">
        <v>437</v>
      </c>
      <c r="N31" s="162" t="s">
        <v>437</v>
      </c>
      <c r="O31" s="162">
        <v>245.2</v>
      </c>
    </row>
    <row r="32" spans="2:15" x14ac:dyDescent="0.2">
      <c r="B32" s="158" t="s">
        <v>373</v>
      </c>
      <c r="C32" s="158" t="s">
        <v>362</v>
      </c>
      <c r="D32" s="158" t="s">
        <v>363</v>
      </c>
      <c r="E32" s="157">
        <v>38766.199999999997</v>
      </c>
      <c r="F32" s="157">
        <v>33955.1</v>
      </c>
      <c r="G32" s="157">
        <v>3427.2</v>
      </c>
      <c r="H32" s="164">
        <v>0.27679999999999999</v>
      </c>
      <c r="I32" s="164">
        <v>0.79980000000000007</v>
      </c>
      <c r="J32" s="164">
        <v>2.2000000000000001E-3</v>
      </c>
      <c r="K32" s="164">
        <v>0.26690000000000003</v>
      </c>
      <c r="L32" s="162">
        <v>9.91</v>
      </c>
      <c r="M32" s="162">
        <v>4509.91</v>
      </c>
      <c r="N32" s="162">
        <v>353.4</v>
      </c>
      <c r="O32" s="162">
        <v>42.38</v>
      </c>
    </row>
    <row r="33" spans="2:15" x14ac:dyDescent="0.2">
      <c r="B33" s="158" t="s">
        <v>373</v>
      </c>
      <c r="C33" s="158" t="s">
        <v>360</v>
      </c>
      <c r="D33" s="158" t="s">
        <v>361</v>
      </c>
      <c r="E33" s="157">
        <v>11516.4</v>
      </c>
      <c r="F33" s="157">
        <v>9029.6</v>
      </c>
      <c r="G33" s="157">
        <v>2919</v>
      </c>
      <c r="H33" s="164">
        <v>0.11840000000000001</v>
      </c>
      <c r="I33" s="164">
        <v>0.77359999999999995</v>
      </c>
      <c r="J33" s="164">
        <v>8.5299999999999987E-2</v>
      </c>
      <c r="K33" s="164">
        <v>0.29559999999999997</v>
      </c>
      <c r="L33" s="162">
        <v>3.09</v>
      </c>
      <c r="M33" s="162">
        <v>36.26</v>
      </c>
      <c r="N33" s="162">
        <v>49.6</v>
      </c>
      <c r="O33" s="162">
        <v>13.34</v>
      </c>
    </row>
    <row r="34" spans="2:15" x14ac:dyDescent="0.2">
      <c r="B34" s="158" t="s">
        <v>373</v>
      </c>
      <c r="C34" s="158" t="s">
        <v>388</v>
      </c>
      <c r="D34" s="158" t="s">
        <v>389</v>
      </c>
      <c r="E34" s="157">
        <v>45587.5</v>
      </c>
      <c r="F34" s="157">
        <v>40530.800000000003</v>
      </c>
      <c r="G34" s="157">
        <v>4683.8999999999996</v>
      </c>
      <c r="H34" s="164">
        <v>0.29160000000000003</v>
      </c>
      <c r="I34" s="164">
        <v>0.67169999999999996</v>
      </c>
      <c r="J34" s="164">
        <v>-0.27460000000000001</v>
      </c>
      <c r="K34" s="164">
        <v>0.23850000000000002</v>
      </c>
      <c r="L34" s="162">
        <v>8.65</v>
      </c>
      <c r="M34" s="162" t="s">
        <v>437</v>
      </c>
      <c r="N34" s="162" t="s">
        <v>437</v>
      </c>
      <c r="O34" s="162">
        <v>40.799999999999997</v>
      </c>
    </row>
    <row r="35" spans="2:15" x14ac:dyDescent="0.2">
      <c r="B35" s="158" t="s">
        <v>373</v>
      </c>
      <c r="C35" s="158" t="s">
        <v>390</v>
      </c>
      <c r="D35" s="158" t="s">
        <v>391</v>
      </c>
      <c r="E35" s="157">
        <v>10760.7</v>
      </c>
      <c r="F35" s="157">
        <v>8698.4</v>
      </c>
      <c r="G35" s="157">
        <v>3131.3</v>
      </c>
      <c r="H35" s="164">
        <v>0.19170000000000001</v>
      </c>
      <c r="I35" s="164">
        <v>0.83760000000000001</v>
      </c>
      <c r="J35" s="164">
        <v>9.7999999999999997E-3</v>
      </c>
      <c r="K35" s="164">
        <v>0.18420000000000003</v>
      </c>
      <c r="L35" s="162">
        <v>2.78</v>
      </c>
      <c r="M35" s="162">
        <v>282.32</v>
      </c>
      <c r="N35" s="162">
        <v>234.52</v>
      </c>
      <c r="O35" s="162">
        <v>18.66</v>
      </c>
    </row>
    <row r="36" spans="2:15" x14ac:dyDescent="0.2">
      <c r="B36" s="158" t="s">
        <v>373</v>
      </c>
      <c r="C36" s="158" t="s">
        <v>392</v>
      </c>
      <c r="D36" s="158" t="s">
        <v>393</v>
      </c>
      <c r="E36" s="157">
        <v>15968.7</v>
      </c>
      <c r="F36" s="157">
        <v>17050.2</v>
      </c>
      <c r="G36" s="157">
        <v>2739.2</v>
      </c>
      <c r="H36" s="164">
        <v>0.1918</v>
      </c>
      <c r="I36" s="164">
        <v>0.84230000000000005</v>
      </c>
      <c r="J36" s="164">
        <v>0.42869999999999997</v>
      </c>
      <c r="K36" s="164">
        <v>0.29949999999999999</v>
      </c>
      <c r="L36" s="162">
        <v>5.96</v>
      </c>
      <c r="M36" s="162">
        <v>13.9</v>
      </c>
      <c r="N36" s="162">
        <v>19.760000000000002</v>
      </c>
      <c r="O36" s="162">
        <v>18.64</v>
      </c>
    </row>
    <row r="37" spans="2:15" x14ac:dyDescent="0.2">
      <c r="B37" s="158" t="s">
        <v>373</v>
      </c>
      <c r="C37" s="158" t="s">
        <v>394</v>
      </c>
      <c r="D37" s="158" t="s">
        <v>395</v>
      </c>
      <c r="E37" s="157">
        <v>10187.299999999999</v>
      </c>
      <c r="F37" s="157">
        <v>8548.9</v>
      </c>
      <c r="G37" s="157">
        <v>1698.7</v>
      </c>
      <c r="H37" s="164">
        <v>0.1875</v>
      </c>
      <c r="I37" s="164">
        <v>0.8175</v>
      </c>
      <c r="J37" s="164">
        <v>0.13980000000000001</v>
      </c>
      <c r="K37" s="164">
        <v>0.22289999999999999</v>
      </c>
      <c r="L37" s="162">
        <v>4.42</v>
      </c>
      <c r="M37" s="162">
        <v>31.65</v>
      </c>
      <c r="N37" s="162">
        <v>56.32</v>
      </c>
      <c r="O37" s="162">
        <v>23.66</v>
      </c>
    </row>
    <row r="38" spans="2:15" x14ac:dyDescent="0.2">
      <c r="B38" s="158" t="s">
        <v>373</v>
      </c>
      <c r="C38" s="158" t="s">
        <v>396</v>
      </c>
      <c r="D38" s="158" t="s">
        <v>397</v>
      </c>
      <c r="E38" s="157">
        <v>10048</v>
      </c>
      <c r="F38" s="157">
        <v>8799</v>
      </c>
      <c r="G38" s="157">
        <v>2537.9</v>
      </c>
      <c r="H38" s="164">
        <v>0.18109999999999998</v>
      </c>
      <c r="I38" s="164">
        <v>0.87129999999999996</v>
      </c>
      <c r="J38" s="164">
        <v>0.10970000000000001</v>
      </c>
      <c r="K38" s="164">
        <v>0.27929999999999999</v>
      </c>
      <c r="L38" s="162">
        <v>3.28</v>
      </c>
      <c r="M38" s="162">
        <v>29.87</v>
      </c>
      <c r="N38" s="162">
        <v>40.39</v>
      </c>
      <c r="O38" s="162">
        <v>13.39</v>
      </c>
    </row>
    <row r="39" spans="2:15" x14ac:dyDescent="0.2">
      <c r="B39" s="158" t="s">
        <v>373</v>
      </c>
      <c r="C39" s="158" t="s">
        <v>398</v>
      </c>
      <c r="D39" s="158" t="s">
        <v>399</v>
      </c>
      <c r="E39" s="157">
        <v>25750.400000000001</v>
      </c>
      <c r="F39" s="157">
        <v>18268.2</v>
      </c>
      <c r="G39" s="157">
        <v>3195.3</v>
      </c>
      <c r="H39" s="164">
        <v>0.16339999999999999</v>
      </c>
      <c r="I39" s="164">
        <v>0.75529999999999997</v>
      </c>
      <c r="J39" s="164">
        <v>0.30829999999999996</v>
      </c>
      <c r="K39" s="164">
        <v>0.44290000000000002</v>
      </c>
      <c r="L39" s="162">
        <v>5.72</v>
      </c>
      <c r="M39" s="162">
        <v>18.55</v>
      </c>
      <c r="N39" s="162">
        <v>28.8</v>
      </c>
      <c r="O39" s="162">
        <v>18.2</v>
      </c>
    </row>
    <row r="40" spans="2:15" x14ac:dyDescent="0.2">
      <c r="B40" s="158" t="s">
        <v>373</v>
      </c>
      <c r="C40" s="158" t="s">
        <v>400</v>
      </c>
      <c r="D40" s="158" t="s">
        <v>401</v>
      </c>
      <c r="E40" s="157">
        <v>16137.2</v>
      </c>
      <c r="F40" s="157">
        <v>14722</v>
      </c>
      <c r="G40" s="157">
        <v>5215.3</v>
      </c>
      <c r="H40" s="164">
        <v>0.1966</v>
      </c>
      <c r="I40" s="164">
        <v>0.84060000000000001</v>
      </c>
      <c r="J40" s="164">
        <v>-4.0000000000000001E-3</v>
      </c>
      <c r="K40" s="164">
        <v>0.24579999999999999</v>
      </c>
      <c r="L40" s="162">
        <v>2.56</v>
      </c>
      <c r="M40" s="162" t="s">
        <v>437</v>
      </c>
      <c r="N40" s="162" t="s">
        <v>437</v>
      </c>
      <c r="O40" s="162">
        <v>11.4</v>
      </c>
    </row>
    <row r="41" spans="2:15" x14ac:dyDescent="0.2">
      <c r="B41" s="158" t="s">
        <v>373</v>
      </c>
      <c r="C41" s="158" t="s">
        <v>402</v>
      </c>
      <c r="D41" s="158" t="s">
        <v>403</v>
      </c>
      <c r="E41" s="157">
        <v>8823.1</v>
      </c>
      <c r="F41" s="157">
        <v>7657.6</v>
      </c>
      <c r="G41" s="157">
        <v>3219.5</v>
      </c>
      <c r="H41" s="164">
        <v>8.1600000000000006E-2</v>
      </c>
      <c r="I41" s="164">
        <v>0.79579999999999995</v>
      </c>
      <c r="J41" s="164">
        <v>0.105</v>
      </c>
      <c r="K41" s="164">
        <v>0.32880000000000004</v>
      </c>
      <c r="L41" s="162">
        <v>2.38</v>
      </c>
      <c r="M41" s="162">
        <v>22.64</v>
      </c>
      <c r="N41" s="162">
        <v>30.66</v>
      </c>
      <c r="O41" s="162">
        <v>8.34</v>
      </c>
    </row>
    <row r="42" spans="2:15" x14ac:dyDescent="0.2">
      <c r="B42" s="158" t="s">
        <v>373</v>
      </c>
      <c r="C42" s="158" t="s">
        <v>404</v>
      </c>
      <c r="D42" s="158" t="s">
        <v>405</v>
      </c>
      <c r="E42" s="157">
        <v>5382.3</v>
      </c>
      <c r="F42" s="157">
        <v>3523.1</v>
      </c>
      <c r="G42" s="157">
        <v>1610.6</v>
      </c>
      <c r="H42" s="164">
        <v>0.1265</v>
      </c>
      <c r="I42" s="164">
        <v>0.83239999999999992</v>
      </c>
      <c r="J42" s="164">
        <v>4.6900000000000004E-2</v>
      </c>
      <c r="K42" s="164">
        <v>0.21870000000000001</v>
      </c>
      <c r="L42" s="162">
        <v>2.19</v>
      </c>
      <c r="M42" s="162">
        <v>46.64</v>
      </c>
      <c r="N42" s="162">
        <v>19.36</v>
      </c>
      <c r="O42" s="162">
        <v>15.28</v>
      </c>
    </row>
    <row r="43" spans="2:15" x14ac:dyDescent="0.2">
      <c r="B43" s="158" t="s">
        <v>373</v>
      </c>
      <c r="C43" s="158" t="s">
        <v>364</v>
      </c>
      <c r="D43" s="158" t="s">
        <v>365</v>
      </c>
      <c r="E43" s="157">
        <v>4803.3999999999996</v>
      </c>
      <c r="F43" s="157">
        <v>3825.2</v>
      </c>
      <c r="G43" s="157">
        <v>1483.3</v>
      </c>
      <c r="H43" s="164">
        <v>0.1704</v>
      </c>
      <c r="I43" s="164">
        <v>0.76069999999999993</v>
      </c>
      <c r="J43" s="164">
        <v>-9.7999999999999997E-3</v>
      </c>
      <c r="K43" s="164">
        <v>0.15609999999999999</v>
      </c>
      <c r="L43" s="162">
        <v>2.2799999999999998</v>
      </c>
      <c r="M43" s="162" t="s">
        <v>437</v>
      </c>
      <c r="N43" s="162" t="s">
        <v>437</v>
      </c>
      <c r="O43" s="162">
        <v>18.350000000000001</v>
      </c>
    </row>
    <row r="44" spans="2:15" x14ac:dyDescent="0.2">
      <c r="B44" s="158" t="s">
        <v>373</v>
      </c>
      <c r="C44" s="158" t="s">
        <v>368</v>
      </c>
      <c r="D44" s="158" t="s">
        <v>369</v>
      </c>
      <c r="E44" s="157">
        <v>3418</v>
      </c>
      <c r="F44" s="157">
        <v>2089</v>
      </c>
      <c r="G44" s="157">
        <v>955.2</v>
      </c>
      <c r="H44" s="164">
        <v>0.2581</v>
      </c>
      <c r="I44" s="164">
        <v>0.87379999999999991</v>
      </c>
      <c r="J44" s="164">
        <v>-6.7799999999999999E-2</v>
      </c>
      <c r="K44" s="164">
        <v>0.2324</v>
      </c>
      <c r="L44" s="162">
        <v>2.19</v>
      </c>
      <c r="M44" s="162" t="s">
        <v>437</v>
      </c>
      <c r="N44" s="162" t="s">
        <v>437</v>
      </c>
      <c r="O44" s="162">
        <v>15.39</v>
      </c>
    </row>
    <row r="45" spans="2:15" x14ac:dyDescent="0.2">
      <c r="B45" s="158" t="s">
        <v>373</v>
      </c>
      <c r="C45" s="158" t="s">
        <v>366</v>
      </c>
      <c r="D45" s="158" t="s">
        <v>367</v>
      </c>
      <c r="E45" s="157">
        <v>3215.8</v>
      </c>
      <c r="F45" s="157">
        <v>1489.3</v>
      </c>
      <c r="G45" s="157">
        <v>1232</v>
      </c>
      <c r="H45" s="164">
        <v>0.26750000000000002</v>
      </c>
      <c r="I45" s="164">
        <v>0.89200000000000002</v>
      </c>
      <c r="J45" s="164">
        <v>6.7000000000000002E-3</v>
      </c>
      <c r="K45" s="164">
        <v>0.2515</v>
      </c>
      <c r="L45" s="162">
        <v>1.21</v>
      </c>
      <c r="M45" s="162">
        <v>181.25</v>
      </c>
      <c r="N45" s="162">
        <v>27.85</v>
      </c>
      <c r="O45" s="162">
        <v>10.38</v>
      </c>
    </row>
    <row r="46" spans="2:15" x14ac:dyDescent="0.2">
      <c r="B46" s="158" t="s">
        <v>373</v>
      </c>
      <c r="C46" s="158" t="s">
        <v>406</v>
      </c>
      <c r="D46" s="158" t="s">
        <v>407</v>
      </c>
      <c r="E46" s="157">
        <v>3712.3</v>
      </c>
      <c r="F46" s="157">
        <v>3080.5</v>
      </c>
      <c r="G46" s="157">
        <v>1462.6</v>
      </c>
      <c r="H46" s="164">
        <v>0.1336</v>
      </c>
      <c r="I46" s="164">
        <v>0.83560000000000001</v>
      </c>
      <c r="J46" s="164">
        <v>-1.5E-3</v>
      </c>
      <c r="K46" s="164">
        <v>0.19949999999999998</v>
      </c>
      <c r="L46" s="162">
        <v>1.99</v>
      </c>
      <c r="M46" s="162" t="s">
        <v>437</v>
      </c>
      <c r="N46" s="162" t="s">
        <v>437</v>
      </c>
      <c r="O46" s="162">
        <v>11.99</v>
      </c>
    </row>
    <row r="47" spans="2:15" x14ac:dyDescent="0.2">
      <c r="B47" s="158" t="s">
        <v>373</v>
      </c>
      <c r="C47" s="158" t="s">
        <v>408</v>
      </c>
      <c r="D47" s="158" t="s">
        <v>409</v>
      </c>
      <c r="E47" s="157">
        <v>2229</v>
      </c>
      <c r="F47" s="157">
        <v>1406.4</v>
      </c>
      <c r="G47" s="157">
        <v>838.8</v>
      </c>
      <c r="H47" s="164">
        <v>0.1643</v>
      </c>
      <c r="I47" s="164">
        <v>0.84959999999999991</v>
      </c>
      <c r="J47" s="164">
        <v>3.8199999999999998E-2</v>
      </c>
      <c r="K47" s="164">
        <v>0.26329999999999998</v>
      </c>
      <c r="L47" s="162">
        <v>1.68</v>
      </c>
      <c r="M47" s="162">
        <v>43.87</v>
      </c>
      <c r="N47" s="162">
        <v>12.45</v>
      </c>
      <c r="O47" s="162">
        <v>10.09</v>
      </c>
    </row>
    <row r="48" spans="2:15" x14ac:dyDescent="0.2">
      <c r="B48" s="158" t="s">
        <v>373</v>
      </c>
      <c r="C48" s="158" t="s">
        <v>410</v>
      </c>
      <c r="D48" s="158" t="s">
        <v>411</v>
      </c>
      <c r="E48" s="157">
        <v>11523.3</v>
      </c>
      <c r="F48" s="157">
        <v>18693.3</v>
      </c>
      <c r="G48" s="157">
        <v>3935</v>
      </c>
      <c r="H48" s="164">
        <v>3.5499999999999997E-2</v>
      </c>
      <c r="I48" s="164">
        <v>0.78839999999999999</v>
      </c>
      <c r="J48" s="164">
        <v>0.42590000000000006</v>
      </c>
      <c r="K48" s="164">
        <v>0.25509999999999999</v>
      </c>
      <c r="L48" s="162">
        <v>3.96</v>
      </c>
      <c r="M48" s="162">
        <v>9.2899999999999991</v>
      </c>
      <c r="N48" s="162">
        <v>19.260000000000002</v>
      </c>
      <c r="O48" s="162">
        <v>9.56</v>
      </c>
    </row>
    <row r="49" spans="2:16" x14ac:dyDescent="0.2">
      <c r="B49" s="158" t="s">
        <v>373</v>
      </c>
      <c r="C49" s="158" t="s">
        <v>412</v>
      </c>
      <c r="D49" s="158" t="s">
        <v>413</v>
      </c>
      <c r="E49" s="157">
        <v>16873.2</v>
      </c>
      <c r="F49" s="157">
        <v>15447.8</v>
      </c>
      <c r="G49" s="157">
        <v>3088.1</v>
      </c>
      <c r="H49" s="164">
        <v>9.6600000000000005E-2</v>
      </c>
      <c r="I49" s="164">
        <v>0.81389999999999996</v>
      </c>
      <c r="J49" s="164">
        <v>0.28100000000000003</v>
      </c>
      <c r="K49" s="164">
        <v>0.2883</v>
      </c>
      <c r="L49" s="162">
        <v>4.91</v>
      </c>
      <c r="M49" s="162">
        <v>17.48</v>
      </c>
      <c r="N49" s="162">
        <v>24.57</v>
      </c>
      <c r="O49" s="162">
        <v>18.62</v>
      </c>
    </row>
    <row r="51" spans="2:16" x14ac:dyDescent="0.2">
      <c r="B51" s="165" t="s">
        <v>415</v>
      </c>
      <c r="C51" s="165"/>
      <c r="D51" s="165"/>
      <c r="E51" s="166">
        <f t="shared" ref="E51:O51" si="0">MEDIAN(E15:E23)</f>
        <v>15155.3</v>
      </c>
      <c r="F51" s="166">
        <f t="shared" si="0"/>
        <v>13270.5</v>
      </c>
      <c r="G51" s="166">
        <f t="shared" si="0"/>
        <v>2673.1</v>
      </c>
      <c r="H51" s="167">
        <f t="shared" si="0"/>
        <v>0.14169999999999999</v>
      </c>
      <c r="I51" s="167">
        <f t="shared" si="0"/>
        <v>0.76629999999999998</v>
      </c>
      <c r="J51" s="167">
        <f t="shared" si="0"/>
        <v>3.27E-2</v>
      </c>
      <c r="K51" s="167">
        <f t="shared" si="0"/>
        <v>0.25030000000000002</v>
      </c>
      <c r="L51" s="168">
        <f t="shared" si="0"/>
        <v>4.87</v>
      </c>
      <c r="M51" s="168">
        <f t="shared" si="0"/>
        <v>24.36</v>
      </c>
      <c r="N51" s="168">
        <f t="shared" si="0"/>
        <v>23.585000000000001</v>
      </c>
      <c r="O51" s="168">
        <f t="shared" si="0"/>
        <v>26.26</v>
      </c>
      <c r="P51" s="22"/>
    </row>
    <row r="52" spans="2:16" x14ac:dyDescent="0.2">
      <c r="B52" s="165" t="s">
        <v>416</v>
      </c>
      <c r="C52" s="165"/>
      <c r="D52" s="165"/>
      <c r="E52" s="166">
        <f t="shared" ref="E52:O52" si="1">AVERAGE(E15:E23)</f>
        <v>37352.577777777777</v>
      </c>
      <c r="F52" s="166">
        <f t="shared" si="1"/>
        <v>34189.055555555555</v>
      </c>
      <c r="G52" s="166">
        <f t="shared" si="1"/>
        <v>3301.7333333333331</v>
      </c>
      <c r="H52" s="167">
        <f t="shared" si="1"/>
        <v>0.14253333333333332</v>
      </c>
      <c r="I52" s="167">
        <f t="shared" si="1"/>
        <v>0.77187777777777777</v>
      </c>
      <c r="J52" s="167">
        <f t="shared" si="1"/>
        <v>4.3777777777777777E-2</v>
      </c>
      <c r="K52" s="167">
        <f t="shared" si="1"/>
        <v>0.25257777777777779</v>
      </c>
      <c r="L52" s="168">
        <f t="shared" si="1"/>
        <v>6.6166666666666671</v>
      </c>
      <c r="M52" s="168">
        <f t="shared" si="1"/>
        <v>38.116</v>
      </c>
      <c r="N52" s="168">
        <f t="shared" si="1"/>
        <v>37.702500000000001</v>
      </c>
      <c r="O52" s="168">
        <f t="shared" si="1"/>
        <v>33.357777777777784</v>
      </c>
    </row>
    <row r="54" spans="2:16" x14ac:dyDescent="0.2">
      <c r="B54" s="26" t="s">
        <v>306</v>
      </c>
      <c r="P54" s="22"/>
    </row>
    <row r="55" spans="2:16" x14ac:dyDescent="0.2">
      <c r="B55" s="169" t="s">
        <v>307</v>
      </c>
      <c r="C55" s="169" t="s">
        <v>53</v>
      </c>
      <c r="D55" s="170">
        <f>(($L$51*$G$14)+('DCF &amp; Sensitivity'!$D$48*-1))/'DCF &amp; Sensitivity'!$D$51</f>
        <v>108.39772602739727</v>
      </c>
      <c r="F55" s="20" t="s">
        <v>417</v>
      </c>
    </row>
    <row r="56" spans="2:16" x14ac:dyDescent="0.2">
      <c r="B56" s="37" t="s">
        <v>308</v>
      </c>
      <c r="C56" s="37" t="s">
        <v>53</v>
      </c>
      <c r="D56" s="38">
        <f>(($M$51*'Income Statement'!H47)+('DCF &amp; Sensitivity'!$D$48*-1))/'DCF &amp; Sensitivity'!$D$51</f>
        <v>176.89600000000007</v>
      </c>
      <c r="F56" s="20" t="s">
        <v>420</v>
      </c>
    </row>
    <row r="57" spans="2:16" x14ac:dyDescent="0.2">
      <c r="B57" s="37" t="s">
        <v>309</v>
      </c>
      <c r="C57" s="37" t="s">
        <v>53</v>
      </c>
      <c r="D57" s="38">
        <f>N51*'Income Statement'!H42</f>
        <v>128.05711600000006</v>
      </c>
      <c r="F57" s="20" t="s">
        <v>418</v>
      </c>
    </row>
    <row r="58" spans="2:16" x14ac:dyDescent="0.2">
      <c r="B58" s="37" t="s">
        <v>310</v>
      </c>
      <c r="C58" s="37" t="s">
        <v>53</v>
      </c>
      <c r="D58" s="38">
        <f>O51*('Cash Flow'!H38/'DCF &amp; Sensitivity'!D51)</f>
        <v>219.00120547945207</v>
      </c>
      <c r="F58" s="20" t="s">
        <v>419</v>
      </c>
    </row>
    <row r="60" spans="2:16" x14ac:dyDescent="0.2">
      <c r="B60" s="171" t="s">
        <v>580</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77F8-AD1F-D04D-AB42-6FAF53AFD9A4}">
  <sheetPr>
    <tabColor theme="1"/>
  </sheetPr>
  <dimension ref="B18"/>
  <sheetViews>
    <sheetView showGridLines="0" workbookViewId="0"/>
  </sheetViews>
  <sheetFormatPr baseColWidth="10" defaultRowHeight="15" x14ac:dyDescent="0.2"/>
  <cols>
    <col min="1" max="1" width="3.83203125" customWidth="1"/>
  </cols>
  <sheetData>
    <row r="18" spans="2:2" ht="24" x14ac:dyDescent="0.3">
      <c r="B18" s="202" t="s">
        <v>540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2D10-67F9-5345-8ADB-D702D3E7F561}">
  <sheetPr>
    <tabColor rgb="FF808080"/>
  </sheetPr>
  <dimension ref="A1:J112"/>
  <sheetViews>
    <sheetView showGridLines="0" workbookViewId="0"/>
  </sheetViews>
  <sheetFormatPr baseColWidth="10" defaultRowHeight="15" x14ac:dyDescent="0.2"/>
  <cols>
    <col min="1" max="1" width="3.33203125" customWidth="1"/>
    <col min="2" max="2" width="40" customWidth="1"/>
    <col min="3" max="3" width="10" customWidth="1"/>
    <col min="4" max="4" width="13.33203125" customWidth="1"/>
    <col min="5" max="9" width="14.1640625" customWidth="1"/>
  </cols>
  <sheetData>
    <row r="1" spans="1:10" x14ac:dyDescent="0.2">
      <c r="A1" t="s">
        <v>523</v>
      </c>
    </row>
    <row r="2" spans="1:10" ht="19" x14ac:dyDescent="0.25">
      <c r="B2" s="296" t="s">
        <v>524</v>
      </c>
      <c r="C2" s="296"/>
      <c r="D2" s="296"/>
      <c r="E2" s="296"/>
    </row>
    <row r="3" spans="1:10" x14ac:dyDescent="0.2">
      <c r="B3" s="199" t="s">
        <v>525</v>
      </c>
    </row>
    <row r="4" spans="1:10" x14ac:dyDescent="0.2">
      <c r="B4" s="187" t="s">
        <v>494</v>
      </c>
    </row>
    <row r="6" spans="1:10" ht="17" x14ac:dyDescent="0.2">
      <c r="B6" s="188" t="s">
        <v>495</v>
      </c>
      <c r="C6" s="178" t="s">
        <v>496</v>
      </c>
    </row>
    <row r="8" spans="1:10" x14ac:dyDescent="0.2">
      <c r="B8" s="182" t="s">
        <v>497</v>
      </c>
      <c r="C8" s="182" t="s">
        <v>15</v>
      </c>
      <c r="E8" s="189" t="s">
        <v>20</v>
      </c>
      <c r="F8" s="189" t="s">
        <v>21</v>
      </c>
      <c r="G8" s="189" t="s">
        <v>22</v>
      </c>
      <c r="H8" s="189" t="s">
        <v>23</v>
      </c>
      <c r="I8" s="189" t="s">
        <v>24</v>
      </c>
      <c r="J8" s="189" t="s">
        <v>25</v>
      </c>
    </row>
    <row r="9" spans="1:10" x14ac:dyDescent="0.2">
      <c r="B9" s="179" t="s">
        <v>498</v>
      </c>
      <c r="C9" t="s">
        <v>27</v>
      </c>
      <c r="E9" s="183">
        <v>669.1</v>
      </c>
      <c r="F9" s="183">
        <f>E9*Assumptions!$D$10/100+(Assumptions!$D$11+(Assumptions!$E$11-Assumptions!$D$11)*0/4)*(Assumptions!$D$12+(Assumptions!$E$12-Assumptions!$D$12)*0/4)/1000</f>
        <v>734.673</v>
      </c>
      <c r="G9" s="183">
        <f>F9*(Assumptions!$D$10+(Assumptions!$E$10-Assumptions!$D$10)*1/4)/100+(Assumptions!$D$11+(Assumptions!$E$11-Assumptions!$D$11)*1/4)*(Assumptions!$D$12+(Assumptions!$E$12-Assumptions!$D$12)*1/4)/1000</f>
        <v>781.67597999999998</v>
      </c>
      <c r="H9" s="183">
        <f>G9*(Assumptions!$D$10+(Assumptions!$E$10-Assumptions!$D$10)*2/4)/100+(Assumptions!$D$11+(Assumptions!$E$11-Assumptions!$D$11)*2/4)*(Assumptions!$D$12+(Assumptions!$E$12-Assumptions!$D$12)*2/4)/1000</f>
        <v>807.98422019999998</v>
      </c>
      <c r="I9" s="183">
        <f>H9*(Assumptions!$D$10+(Assumptions!$E$10-Assumptions!$D$10)*3/4)/100+(Assumptions!$D$11+(Assumptions!$E$11-Assumptions!$D$11)*3/4)*(Assumptions!$D$12+(Assumptions!$E$12-Assumptions!$D$12)*3/4)/1000</f>
        <v>812.65094359399995</v>
      </c>
      <c r="J9" s="183">
        <f>I9*(Assumptions!$D$10+(Assumptions!$E$10-Assumptions!$D$10)*4/4)/100+(Assumptions!$D$11+(Assumptions!$E$11-Assumptions!$D$11)*4/4)*(Assumptions!$D$12+(Assumptions!$E$12-Assumptions!$D$12)*4/4)/1000</f>
        <v>796.0183964142999</v>
      </c>
    </row>
    <row r="10" spans="1:10" x14ac:dyDescent="0.2">
      <c r="B10" s="176" t="s">
        <v>499</v>
      </c>
      <c r="C10" t="s">
        <v>4</v>
      </c>
      <c r="F10" s="190">
        <f>F9/E9-1</f>
        <v>9.800179345389326E-2</v>
      </c>
      <c r="G10" s="190">
        <f>G9/F9-1</f>
        <v>6.3978096377572014E-2</v>
      </c>
      <c r="H10" s="190">
        <f>H9/G9-1</f>
        <v>3.3656196266898197E-2</v>
      </c>
      <c r="I10" s="190">
        <f>I9/H9-1</f>
        <v>5.775760562310106E-3</v>
      </c>
      <c r="J10" s="190">
        <f>J9/I9-1</f>
        <v>-2.0467025001092765E-2</v>
      </c>
    </row>
    <row r="11" spans="1:10" x14ac:dyDescent="0.2">
      <c r="B11" t="s">
        <v>95</v>
      </c>
      <c r="C11" t="s">
        <v>4</v>
      </c>
      <c r="F11" s="184">
        <f>Assumptions!$D$13/100+(Assumptions!$E$13/100-Assumptions!$D$13/100)*0/4</f>
        <v>0.83</v>
      </c>
      <c r="G11" s="184">
        <f>Assumptions!$D$13/100+(Assumptions!$E$13/100-Assumptions!$D$13/100)*1/4</f>
        <v>0.82499999999999996</v>
      </c>
      <c r="H11" s="184">
        <f>Assumptions!$D$13/100+(Assumptions!$E$13/100-Assumptions!$D$13/100)*2/4</f>
        <v>0.82000000000000006</v>
      </c>
      <c r="I11" s="184">
        <f>Assumptions!$D$13/100+(Assumptions!$E$13/100-Assumptions!$D$13/100)*3/4</f>
        <v>0.81500000000000006</v>
      </c>
      <c r="J11" s="184">
        <f>Assumptions!$D$13/100+(Assumptions!$E$13/100-Assumptions!$D$13/100)*4/4</f>
        <v>0.81</v>
      </c>
    </row>
    <row r="12" spans="1:10" x14ac:dyDescent="0.2">
      <c r="B12" t="s">
        <v>500</v>
      </c>
      <c r="C12" t="s">
        <v>4</v>
      </c>
      <c r="F12" s="184">
        <f>Assumptions!$D$14/100+(Assumptions!$E$14/100-Assumptions!$D$14/100)*0/4</f>
        <v>0.17499999999999999</v>
      </c>
      <c r="G12" s="184">
        <f>Assumptions!$D$14/100+(Assumptions!$E$14/100-Assumptions!$D$14/100)*1/4</f>
        <v>0.18</v>
      </c>
      <c r="H12" s="184">
        <f>Assumptions!$D$14/100+(Assumptions!$E$14/100-Assumptions!$D$14/100)*2/4</f>
        <v>0.185</v>
      </c>
      <c r="I12" s="184">
        <f>Assumptions!$D$14/100+(Assumptions!$E$14/100-Assumptions!$D$14/100)*3/4</f>
        <v>0.19</v>
      </c>
      <c r="J12" s="184">
        <f>Assumptions!$D$14/100+(Assumptions!$E$14/100-Assumptions!$D$14/100)*4/4</f>
        <v>0.19500000000000001</v>
      </c>
    </row>
    <row r="13" spans="1:10" x14ac:dyDescent="0.2">
      <c r="B13" t="s">
        <v>501</v>
      </c>
      <c r="C13" t="s">
        <v>4</v>
      </c>
      <c r="F13" s="184">
        <f>Assumptions!$D$15/100+(Assumptions!$E$15/100-Assumptions!$D$15/100)*0/4</f>
        <v>0.21</v>
      </c>
      <c r="G13" s="184">
        <f>Assumptions!$D$15/100+(Assumptions!$E$15/100-Assumptions!$D$15/100)*1/4</f>
        <v>0.22</v>
      </c>
      <c r="H13" s="184">
        <f>Assumptions!$D$15/100+(Assumptions!$E$15/100-Assumptions!$D$15/100)*2/4</f>
        <v>0.22999999999999998</v>
      </c>
      <c r="I13" s="184">
        <f>Assumptions!$D$15/100+(Assumptions!$E$15/100-Assumptions!$D$15/100)*3/4</f>
        <v>0.24</v>
      </c>
      <c r="J13" s="184">
        <f>Assumptions!$D$15/100+(Assumptions!$E$15/100-Assumptions!$D$15/100)*4/4</f>
        <v>0.25</v>
      </c>
    </row>
    <row r="14" spans="1:10" x14ac:dyDescent="0.2">
      <c r="B14" t="s">
        <v>502</v>
      </c>
      <c r="C14" t="s">
        <v>4</v>
      </c>
      <c r="F14" s="184">
        <f>Assumptions!$I$42/100</f>
        <v>0.105</v>
      </c>
      <c r="G14" s="184">
        <f>Assumptions!$J$42/100</f>
        <v>0.105</v>
      </c>
      <c r="H14" s="184">
        <f>Assumptions!$K$42/100</f>
        <v>0.1</v>
      </c>
      <c r="I14" s="184">
        <f>Assumptions!$L$42/100</f>
        <v>0.1</v>
      </c>
      <c r="J14" s="184">
        <f>Assumptions!$M$42/100</f>
        <v>0.1</v>
      </c>
    </row>
    <row r="15" spans="1:10" x14ac:dyDescent="0.2">
      <c r="B15" s="179" t="s">
        <v>122</v>
      </c>
      <c r="C15" t="s">
        <v>4</v>
      </c>
      <c r="F15" s="191">
        <f>F11-F12-F13-F14</f>
        <v>0.34000000000000008</v>
      </c>
      <c r="G15" s="191">
        <f>G11-G12-G13-G14</f>
        <v>0.32000000000000006</v>
      </c>
      <c r="H15" s="191">
        <f>H11-H12-H13-H14</f>
        <v>0.30500000000000005</v>
      </c>
      <c r="I15" s="191">
        <f>I11-I12-I13-I14</f>
        <v>0.28500000000000003</v>
      </c>
      <c r="J15" s="191">
        <f>J11-J12-J13-J14</f>
        <v>0.26500000000000001</v>
      </c>
    </row>
    <row r="16" spans="1:10" x14ac:dyDescent="0.2">
      <c r="B16" s="179" t="s">
        <v>503</v>
      </c>
      <c r="C16" t="s">
        <v>27</v>
      </c>
      <c r="F16" s="192">
        <f>F9*F15</f>
        <v>249.78882000000007</v>
      </c>
      <c r="G16" s="192">
        <f>G9*G15</f>
        <v>250.13631360000005</v>
      </c>
      <c r="H16" s="192">
        <f>H9*H15</f>
        <v>246.43518716100004</v>
      </c>
      <c r="I16" s="192">
        <f>I9*I15</f>
        <v>231.60551892429001</v>
      </c>
      <c r="J16" s="192">
        <f>J9*J15</f>
        <v>210.94487504978949</v>
      </c>
    </row>
    <row r="17" spans="2:10" x14ac:dyDescent="0.2">
      <c r="B17" t="s">
        <v>504</v>
      </c>
      <c r="C17" t="s">
        <v>27</v>
      </c>
      <c r="F17" s="183">
        <f>F9*Assumptions!$I$51/100</f>
        <v>13.224114</v>
      </c>
      <c r="G17" s="183">
        <f>G9*Assumptions!$J$51/100</f>
        <v>11.7251397</v>
      </c>
      <c r="H17" s="183">
        <f>H9*Assumptions!$K$51/100</f>
        <v>10.5037948626</v>
      </c>
      <c r="I17" s="183">
        <f>I9*Assumptions!$L$51/100</f>
        <v>9.751811323127999</v>
      </c>
      <c r="J17" s="183">
        <f>J9*Assumptions!$M$51/100</f>
        <v>8.7562023605572996</v>
      </c>
    </row>
    <row r="18" spans="2:10" x14ac:dyDescent="0.2">
      <c r="B18" s="179" t="s">
        <v>492</v>
      </c>
      <c r="C18" t="s">
        <v>27</v>
      </c>
      <c r="F18" s="192">
        <f>F16+F17</f>
        <v>263.01293400000009</v>
      </c>
      <c r="G18" s="192">
        <f>G16+G17</f>
        <v>261.86145330000005</v>
      </c>
      <c r="H18" s="192">
        <f>H16+H17</f>
        <v>256.93898202360003</v>
      </c>
      <c r="I18" s="192">
        <f>I16+I17</f>
        <v>241.35733024741802</v>
      </c>
      <c r="J18" s="192">
        <f>J16+J17</f>
        <v>219.70107741034678</v>
      </c>
    </row>
    <row r="19" spans="2:10" x14ac:dyDescent="0.2">
      <c r="B19" s="179" t="s">
        <v>505</v>
      </c>
      <c r="C19" t="s">
        <v>27</v>
      </c>
      <c r="F19" s="183">
        <f>F16*(1-Assumptions!$I$44/100)</f>
        <v>199.83105600000007</v>
      </c>
      <c r="G19" s="183">
        <f>G16*(1-Assumptions!$J$44/100)</f>
        <v>200.10905088000004</v>
      </c>
      <c r="H19" s="183">
        <f>H16*(1-Assumptions!$K$44/100)</f>
        <v>197.14814972880004</v>
      </c>
      <c r="I19" s="183">
        <f>I16*(1-Assumptions!$L$44/100)</f>
        <v>185.28441513943201</v>
      </c>
      <c r="J19" s="183">
        <f>J16*(1-Assumptions!$M$44/100)</f>
        <v>168.7559000398316</v>
      </c>
    </row>
    <row r="20" spans="2:10" x14ac:dyDescent="0.2">
      <c r="B20" s="179" t="s">
        <v>506</v>
      </c>
      <c r="C20" t="s">
        <v>27</v>
      </c>
      <c r="F20" s="183">
        <f>F17</f>
        <v>13.224114</v>
      </c>
      <c r="G20" s="183">
        <f>G17</f>
        <v>11.7251397</v>
      </c>
      <c r="H20" s="183">
        <f>H17</f>
        <v>10.5037948626</v>
      </c>
      <c r="I20" s="183">
        <f>I17</f>
        <v>9.751811323127999</v>
      </c>
      <c r="J20" s="183">
        <f>J17</f>
        <v>8.7562023605572996</v>
      </c>
    </row>
    <row r="21" spans="2:10" x14ac:dyDescent="0.2">
      <c r="B21" s="179" t="s">
        <v>507</v>
      </c>
      <c r="C21" t="s">
        <v>27</v>
      </c>
      <c r="F21" s="183">
        <f>-F9*Assumptions!$I$50/100</f>
        <v>-8.8160759999999989</v>
      </c>
      <c r="G21" s="183">
        <f>-G9*Assumptions!$J$50/100</f>
        <v>-9.3801117600000001</v>
      </c>
      <c r="H21" s="183">
        <f>-H9*Assumptions!$K$50/100</f>
        <v>-8.079842202</v>
      </c>
      <c r="I21" s="183">
        <f>-I9*Assumptions!$L$50/100</f>
        <v>-8.1265094359399992</v>
      </c>
      <c r="J21" s="183">
        <f>-J9*Assumptions!$M$50/100</f>
        <v>-7.960183964142999</v>
      </c>
    </row>
    <row r="22" spans="2:10" x14ac:dyDescent="0.2">
      <c r="B22" s="198" t="s">
        <v>520</v>
      </c>
      <c r="C22" t="s">
        <v>27</v>
      </c>
      <c r="F22" s="183">
        <f>(F9-E9)*Assumptions!$I$49/100</f>
        <v>39.343799999999987</v>
      </c>
      <c r="G22" s="183">
        <f>(G9-F9)*Assumptions!$J$49/100</f>
        <v>28.201787999999986</v>
      </c>
      <c r="H22" s="183">
        <f>(H9-G9)*Assumptions!$K$49/100</f>
        <v>15.78494412</v>
      </c>
      <c r="I22" s="183">
        <f>(I9-H9)*Assumptions!$L$49/100</f>
        <v>2.800034036399984</v>
      </c>
      <c r="J22" s="183">
        <f>(J9-I9)*Assumptions!$M$49/100</f>
        <v>-9.9795283078200328</v>
      </c>
    </row>
    <row r="23" spans="2:10" x14ac:dyDescent="0.2">
      <c r="B23" s="193" t="s">
        <v>493</v>
      </c>
      <c r="C23" t="s">
        <v>27</v>
      </c>
      <c r="F23" s="194">
        <f>F19+F20+F21+F22</f>
        <v>243.58289400000007</v>
      </c>
      <c r="G23" s="194">
        <f>G19+G20+G21+G22</f>
        <v>230.65586682000003</v>
      </c>
      <c r="H23" s="194">
        <f>H19+H20+H21+H22</f>
        <v>215.35704650940002</v>
      </c>
      <c r="I23" s="194">
        <f>I19+I20+I21+I22</f>
        <v>189.70975106302001</v>
      </c>
      <c r="J23" s="194">
        <f>J19+J20+J21+J22</f>
        <v>159.57239012842587</v>
      </c>
    </row>
    <row r="25" spans="2:10" x14ac:dyDescent="0.2">
      <c r="B25" s="179" t="s">
        <v>28</v>
      </c>
      <c r="C25" t="s">
        <v>29</v>
      </c>
      <c r="F25">
        <v>1</v>
      </c>
      <c r="G25">
        <v>2</v>
      </c>
      <c r="H25">
        <v>3</v>
      </c>
      <c r="I25">
        <v>4</v>
      </c>
      <c r="J25">
        <v>5</v>
      </c>
    </row>
    <row r="26" spans="2:10" x14ac:dyDescent="0.2">
      <c r="B26" s="179" t="s">
        <v>30</v>
      </c>
      <c r="C26" t="s">
        <v>6</v>
      </c>
      <c r="F26" s="195">
        <f>1/(1+Assumptions!$D$67/100)^F25</f>
        <v>0.91066387396411974</v>
      </c>
      <c r="G26" s="195">
        <f>1/(1+Assumptions!$D$67/100)^G25</f>
        <v>0.82930869134333829</v>
      </c>
      <c r="H26" s="195">
        <f>1/(1+Assumptions!$D$67/100)^H25</f>
        <v>0.75522146557083891</v>
      </c>
      <c r="I26" s="195">
        <f>1/(1+Assumptions!$D$67/100)^I25</f>
        <v>0.68775290553760027</v>
      </c>
      <c r="J26" s="195">
        <f>1/(1+Assumptions!$D$67/100)^J25</f>
        <v>0.62631172528695034</v>
      </c>
    </row>
    <row r="27" spans="2:10" x14ac:dyDescent="0.2">
      <c r="B27" s="179" t="s">
        <v>508</v>
      </c>
      <c r="C27" t="s">
        <v>27</v>
      </c>
      <c r="F27" s="192">
        <f>F23*F26</f>
        <v>221.82214188143161</v>
      </c>
      <c r="G27" s="192">
        <f>G23*G26</f>
        <v>191.28491506315754</v>
      </c>
      <c r="H27" s="192">
        <f>H23*H26</f>
        <v>162.6422642858364</v>
      </c>
      <c r="I27" s="192">
        <f>I23*I26</f>
        <v>130.47343250240687</v>
      </c>
      <c r="J27" s="192">
        <f>J23*J26</f>
        <v>99.942058969496728</v>
      </c>
    </row>
    <row r="29" spans="2:10" x14ac:dyDescent="0.2">
      <c r="B29" s="179" t="s">
        <v>42</v>
      </c>
      <c r="C29" t="s">
        <v>27</v>
      </c>
      <c r="D29" s="183">
        <f>SUM(F27:J27)</f>
        <v>806.16481270232919</v>
      </c>
    </row>
    <row r="30" spans="2:10" x14ac:dyDescent="0.2">
      <c r="B30" s="179" t="s">
        <v>509</v>
      </c>
      <c r="C30" t="s">
        <v>27</v>
      </c>
      <c r="D30" s="183">
        <f>J23*(1+Assumptions!$E$16/100)/(Assumptions!$D$67/100-Assumptions!$E$16/100)</f>
        <v>2084.0440196030013</v>
      </c>
    </row>
    <row r="31" spans="2:10" x14ac:dyDescent="0.2">
      <c r="B31" s="179" t="s">
        <v>510</v>
      </c>
      <c r="C31" t="s">
        <v>27</v>
      </c>
      <c r="D31" s="183">
        <f>D30*J26</f>
        <v>1305.2612054915066</v>
      </c>
    </row>
    <row r="32" spans="2:10" x14ac:dyDescent="0.2">
      <c r="B32" s="179" t="s">
        <v>511</v>
      </c>
      <c r="C32" t="s">
        <v>27</v>
      </c>
      <c r="D32" s="183">
        <f>J18*Assumptions!$E$17</f>
        <v>3295.5161611552016</v>
      </c>
    </row>
    <row r="33" spans="2:10" x14ac:dyDescent="0.2">
      <c r="B33" s="179" t="s">
        <v>512</v>
      </c>
      <c r="C33" t="s">
        <v>27</v>
      </c>
      <c r="D33" s="183">
        <f>D32*J26</f>
        <v>2064.0204126041417</v>
      </c>
    </row>
    <row r="34" spans="2:10" x14ac:dyDescent="0.2">
      <c r="B34" s="179" t="s">
        <v>44</v>
      </c>
      <c r="C34" t="s">
        <v>27</v>
      </c>
      <c r="D34" s="192">
        <f>D29+D31</f>
        <v>2111.4260181938357</v>
      </c>
    </row>
    <row r="35" spans="2:10" x14ac:dyDescent="0.2">
      <c r="B35" s="179" t="s">
        <v>46</v>
      </c>
      <c r="C35" t="s">
        <v>27</v>
      </c>
      <c r="D35" s="192">
        <f>D29+D33</f>
        <v>2870.1852253064708</v>
      </c>
    </row>
    <row r="36" spans="2:10" x14ac:dyDescent="0.2">
      <c r="B36" s="179" t="s">
        <v>513</v>
      </c>
      <c r="C36" t="s">
        <v>27</v>
      </c>
      <c r="D36" s="183">
        <f>'DCF &amp; Sensitivity'!$D$48</f>
        <v>-698</v>
      </c>
    </row>
    <row r="37" spans="2:10" x14ac:dyDescent="0.2">
      <c r="B37" s="179" t="s">
        <v>48</v>
      </c>
      <c r="C37" t="s">
        <v>27</v>
      </c>
      <c r="D37" s="183">
        <f>D34-D36</f>
        <v>2809.4260181938357</v>
      </c>
    </row>
    <row r="38" spans="2:10" x14ac:dyDescent="0.2">
      <c r="B38" s="179" t="s">
        <v>49</v>
      </c>
      <c r="C38" t="s">
        <v>27</v>
      </c>
      <c r="D38" s="183">
        <f>D35-D36</f>
        <v>3568.1852253064708</v>
      </c>
    </row>
    <row r="39" spans="2:10" x14ac:dyDescent="0.2">
      <c r="B39" s="180" t="s">
        <v>514</v>
      </c>
      <c r="C39" t="s">
        <v>53</v>
      </c>
      <c r="D39" s="181">
        <f>D37/'DCF &amp; Sensitivity'!$D$51</f>
        <v>76.970575840927012</v>
      </c>
    </row>
    <row r="40" spans="2:10" x14ac:dyDescent="0.2">
      <c r="B40" s="180" t="s">
        <v>515</v>
      </c>
      <c r="C40" t="s">
        <v>53</v>
      </c>
      <c r="D40" s="181">
        <f>D38/'DCF &amp; Sensitivity'!$D$51</f>
        <v>97.758499323464946</v>
      </c>
    </row>
    <row r="42" spans="2:10" ht="17" x14ac:dyDescent="0.2">
      <c r="B42" s="196" t="s">
        <v>516</v>
      </c>
      <c r="C42" s="178" t="s">
        <v>517</v>
      </c>
    </row>
    <row r="44" spans="2:10" x14ac:dyDescent="0.2">
      <c r="B44" s="182" t="s">
        <v>497</v>
      </c>
      <c r="C44" s="182" t="s">
        <v>15</v>
      </c>
      <c r="E44" s="189" t="s">
        <v>20</v>
      </c>
      <c r="F44" s="189" t="s">
        <v>21</v>
      </c>
      <c r="G44" s="189" t="s">
        <v>22</v>
      </c>
      <c r="H44" s="189" t="s">
        <v>23</v>
      </c>
      <c r="I44" s="189" t="s">
        <v>24</v>
      </c>
      <c r="J44" s="189" t="s">
        <v>25</v>
      </c>
    </row>
    <row r="45" spans="2:10" x14ac:dyDescent="0.2">
      <c r="B45" s="179" t="s">
        <v>498</v>
      </c>
      <c r="C45" t="s">
        <v>27</v>
      </c>
      <c r="E45" s="183">
        <v>669.1</v>
      </c>
      <c r="F45" s="183">
        <f>E45*Assumptions!$D$10/100+(Assumptions!$D$11+(Assumptions!$F$11-Assumptions!$D$11)*0/4)*(Assumptions!$D$12+(Assumptions!$F$12-Assumptions!$D$12)*0/4)/1000</f>
        <v>734.673</v>
      </c>
      <c r="G45" s="183">
        <f>F45*(Assumptions!$D$10+(Assumptions!$F$10-Assumptions!$D$10)*1/4)/100+(Assumptions!$D$11+(Assumptions!$F$11-Assumptions!$D$11)*1/4)*(Assumptions!$D$12+(Assumptions!$F$12-Assumptions!$D$12)*1/4)/1000</f>
        <v>798.53982499999995</v>
      </c>
      <c r="H45" s="183">
        <f>G45*(Assumptions!$D$10+(Assumptions!$F$10-Assumptions!$D$10)*2/4)/100+(Assumptions!$D$11+(Assumptions!$F$11-Assumptions!$D$11)*2/4)*(Assumptions!$D$12+(Assumptions!$F$12-Assumptions!$D$12)*2/4)/1000</f>
        <v>860.01062149999996</v>
      </c>
      <c r="I45" s="183">
        <f>H45*(Assumptions!$D$10+(Assumptions!$F$10-Assumptions!$D$10)*3/4)/100+(Assumptions!$D$11+(Assumptions!$F$11-Assumptions!$D$11)*3/4)*(Assumptions!$D$12+(Assumptions!$F$12-Assumptions!$D$12)*3/4)/1000</f>
        <v>918.41078082249999</v>
      </c>
      <c r="J45" s="183">
        <f>I45*(Assumptions!$D$10+(Assumptions!$F$10-Assumptions!$D$10)*4/4)/100+(Assumptions!$D$11+(Assumptions!$F$11-Assumptions!$D$11)*4/4)*(Assumptions!$D$12+(Assumptions!$F$12-Assumptions!$D$12)*4/4)/1000</f>
        <v>973.09488863072499</v>
      </c>
    </row>
    <row r="46" spans="2:10" x14ac:dyDescent="0.2">
      <c r="B46" s="176" t="s">
        <v>499</v>
      </c>
      <c r="C46" t="s">
        <v>4</v>
      </c>
      <c r="F46" s="190">
        <f>F45/E45-1</f>
        <v>9.800179345389326E-2</v>
      </c>
      <c r="G46" s="190">
        <f>G45/F45-1</f>
        <v>8.6932315465519938E-2</v>
      </c>
      <c r="H46" s="190">
        <f>H45/G45-1</f>
        <v>7.6978999137582216E-2</v>
      </c>
      <c r="I46" s="190">
        <f>I45/H45-1</f>
        <v>6.7906323320333639E-2</v>
      </c>
      <c r="J46" s="190">
        <f>J45/I45-1</f>
        <v>5.9542101366941269E-2</v>
      </c>
    </row>
    <row r="47" spans="2:10" x14ac:dyDescent="0.2">
      <c r="B47" t="s">
        <v>95</v>
      </c>
      <c r="C47" t="s">
        <v>4</v>
      </c>
      <c r="F47" s="184">
        <f>Assumptions!$D$13/100+(Assumptions!$F$13/100-Assumptions!$D$13/100)*0/4</f>
        <v>0.83</v>
      </c>
      <c r="G47" s="184">
        <f>Assumptions!$D$13/100+(Assumptions!$F$13/100-Assumptions!$D$13/100)*1/4</f>
        <v>0.83374999999999999</v>
      </c>
      <c r="H47" s="184">
        <f>Assumptions!$D$13/100+(Assumptions!$F$13/100-Assumptions!$D$13/100)*2/4</f>
        <v>0.83749999999999991</v>
      </c>
      <c r="I47" s="184">
        <f>Assumptions!$D$13/100+(Assumptions!$F$13/100-Assumptions!$D$13/100)*3/4</f>
        <v>0.84124999999999994</v>
      </c>
      <c r="J47" s="184">
        <f>Assumptions!$D$13/100+(Assumptions!$F$13/100-Assumptions!$D$13/100)*4/4</f>
        <v>0.84499999999999997</v>
      </c>
    </row>
    <row r="48" spans="2:10" x14ac:dyDescent="0.2">
      <c r="B48" t="s">
        <v>500</v>
      </c>
      <c r="C48" t="s">
        <v>4</v>
      </c>
      <c r="F48" s="184">
        <f>Assumptions!$D$14/100+(Assumptions!$F$14/100-Assumptions!$D$14/100)*0/4</f>
        <v>0.17499999999999999</v>
      </c>
      <c r="G48" s="184">
        <f>Assumptions!$D$14/100+(Assumptions!$F$14/100-Assumptions!$D$14/100)*1/4</f>
        <v>0.17499999999999999</v>
      </c>
      <c r="H48" s="184">
        <f>Assumptions!$D$14/100+(Assumptions!$F$14/100-Assumptions!$D$14/100)*2/4</f>
        <v>0.17499999999999999</v>
      </c>
      <c r="I48" s="184">
        <f>Assumptions!$D$14/100+(Assumptions!$F$14/100-Assumptions!$D$14/100)*3/4</f>
        <v>0.17499999999999999</v>
      </c>
      <c r="J48" s="184">
        <f>Assumptions!$D$14/100+(Assumptions!$F$14/100-Assumptions!$D$14/100)*4/4</f>
        <v>0.17499999999999999</v>
      </c>
    </row>
    <row r="49" spans="2:10" x14ac:dyDescent="0.2">
      <c r="B49" t="s">
        <v>501</v>
      </c>
      <c r="C49" t="s">
        <v>4</v>
      </c>
      <c r="F49" s="184">
        <f>Assumptions!$D$15/100+(Assumptions!$F$15/100-Assumptions!$D$15/100)*0/4</f>
        <v>0.21</v>
      </c>
      <c r="G49" s="184">
        <f>Assumptions!$D$15/100+(Assumptions!$F$15/100-Assumptions!$D$15/100)*1/4</f>
        <v>0.21124999999999999</v>
      </c>
      <c r="H49" s="184">
        <f>Assumptions!$D$15/100+(Assumptions!$F$15/100-Assumptions!$D$15/100)*2/4</f>
        <v>0.21249999999999999</v>
      </c>
      <c r="I49" s="184">
        <f>Assumptions!$D$15/100+(Assumptions!$F$15/100-Assumptions!$D$15/100)*3/4</f>
        <v>0.21375</v>
      </c>
      <c r="J49" s="184">
        <f>Assumptions!$D$15/100+(Assumptions!$F$15/100-Assumptions!$D$15/100)*4/4</f>
        <v>0.215</v>
      </c>
    </row>
    <row r="50" spans="2:10" x14ac:dyDescent="0.2">
      <c r="B50" t="s">
        <v>502</v>
      </c>
      <c r="C50" t="s">
        <v>4</v>
      </c>
      <c r="F50" s="184">
        <f>Assumptions!$I$42/100</f>
        <v>0.105</v>
      </c>
      <c r="G50" s="184">
        <f>Assumptions!$J$42/100</f>
        <v>0.105</v>
      </c>
      <c r="H50" s="184">
        <f>Assumptions!$K$42/100</f>
        <v>0.1</v>
      </c>
      <c r="I50" s="184">
        <f>Assumptions!$L$42/100</f>
        <v>0.1</v>
      </c>
      <c r="J50" s="184">
        <f>Assumptions!$M$42/100</f>
        <v>0.1</v>
      </c>
    </row>
    <row r="51" spans="2:10" x14ac:dyDescent="0.2">
      <c r="B51" s="179" t="s">
        <v>122</v>
      </c>
      <c r="C51" t="s">
        <v>4</v>
      </c>
      <c r="F51" s="191">
        <f>F47-F48-F49-F50</f>
        <v>0.34000000000000008</v>
      </c>
      <c r="G51" s="191">
        <f>G47-G48-G49-G50</f>
        <v>0.34249999999999997</v>
      </c>
      <c r="H51" s="191">
        <f>H47-H48-H49-H50</f>
        <v>0.34999999999999987</v>
      </c>
      <c r="I51" s="191">
        <f>I47-I48-I49-I50</f>
        <v>0.35250000000000004</v>
      </c>
      <c r="J51" s="191">
        <f>J47-J48-J49-J50</f>
        <v>0.35499999999999998</v>
      </c>
    </row>
    <row r="52" spans="2:10" x14ac:dyDescent="0.2">
      <c r="B52" s="179" t="s">
        <v>503</v>
      </c>
      <c r="C52" t="s">
        <v>27</v>
      </c>
      <c r="F52" s="192">
        <f>F45*F51</f>
        <v>249.78882000000007</v>
      </c>
      <c r="G52" s="192">
        <f>G45*G51</f>
        <v>273.49989006249996</v>
      </c>
      <c r="H52" s="192">
        <f>H45*H51</f>
        <v>301.00371752499984</v>
      </c>
      <c r="I52" s="192">
        <f>I45*I51</f>
        <v>323.7398002399313</v>
      </c>
      <c r="J52" s="192">
        <f>J45*J51</f>
        <v>345.44868546390734</v>
      </c>
    </row>
    <row r="53" spans="2:10" x14ac:dyDescent="0.2">
      <c r="B53" t="s">
        <v>504</v>
      </c>
      <c r="C53" t="s">
        <v>27</v>
      </c>
      <c r="F53" s="183">
        <f>F45*Assumptions!$I$51/100</f>
        <v>13.224114</v>
      </c>
      <c r="G53" s="183">
        <f>G45*Assumptions!$J$51/100</f>
        <v>11.978097374999999</v>
      </c>
      <c r="H53" s="183">
        <f>H45*Assumptions!$K$51/100</f>
        <v>11.180138079500001</v>
      </c>
      <c r="I53" s="183">
        <f>I45*Assumptions!$L$51/100</f>
        <v>11.02092936987</v>
      </c>
      <c r="J53" s="183">
        <f>J45*Assumptions!$M$51/100</f>
        <v>10.704043774937976</v>
      </c>
    </row>
    <row r="54" spans="2:10" x14ac:dyDescent="0.2">
      <c r="B54" s="179" t="s">
        <v>492</v>
      </c>
      <c r="C54" t="s">
        <v>27</v>
      </c>
      <c r="F54" s="192">
        <f>F52+F53</f>
        <v>263.01293400000009</v>
      </c>
      <c r="G54" s="192">
        <f>G52+G53</f>
        <v>285.47798743749996</v>
      </c>
      <c r="H54" s="192">
        <f>H52+H53</f>
        <v>312.18385560449985</v>
      </c>
      <c r="I54" s="192">
        <f>I52+I53</f>
        <v>334.76072960980127</v>
      </c>
      <c r="J54" s="192">
        <f>J52+J53</f>
        <v>356.15272923884532</v>
      </c>
    </row>
    <row r="55" spans="2:10" x14ac:dyDescent="0.2">
      <c r="B55" s="179" t="s">
        <v>505</v>
      </c>
      <c r="C55" t="s">
        <v>27</v>
      </c>
      <c r="F55" s="183">
        <f>F52*(1-Assumptions!$I$44/100)</f>
        <v>199.83105600000007</v>
      </c>
      <c r="G55" s="183">
        <f>G52*(1-Assumptions!$J$44/100)</f>
        <v>218.79991204999999</v>
      </c>
      <c r="H55" s="183">
        <f>H52*(1-Assumptions!$K$44/100)</f>
        <v>240.80297401999988</v>
      </c>
      <c r="I55" s="183">
        <f>I52*(1-Assumptions!$L$44/100)</f>
        <v>258.99184019194507</v>
      </c>
      <c r="J55" s="183">
        <f>J52*(1-Assumptions!$M$44/100)</f>
        <v>276.3589483711259</v>
      </c>
    </row>
    <row r="56" spans="2:10" x14ac:dyDescent="0.2">
      <c r="B56" s="179" t="s">
        <v>506</v>
      </c>
      <c r="C56" t="s">
        <v>27</v>
      </c>
      <c r="F56" s="183">
        <f>F53</f>
        <v>13.224114</v>
      </c>
      <c r="G56" s="183">
        <f>G53</f>
        <v>11.978097374999999</v>
      </c>
      <c r="H56" s="183">
        <f>H53</f>
        <v>11.180138079500001</v>
      </c>
      <c r="I56" s="183">
        <f>I53</f>
        <v>11.02092936987</v>
      </c>
      <c r="J56" s="183">
        <f>J53</f>
        <v>10.704043774937976</v>
      </c>
    </row>
    <row r="57" spans="2:10" x14ac:dyDescent="0.2">
      <c r="B57" s="179" t="s">
        <v>507</v>
      </c>
      <c r="C57" t="s">
        <v>27</v>
      </c>
      <c r="F57" s="183">
        <f>-F45*Assumptions!$I$50/100</f>
        <v>-8.8160759999999989</v>
      </c>
      <c r="G57" s="183">
        <f>-G45*Assumptions!$J$50/100</f>
        <v>-9.5824778999999989</v>
      </c>
      <c r="H57" s="183">
        <f>-H45*Assumptions!$K$50/100</f>
        <v>-8.6001062150000003</v>
      </c>
      <c r="I57" s="183">
        <f>-I45*Assumptions!$L$50/100</f>
        <v>-9.1841078082250007</v>
      </c>
      <c r="J57" s="183">
        <f>-J45*Assumptions!$M$50/100</f>
        <v>-9.7309488863072495</v>
      </c>
    </row>
    <row r="58" spans="2:10" x14ac:dyDescent="0.2">
      <c r="B58" s="198" t="s">
        <v>520</v>
      </c>
      <c r="C58" t="s">
        <v>27</v>
      </c>
      <c r="F58" s="183">
        <f>(F45-E45)*Assumptions!$I$49/100</f>
        <v>39.343799999999987</v>
      </c>
      <c r="G58" s="183">
        <f>(G45-F45)*Assumptions!$J$49/100</f>
        <v>38.320094999999966</v>
      </c>
      <c r="H58" s="183">
        <f>(H45-G45)*Assumptions!$K$49/100</f>
        <v>36.882477900000005</v>
      </c>
      <c r="I58" s="183">
        <f>(I45-H45)*Assumptions!$L$49/100</f>
        <v>35.04009559350002</v>
      </c>
      <c r="J58" s="183">
        <f>(J45-I45)*Assumptions!$M$49/100</f>
        <v>32.810464684935006</v>
      </c>
    </row>
    <row r="59" spans="2:10" x14ac:dyDescent="0.2">
      <c r="B59" s="193" t="s">
        <v>493</v>
      </c>
      <c r="C59" t="s">
        <v>27</v>
      </c>
      <c r="F59" s="194">
        <f>F55+F56+F57+F58</f>
        <v>243.58289400000007</v>
      </c>
      <c r="G59" s="194">
        <f>G55+G56+G57+G58</f>
        <v>259.51562652499996</v>
      </c>
      <c r="H59" s="194">
        <f>H55+H56+H57+H58</f>
        <v>280.26548378449991</v>
      </c>
      <c r="I59" s="194">
        <f>I55+I56+I57+I58</f>
        <v>295.86875734709008</v>
      </c>
      <c r="J59" s="194">
        <f>J55+J56+J57+J58</f>
        <v>310.14250794469166</v>
      </c>
    </row>
    <row r="61" spans="2:10" x14ac:dyDescent="0.2">
      <c r="B61" s="179" t="s">
        <v>28</v>
      </c>
      <c r="C61" t="s">
        <v>29</v>
      </c>
      <c r="F61">
        <v>1</v>
      </c>
      <c r="G61">
        <v>2</v>
      </c>
      <c r="H61">
        <v>3</v>
      </c>
      <c r="I61">
        <v>4</v>
      </c>
      <c r="J61">
        <v>5</v>
      </c>
    </row>
    <row r="62" spans="2:10" x14ac:dyDescent="0.2">
      <c r="B62" s="179" t="s">
        <v>30</v>
      </c>
      <c r="C62" t="s">
        <v>6</v>
      </c>
      <c r="F62" s="195">
        <f>1/(1+Assumptions!$D$67/100)^F61</f>
        <v>0.91066387396411974</v>
      </c>
      <c r="G62" s="195">
        <f>1/(1+Assumptions!$D$67/100)^G61</f>
        <v>0.82930869134333829</v>
      </c>
      <c r="H62" s="195">
        <f>1/(1+Assumptions!$D$67/100)^H61</f>
        <v>0.75522146557083891</v>
      </c>
      <c r="I62" s="195">
        <f>1/(1+Assumptions!$D$67/100)^I61</f>
        <v>0.68775290553760027</v>
      </c>
      <c r="J62" s="195">
        <f>1/(1+Assumptions!$D$67/100)^J61</f>
        <v>0.62631172528695034</v>
      </c>
    </row>
    <row r="63" spans="2:10" x14ac:dyDescent="0.2">
      <c r="B63" s="179" t="s">
        <v>508</v>
      </c>
      <c r="C63" t="s">
        <v>27</v>
      </c>
      <c r="F63" s="192">
        <f>F59*F62</f>
        <v>221.82214188143161</v>
      </c>
      <c r="G63" s="192">
        <f>G59*G62</f>
        <v>215.21856461659425</v>
      </c>
      <c r="H63" s="192">
        <f>H59*H62</f>
        <v>211.66250941265019</v>
      </c>
      <c r="I63" s="192">
        <f>I59*I62</f>
        <v>203.48459752326042</v>
      </c>
      <c r="J63" s="192">
        <f>J59*J62</f>
        <v>194.24588923566154</v>
      </c>
    </row>
    <row r="65" spans="2:10" x14ac:dyDescent="0.2">
      <c r="B65" s="179" t="s">
        <v>42</v>
      </c>
      <c r="C65" t="s">
        <v>27</v>
      </c>
      <c r="D65" s="183">
        <f>SUM(F63:J63)</f>
        <v>1046.433702669598</v>
      </c>
    </row>
    <row r="66" spans="2:10" x14ac:dyDescent="0.2">
      <c r="B66" s="179" t="s">
        <v>509</v>
      </c>
      <c r="C66" t="s">
        <v>27</v>
      </c>
      <c r="D66" s="183">
        <f>J59*(1+Assumptions!$F$16/100)/(Assumptions!$D$67/100-Assumptions!$F$16/100)</f>
        <v>4690.8485048903449</v>
      </c>
    </row>
    <row r="67" spans="2:10" x14ac:dyDescent="0.2">
      <c r="B67" s="179" t="s">
        <v>510</v>
      </c>
      <c r="C67" t="s">
        <v>27</v>
      </c>
      <c r="D67" s="183">
        <f>D66*J62</f>
        <v>2937.9334201575834</v>
      </c>
    </row>
    <row r="68" spans="2:10" x14ac:dyDescent="0.2">
      <c r="B68" s="179" t="s">
        <v>511</v>
      </c>
      <c r="C68" t="s">
        <v>27</v>
      </c>
      <c r="D68" s="183">
        <f>J54*Assumptions!$F$17</f>
        <v>7123.0545847769063</v>
      </c>
    </row>
    <row r="69" spans="2:10" x14ac:dyDescent="0.2">
      <c r="B69" s="179" t="s">
        <v>512</v>
      </c>
      <c r="C69" t="s">
        <v>27</v>
      </c>
      <c r="D69" s="183">
        <f>D68*J62</f>
        <v>4461.2526063047462</v>
      </c>
    </row>
    <row r="70" spans="2:10" x14ac:dyDescent="0.2">
      <c r="B70" s="179" t="s">
        <v>44</v>
      </c>
      <c r="C70" t="s">
        <v>27</v>
      </c>
      <c r="D70" s="192">
        <f>D65+D67</f>
        <v>3984.3671228271814</v>
      </c>
    </row>
    <row r="71" spans="2:10" x14ac:dyDescent="0.2">
      <c r="B71" s="179" t="s">
        <v>46</v>
      </c>
      <c r="C71" t="s">
        <v>27</v>
      </c>
      <c r="D71" s="192">
        <f>D65+D69</f>
        <v>5507.6863089743438</v>
      </c>
    </row>
    <row r="72" spans="2:10" x14ac:dyDescent="0.2">
      <c r="B72" s="179" t="s">
        <v>513</v>
      </c>
      <c r="C72" t="s">
        <v>27</v>
      </c>
      <c r="D72" s="183">
        <f>'DCF &amp; Sensitivity'!$D$48</f>
        <v>-698</v>
      </c>
    </row>
    <row r="73" spans="2:10" x14ac:dyDescent="0.2">
      <c r="B73" s="179" t="s">
        <v>48</v>
      </c>
      <c r="C73" t="s">
        <v>27</v>
      </c>
      <c r="D73" s="183">
        <f>D70-D72</f>
        <v>4682.3671228271814</v>
      </c>
    </row>
    <row r="74" spans="2:10" x14ac:dyDescent="0.2">
      <c r="B74" s="179" t="s">
        <v>49</v>
      </c>
      <c r="C74" t="s">
        <v>27</v>
      </c>
      <c r="D74" s="183">
        <f>D71-D72</f>
        <v>6205.6863089743438</v>
      </c>
    </row>
    <row r="75" spans="2:10" x14ac:dyDescent="0.2">
      <c r="B75" s="180" t="s">
        <v>514</v>
      </c>
      <c r="C75" t="s">
        <v>53</v>
      </c>
      <c r="D75" s="181">
        <f>D73/'DCF &amp; Sensitivity'!$D$51</f>
        <v>128.28403076238854</v>
      </c>
    </row>
    <row r="76" spans="2:10" x14ac:dyDescent="0.2">
      <c r="B76" s="180" t="s">
        <v>515</v>
      </c>
      <c r="C76" t="s">
        <v>53</v>
      </c>
      <c r="D76" s="181">
        <f>D74/'DCF &amp; Sensitivity'!$D$51</f>
        <v>170.01880298559846</v>
      </c>
    </row>
    <row r="78" spans="2:10" ht="17" x14ac:dyDescent="0.2">
      <c r="B78" s="197" t="s">
        <v>518</v>
      </c>
      <c r="C78" s="178" t="s">
        <v>519</v>
      </c>
    </row>
    <row r="80" spans="2:10" x14ac:dyDescent="0.2">
      <c r="B80" s="182" t="s">
        <v>497</v>
      </c>
      <c r="C80" s="182" t="s">
        <v>15</v>
      </c>
      <c r="E80" s="189" t="s">
        <v>20</v>
      </c>
      <c r="F80" s="189" t="s">
        <v>21</v>
      </c>
      <c r="G80" s="189" t="s">
        <v>22</v>
      </c>
      <c r="H80" s="189" t="s">
        <v>23</v>
      </c>
      <c r="I80" s="189" t="s">
        <v>24</v>
      </c>
      <c r="J80" s="189" t="s">
        <v>25</v>
      </c>
    </row>
    <row r="81" spans="2:10" x14ac:dyDescent="0.2">
      <c r="B81" s="179" t="s">
        <v>498</v>
      </c>
      <c r="C81" t="s">
        <v>27</v>
      </c>
      <c r="E81" s="183">
        <v>669.1</v>
      </c>
      <c r="F81" s="183">
        <f>E81*Assumptions!$D$10/100+(Assumptions!$D$11+(Assumptions!$G$11-Assumptions!$D$11)*0/4)*(Assumptions!$D$12+(Assumptions!$G$12-Assumptions!$D$12)*0/4)/1000</f>
        <v>734.673</v>
      </c>
      <c r="G81" s="183">
        <f>F81*(Assumptions!$D$10+(Assumptions!$G$10-Assumptions!$D$10)*1/4)/100+(Assumptions!$D$11+(Assumptions!$G$11-Assumptions!$D$11)*1/4)*(Assumptions!$D$12+(Assumptions!$G$12-Assumptions!$D$12)*1/4)/1000</f>
        <v>810.23030499999993</v>
      </c>
      <c r="H81" s="183">
        <f>G81*(Assumptions!$D$10+(Assumptions!$G$10-Assumptions!$D$10)*2/4)/100+(Assumptions!$D$11+(Assumptions!$G$11-Assumptions!$D$11)*2/4)*(Assumptions!$D$12+(Assumptions!$G$12-Assumptions!$D$12)*2/4)/1000</f>
        <v>897.0145172</v>
      </c>
      <c r="I81" s="183">
        <f>H81*(Assumptions!$D$10+(Assumptions!$G$10-Assumptions!$D$10)*3/4)/100+(Assumptions!$D$11+(Assumptions!$G$11-Assumptions!$D$11)*3/4)*(Assumptions!$D$12+(Assumptions!$G$12-Assumptions!$D$12)*3/4)/1000</f>
        <v>996.47392047400001</v>
      </c>
      <c r="J81" s="183">
        <f>I81*(Assumptions!$D$10+(Assumptions!$G$10-Assumptions!$D$10)*4/4)/100+(Assumptions!$D$11+(Assumptions!$G$11-Assumptions!$D$11)*4/4)*(Assumptions!$D$12+(Assumptions!$G$12-Assumptions!$D$12)*4/4)/1000</f>
        <v>1110.2976164977001</v>
      </c>
    </row>
    <row r="82" spans="2:10" x14ac:dyDescent="0.2">
      <c r="B82" s="176" t="s">
        <v>499</v>
      </c>
      <c r="C82" t="s">
        <v>4</v>
      </c>
      <c r="F82" s="190">
        <f>F81/E81-1</f>
        <v>9.800179345389326E-2</v>
      </c>
      <c r="G82" s="190">
        <f>G81/F81-1</f>
        <v>0.10284480986779143</v>
      </c>
      <c r="H82" s="190">
        <f>H81/G81-1</f>
        <v>0.1071105482779986</v>
      </c>
      <c r="I82" s="190">
        <f>I81/H81-1</f>
        <v>0.11087825377058458</v>
      </c>
      <c r="J82" s="190">
        <f>J81/I81-1</f>
        <v>0.11422646763254662</v>
      </c>
    </row>
    <row r="83" spans="2:10" x14ac:dyDescent="0.2">
      <c r="B83" t="s">
        <v>95</v>
      </c>
      <c r="C83" t="s">
        <v>4</v>
      </c>
      <c r="F83" s="184">
        <f>Assumptions!$D$13/100+(Assumptions!$G$13/100-Assumptions!$D$13/100)*0/4</f>
        <v>0.83</v>
      </c>
      <c r="G83" s="184">
        <f>Assumptions!$D$13/100+(Assumptions!$G$13/100-Assumptions!$D$13/100)*1/4</f>
        <v>0.83749999999999991</v>
      </c>
      <c r="H83" s="184">
        <f>Assumptions!$D$13/100+(Assumptions!$G$13/100-Assumptions!$D$13/100)*2/4</f>
        <v>0.84499999999999997</v>
      </c>
      <c r="I83" s="184">
        <f>Assumptions!$D$13/100+(Assumptions!$G$13/100-Assumptions!$D$13/100)*3/4</f>
        <v>0.85250000000000004</v>
      </c>
      <c r="J83" s="184">
        <f>Assumptions!$D$13/100+(Assumptions!$G$13/100-Assumptions!$D$13/100)*4/4</f>
        <v>0.86</v>
      </c>
    </row>
    <row r="84" spans="2:10" x14ac:dyDescent="0.2">
      <c r="B84" t="s">
        <v>500</v>
      </c>
      <c r="C84" t="s">
        <v>4</v>
      </c>
      <c r="F84" s="184">
        <f>Assumptions!$D$14/100+(Assumptions!$G$14/100-Assumptions!$D$14/100)*0/4</f>
        <v>0.17499999999999999</v>
      </c>
      <c r="G84" s="184">
        <f>Assumptions!$D$14/100+(Assumptions!$G$14/100-Assumptions!$D$14/100)*1/4</f>
        <v>0.16999999999999998</v>
      </c>
      <c r="H84" s="184">
        <f>Assumptions!$D$14/100+(Assumptions!$G$14/100-Assumptions!$D$14/100)*2/4</f>
        <v>0.16499999999999998</v>
      </c>
      <c r="I84" s="184">
        <f>Assumptions!$D$14/100+(Assumptions!$G$14/100-Assumptions!$D$14/100)*3/4</f>
        <v>0.16</v>
      </c>
      <c r="J84" s="184">
        <f>Assumptions!$D$14/100+(Assumptions!$G$14/100-Assumptions!$D$14/100)*4/4</f>
        <v>0.155</v>
      </c>
    </row>
    <row r="85" spans="2:10" x14ac:dyDescent="0.2">
      <c r="B85" t="s">
        <v>501</v>
      </c>
      <c r="C85" t="s">
        <v>4</v>
      </c>
      <c r="F85" s="184">
        <f>Assumptions!$D$15/100+(Assumptions!$G$15/100-Assumptions!$D$15/100)*0/4</f>
        <v>0.21</v>
      </c>
      <c r="G85" s="184">
        <f>Assumptions!$D$15/100+(Assumptions!$G$15/100-Assumptions!$D$15/100)*1/4</f>
        <v>0.20249999999999999</v>
      </c>
      <c r="H85" s="184">
        <f>Assumptions!$D$15/100+(Assumptions!$G$15/100-Assumptions!$D$15/100)*2/4</f>
        <v>0.19500000000000001</v>
      </c>
      <c r="I85" s="184">
        <f>Assumptions!$D$15/100+(Assumptions!$G$15/100-Assumptions!$D$15/100)*3/4</f>
        <v>0.1875</v>
      </c>
      <c r="J85" s="184">
        <f>Assumptions!$D$15/100+(Assumptions!$G$15/100-Assumptions!$D$15/100)*4/4</f>
        <v>0.18</v>
      </c>
    </row>
    <row r="86" spans="2:10" x14ac:dyDescent="0.2">
      <c r="B86" t="s">
        <v>502</v>
      </c>
      <c r="C86" t="s">
        <v>4</v>
      </c>
      <c r="F86" s="184">
        <f>Assumptions!$I$42/100</f>
        <v>0.105</v>
      </c>
      <c r="G86" s="184">
        <f>Assumptions!$J$42/100</f>
        <v>0.105</v>
      </c>
      <c r="H86" s="184">
        <f>Assumptions!$K$42/100</f>
        <v>0.1</v>
      </c>
      <c r="I86" s="184">
        <f>Assumptions!$L$42/100</f>
        <v>0.1</v>
      </c>
      <c r="J86" s="184">
        <f>Assumptions!$M$42/100</f>
        <v>0.1</v>
      </c>
    </row>
    <row r="87" spans="2:10" x14ac:dyDescent="0.2">
      <c r="B87" s="179" t="s">
        <v>122</v>
      </c>
      <c r="C87" t="s">
        <v>4</v>
      </c>
      <c r="F87" s="191">
        <f>F83-F84-F85-F86</f>
        <v>0.34000000000000008</v>
      </c>
      <c r="G87" s="191">
        <f>G83-G84-G85-G86</f>
        <v>0.36</v>
      </c>
      <c r="H87" s="191">
        <f>H83-H84-H85-H86</f>
        <v>0.3849999999999999</v>
      </c>
      <c r="I87" s="191">
        <f>I83-I84-I85-I86</f>
        <v>0.40500000000000003</v>
      </c>
      <c r="J87" s="191">
        <f>J83-J84-J85-J86</f>
        <v>0.42499999999999993</v>
      </c>
    </row>
    <row r="88" spans="2:10" x14ac:dyDescent="0.2">
      <c r="B88" s="179" t="s">
        <v>503</v>
      </c>
      <c r="C88" t="s">
        <v>27</v>
      </c>
      <c r="F88" s="192">
        <f>F81*F87</f>
        <v>249.78882000000007</v>
      </c>
      <c r="G88" s="192">
        <f>G81*G87</f>
        <v>291.68290979999995</v>
      </c>
      <c r="H88" s="192">
        <f>H81*H87</f>
        <v>345.35058912199992</v>
      </c>
      <c r="I88" s="192">
        <f>I81*I87</f>
        <v>403.57193779197002</v>
      </c>
      <c r="J88" s="192">
        <f>J81*J87</f>
        <v>471.8764870115225</v>
      </c>
    </row>
    <row r="89" spans="2:10" x14ac:dyDescent="0.2">
      <c r="B89" t="s">
        <v>504</v>
      </c>
      <c r="C89" t="s">
        <v>27</v>
      </c>
      <c r="F89" s="183">
        <f>F81*Assumptions!$I$51/100</f>
        <v>13.224114</v>
      </c>
      <c r="G89" s="183">
        <f>G81*Assumptions!$J$51/100</f>
        <v>12.153454574999998</v>
      </c>
      <c r="H89" s="183">
        <f>H81*Assumptions!$K$51/100</f>
        <v>11.6611887236</v>
      </c>
      <c r="I89" s="183">
        <f>I81*Assumptions!$L$51/100</f>
        <v>11.957687045687999</v>
      </c>
      <c r="J89" s="183">
        <f>J81*Assumptions!$M$51/100</f>
        <v>12.213273781474703</v>
      </c>
    </row>
    <row r="90" spans="2:10" x14ac:dyDescent="0.2">
      <c r="B90" s="179" t="s">
        <v>492</v>
      </c>
      <c r="C90" t="s">
        <v>27</v>
      </c>
      <c r="F90" s="192">
        <f>F88+F89</f>
        <v>263.01293400000009</v>
      </c>
      <c r="G90" s="192">
        <f>G88+G89</f>
        <v>303.83636437499996</v>
      </c>
      <c r="H90" s="192">
        <f>H88+H89</f>
        <v>357.01177784559991</v>
      </c>
      <c r="I90" s="192">
        <f>I88+I89</f>
        <v>415.52962483765799</v>
      </c>
      <c r="J90" s="192">
        <f>J88+J89</f>
        <v>484.0897607929972</v>
      </c>
    </row>
    <row r="91" spans="2:10" x14ac:dyDescent="0.2">
      <c r="B91" s="179" t="s">
        <v>505</v>
      </c>
      <c r="C91" t="s">
        <v>27</v>
      </c>
      <c r="F91" s="183">
        <f>F88*(1-Assumptions!$I$44/100)</f>
        <v>199.83105600000007</v>
      </c>
      <c r="G91" s="183">
        <f>G88*(1-Assumptions!$J$44/100)</f>
        <v>233.34632783999996</v>
      </c>
      <c r="H91" s="183">
        <f>H88*(1-Assumptions!$K$44/100)</f>
        <v>276.28047129759995</v>
      </c>
      <c r="I91" s="183">
        <f>I88*(1-Assumptions!$L$44/100)</f>
        <v>322.85755023357603</v>
      </c>
      <c r="J91" s="183">
        <f>J88*(1-Assumptions!$M$44/100)</f>
        <v>377.50118960921805</v>
      </c>
    </row>
    <row r="92" spans="2:10" x14ac:dyDescent="0.2">
      <c r="B92" s="179" t="s">
        <v>506</v>
      </c>
      <c r="C92" t="s">
        <v>27</v>
      </c>
      <c r="F92" s="183">
        <f>F89</f>
        <v>13.224114</v>
      </c>
      <c r="G92" s="183">
        <f>G89</f>
        <v>12.153454574999998</v>
      </c>
      <c r="H92" s="183">
        <f>H89</f>
        <v>11.6611887236</v>
      </c>
      <c r="I92" s="183">
        <f>I89</f>
        <v>11.957687045687999</v>
      </c>
      <c r="J92" s="183">
        <f>J89</f>
        <v>12.213273781474703</v>
      </c>
    </row>
    <row r="93" spans="2:10" x14ac:dyDescent="0.2">
      <c r="B93" s="179" t="s">
        <v>507</v>
      </c>
      <c r="C93" t="s">
        <v>27</v>
      </c>
      <c r="F93" s="183">
        <f>-F81*Assumptions!$I$50/100</f>
        <v>-8.8160759999999989</v>
      </c>
      <c r="G93" s="183">
        <f>-G81*Assumptions!$J$50/100</f>
        <v>-9.7227636599999983</v>
      </c>
      <c r="H93" s="183">
        <f>-H81*Assumptions!$K$50/100</f>
        <v>-8.9701451720000005</v>
      </c>
      <c r="I93" s="183">
        <f>-I81*Assumptions!$L$50/100</f>
        <v>-9.9647392047400007</v>
      </c>
      <c r="J93" s="183">
        <f>-J81*Assumptions!$M$50/100</f>
        <v>-11.102976164977001</v>
      </c>
    </row>
    <row r="94" spans="2:10" x14ac:dyDescent="0.2">
      <c r="B94" s="198" t="s">
        <v>520</v>
      </c>
      <c r="C94" t="s">
        <v>27</v>
      </c>
      <c r="F94" s="183">
        <f>(F81-E81)*Assumptions!$I$49/100</f>
        <v>39.343799999999987</v>
      </c>
      <c r="G94" s="183">
        <f>(G81-F81)*Assumptions!$J$49/100</f>
        <v>45.33438299999996</v>
      </c>
      <c r="H94" s="183">
        <f>(H81-G81)*Assumptions!$K$49/100</f>
        <v>52.070527320000039</v>
      </c>
      <c r="I94" s="183">
        <f>(I81-H81)*Assumptions!$L$49/100</f>
        <v>59.6756419644</v>
      </c>
      <c r="J94" s="183">
        <f>(J81-I81)*Assumptions!$M$49/100</f>
        <v>68.294217614220074</v>
      </c>
    </row>
    <row r="95" spans="2:10" x14ac:dyDescent="0.2">
      <c r="B95" s="193" t="s">
        <v>493</v>
      </c>
      <c r="C95" t="s">
        <v>27</v>
      </c>
      <c r="F95" s="194">
        <f>F91+F92+F93+F94</f>
        <v>243.58289400000007</v>
      </c>
      <c r="G95" s="194">
        <f>G91+G92+G93+G94</f>
        <v>281.11140175499992</v>
      </c>
      <c r="H95" s="194">
        <f>H91+H92+H93+H94</f>
        <v>331.04204216919999</v>
      </c>
      <c r="I95" s="194">
        <f>I91+I92+I93+I94</f>
        <v>384.52614003892404</v>
      </c>
      <c r="J95" s="194">
        <f>J91+J92+J93+J94</f>
        <v>446.90570483993582</v>
      </c>
    </row>
    <row r="97" spans="2:10" x14ac:dyDescent="0.2">
      <c r="B97" s="179" t="s">
        <v>28</v>
      </c>
      <c r="C97" t="s">
        <v>29</v>
      </c>
      <c r="F97">
        <v>1</v>
      </c>
      <c r="G97">
        <v>2</v>
      </c>
      <c r="H97">
        <v>3</v>
      </c>
      <c r="I97">
        <v>4</v>
      </c>
      <c r="J97">
        <v>5</v>
      </c>
    </row>
    <row r="98" spans="2:10" x14ac:dyDescent="0.2">
      <c r="B98" s="179" t="s">
        <v>30</v>
      </c>
      <c r="C98" t="s">
        <v>6</v>
      </c>
      <c r="F98" s="195">
        <f>1/(1+Assumptions!$D$67/100)^F97</f>
        <v>0.91066387396411974</v>
      </c>
      <c r="G98" s="195">
        <f>1/(1+Assumptions!$D$67/100)^G97</f>
        <v>0.82930869134333829</v>
      </c>
      <c r="H98" s="195">
        <f>1/(1+Assumptions!$D$67/100)^H97</f>
        <v>0.75522146557083891</v>
      </c>
      <c r="I98" s="195">
        <f>1/(1+Assumptions!$D$67/100)^I97</f>
        <v>0.68775290553760027</v>
      </c>
      <c r="J98" s="195">
        <f>1/(1+Assumptions!$D$67/100)^J97</f>
        <v>0.62631172528695034</v>
      </c>
    </row>
    <row r="99" spans="2:10" x14ac:dyDescent="0.2">
      <c r="B99" s="179" t="s">
        <v>508</v>
      </c>
      <c r="C99" t="s">
        <v>27</v>
      </c>
      <c r="F99" s="192">
        <f>F95*F98</f>
        <v>221.82214188143161</v>
      </c>
      <c r="G99" s="192">
        <f>G95*G98</f>
        <v>233.12812871113039</v>
      </c>
      <c r="H99" s="192">
        <f>H95*H98</f>
        <v>250.01005625258668</v>
      </c>
      <c r="I99" s="192">
        <f>I95*I98</f>
        <v>264.4589700669282</v>
      </c>
      <c r="J99" s="192">
        <f>J95*J98</f>
        <v>279.9022830388808</v>
      </c>
    </row>
    <row r="101" spans="2:10" x14ac:dyDescent="0.2">
      <c r="B101" s="179" t="s">
        <v>42</v>
      </c>
      <c r="C101" t="s">
        <v>27</v>
      </c>
      <c r="D101" s="183">
        <f>SUM(F99:J99)</f>
        <v>1249.3215799509576</v>
      </c>
    </row>
    <row r="102" spans="2:10" x14ac:dyDescent="0.2">
      <c r="B102" s="179" t="s">
        <v>509</v>
      </c>
      <c r="C102" t="s">
        <v>27</v>
      </c>
      <c r="D102" s="183">
        <f>J95*(1+Assumptions!$G$16/100)/(Assumptions!$D$67/100-Assumptions!$G$16/100)</f>
        <v>7330.3867592604374</v>
      </c>
    </row>
    <row r="103" spans="2:10" x14ac:dyDescent="0.2">
      <c r="B103" s="179" t="s">
        <v>510</v>
      </c>
      <c r="C103" t="s">
        <v>27</v>
      </c>
      <c r="D103" s="183">
        <f>D102*J98</f>
        <v>4591.1071782130211</v>
      </c>
    </row>
    <row r="104" spans="2:10" x14ac:dyDescent="0.2">
      <c r="B104" s="179" t="s">
        <v>511</v>
      </c>
      <c r="C104" t="s">
        <v>27</v>
      </c>
      <c r="D104" s="183">
        <f>J90*Assumptions!$G$17</f>
        <v>12102.24401982493</v>
      </c>
    </row>
    <row r="105" spans="2:10" x14ac:dyDescent="0.2">
      <c r="B105" s="179" t="s">
        <v>512</v>
      </c>
      <c r="C105" t="s">
        <v>27</v>
      </c>
      <c r="D105" s="183">
        <f>D104*J98</f>
        <v>7579.777331900229</v>
      </c>
    </row>
    <row r="106" spans="2:10" x14ac:dyDescent="0.2">
      <c r="B106" s="179" t="s">
        <v>44</v>
      </c>
      <c r="C106" t="s">
        <v>27</v>
      </c>
      <c r="D106" s="192">
        <f>D101+D103</f>
        <v>5840.4287581639783</v>
      </c>
    </row>
    <row r="107" spans="2:10" x14ac:dyDescent="0.2">
      <c r="B107" s="179" t="s">
        <v>46</v>
      </c>
      <c r="C107" t="s">
        <v>27</v>
      </c>
      <c r="D107" s="192">
        <f>D101+D105</f>
        <v>8829.0989118511861</v>
      </c>
    </row>
    <row r="108" spans="2:10" x14ac:dyDescent="0.2">
      <c r="B108" s="179" t="s">
        <v>513</v>
      </c>
      <c r="C108" t="s">
        <v>27</v>
      </c>
      <c r="D108" s="183">
        <f>'DCF &amp; Sensitivity'!$D$48</f>
        <v>-698</v>
      </c>
    </row>
    <row r="109" spans="2:10" x14ac:dyDescent="0.2">
      <c r="B109" s="179" t="s">
        <v>48</v>
      </c>
      <c r="C109" t="s">
        <v>27</v>
      </c>
      <c r="D109" s="183">
        <f>D106-D108</f>
        <v>6538.4287581639783</v>
      </c>
    </row>
    <row r="110" spans="2:10" x14ac:dyDescent="0.2">
      <c r="B110" s="179" t="s">
        <v>49</v>
      </c>
      <c r="C110" t="s">
        <v>27</v>
      </c>
      <c r="D110" s="183">
        <f>D107-D108</f>
        <v>9527.0989118511861</v>
      </c>
    </row>
    <row r="111" spans="2:10" x14ac:dyDescent="0.2">
      <c r="B111" s="180" t="s">
        <v>514</v>
      </c>
      <c r="C111" t="s">
        <v>53</v>
      </c>
      <c r="D111" s="181">
        <f>D109/'DCF &amp; Sensitivity'!$D$51</f>
        <v>179.13503447024598</v>
      </c>
    </row>
    <row r="112" spans="2:10" x14ac:dyDescent="0.2">
      <c r="B112" s="180" t="s">
        <v>515</v>
      </c>
      <c r="C112" t="s">
        <v>53</v>
      </c>
      <c r="D112" s="181">
        <f>D110/'DCF &amp; Sensitivity'!$D$51</f>
        <v>261.01640854386812</v>
      </c>
    </row>
  </sheetData>
  <mergeCells count="1">
    <mergeCell ref="B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499984740745262"/>
  </sheetPr>
  <dimension ref="B2:C25"/>
  <sheetViews>
    <sheetView showGridLines="0" workbookViewId="0"/>
  </sheetViews>
  <sheetFormatPr baseColWidth="10" defaultColWidth="8.83203125" defaultRowHeight="14" x14ac:dyDescent="0.2"/>
  <cols>
    <col min="1" max="1" width="4.1640625" style="27" customWidth="1"/>
    <col min="2" max="2" width="45" style="27" customWidth="1"/>
    <col min="3" max="3" width="65" style="27" customWidth="1"/>
    <col min="4" max="5" width="8.83203125" style="27" customWidth="1"/>
    <col min="6" max="16384" width="8.83203125" style="27"/>
  </cols>
  <sheetData>
    <row r="2" spans="2:3" ht="19" customHeight="1" x14ac:dyDescent="0.2">
      <c r="B2" s="82" t="s">
        <v>311</v>
      </c>
    </row>
    <row r="3" spans="2:3" x14ac:dyDescent="0.2">
      <c r="B3" s="99" t="s">
        <v>312</v>
      </c>
    </row>
    <row r="5" spans="2:3" ht="15" customHeight="1" thickBot="1" x14ac:dyDescent="0.25">
      <c r="B5" s="100" t="s">
        <v>313</v>
      </c>
    </row>
    <row r="6" spans="2:3" x14ac:dyDescent="0.2">
      <c r="B6" s="101" t="s">
        <v>314</v>
      </c>
      <c r="C6" s="101" t="s">
        <v>315</v>
      </c>
    </row>
    <row r="7" spans="2:3" x14ac:dyDescent="0.2">
      <c r="B7" s="81" t="s">
        <v>316</v>
      </c>
      <c r="C7" s="81" t="s">
        <v>317</v>
      </c>
    </row>
    <row r="8" spans="2:3" x14ac:dyDescent="0.2">
      <c r="B8" s="81" t="s">
        <v>318</v>
      </c>
      <c r="C8" s="81" t="s">
        <v>319</v>
      </c>
    </row>
    <row r="10" spans="2:3" ht="15" customHeight="1" thickBot="1" x14ac:dyDescent="0.25">
      <c r="B10" s="100" t="s">
        <v>320</v>
      </c>
    </row>
    <row r="11" spans="2:3" x14ac:dyDescent="0.2">
      <c r="B11" s="101" t="s">
        <v>76</v>
      </c>
      <c r="C11" s="101" t="s">
        <v>321</v>
      </c>
    </row>
    <row r="12" spans="2:3" x14ac:dyDescent="0.2">
      <c r="B12" s="81" t="s">
        <v>77</v>
      </c>
      <c r="C12" s="81" t="s">
        <v>322</v>
      </c>
    </row>
    <row r="13" spans="2:3" x14ac:dyDescent="0.2">
      <c r="B13" s="81" t="s">
        <v>78</v>
      </c>
      <c r="C13" s="81" t="s">
        <v>323</v>
      </c>
    </row>
    <row r="14" spans="2:3" x14ac:dyDescent="0.2">
      <c r="B14" s="81" t="s">
        <v>324</v>
      </c>
      <c r="C14" s="81" t="s">
        <v>325</v>
      </c>
    </row>
    <row r="15" spans="2:3" x14ac:dyDescent="0.2">
      <c r="B15" s="81" t="s">
        <v>326</v>
      </c>
      <c r="C15" s="81" t="s">
        <v>327</v>
      </c>
    </row>
    <row r="16" spans="2:3" x14ac:dyDescent="0.2">
      <c r="B16" s="81" t="s">
        <v>328</v>
      </c>
      <c r="C16" s="81" t="s">
        <v>329</v>
      </c>
    </row>
    <row r="17" spans="2:3" x14ac:dyDescent="0.2">
      <c r="B17" s="81" t="s">
        <v>330</v>
      </c>
      <c r="C17" s="81" t="s">
        <v>331</v>
      </c>
    </row>
    <row r="19" spans="2:3" ht="15" customHeight="1" thickBot="1" x14ac:dyDescent="0.25">
      <c r="B19" s="100" t="s">
        <v>332</v>
      </c>
    </row>
    <row r="20" spans="2:3" x14ac:dyDescent="0.2">
      <c r="B20" s="101" t="s">
        <v>333</v>
      </c>
      <c r="C20" s="101" t="s">
        <v>345</v>
      </c>
    </row>
    <row r="21" spans="2:3" x14ac:dyDescent="0.2">
      <c r="B21" s="81" t="s">
        <v>577</v>
      </c>
      <c r="C21" s="81" t="s">
        <v>578</v>
      </c>
    </row>
    <row r="22" spans="2:3" x14ac:dyDescent="0.2">
      <c r="B22" s="81" t="s">
        <v>334</v>
      </c>
      <c r="C22" s="81" t="s">
        <v>335</v>
      </c>
    </row>
    <row r="23" spans="2:3" x14ac:dyDescent="0.2">
      <c r="B23" s="81" t="s">
        <v>336</v>
      </c>
      <c r="C23" s="81" t="s">
        <v>337</v>
      </c>
    </row>
    <row r="24" spans="2:3" x14ac:dyDescent="0.2">
      <c r="B24" s="81" t="s">
        <v>338</v>
      </c>
      <c r="C24" s="81" t="s">
        <v>345</v>
      </c>
    </row>
    <row r="25" spans="2:3" x14ac:dyDescent="0.2">
      <c r="C25" s="27"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Cover Page</vt:lpstr>
      <vt:lpstr>Scenario Summary</vt:lpstr>
      <vt:lpstr>SWOT</vt:lpstr>
      <vt:lpstr>Valuation &gt;&gt;&gt;</vt:lpstr>
      <vt:lpstr>Assumptions</vt:lpstr>
      <vt:lpstr>Revenue Build</vt:lpstr>
      <vt:lpstr>Income Statement</vt:lpstr>
      <vt:lpstr>Balance Sheet</vt:lpstr>
      <vt:lpstr>Cash Flow</vt:lpstr>
      <vt:lpstr>DCF &amp; Sensitivity</vt:lpstr>
      <vt:lpstr>Comps</vt:lpstr>
      <vt:lpstr>Appendix &gt;&gt;&gt;</vt:lpstr>
      <vt:lpstr>Shadow DCF</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Arijay Mehta</cp:lastModifiedBy>
  <dcterms:created xsi:type="dcterms:W3CDTF">2026-04-13T20:34:49Z</dcterms:created>
  <dcterms:modified xsi:type="dcterms:W3CDTF">2026-04-20T03:10:13Z</dcterms:modified>
</cp:coreProperties>
</file>