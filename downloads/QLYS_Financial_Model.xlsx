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B59E863A-EBBD-C342-BBD6-BADCFA688CF7}" xr6:coauthVersionLast="47" xr6:coauthVersionMax="47" xr10:uidLastSave="{00000000-0000-0000-0000-000000000000}"/>
  <bookViews>
    <workbookView xWindow="0" yWindow="0" windowWidth="38400" windowHeight="21600"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Appendix &gt;&gt;&gt;" sheetId="14" r:id="rId12"/>
    <sheet name="Sources" sheetId="11" r:id="rId13"/>
    <sheet name="Shadow DCF" sheetId="13" r:id="rId14"/>
    <sheet name="FootballField Data" sheetId="17" state="hidden" r:id="rId1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0" l="1"/>
  <c r="F31" i="10"/>
  <c r="K64" i="3"/>
  <c r="J62" i="3"/>
  <c r="L62" i="3"/>
  <c r="D27" i="12"/>
  <c r="E27" i="12"/>
  <c r="H6" i="17"/>
  <c r="H7" i="17"/>
  <c r="F6" i="17"/>
  <c r="F7" i="17"/>
  <c r="F8" i="17"/>
  <c r="F9" i="17"/>
  <c r="B11" i="17"/>
  <c r="B6" i="17"/>
  <c r="D6" i="17"/>
  <c r="B7" i="17"/>
  <c r="D7" i="17"/>
  <c r="C7" i="17" s="1"/>
  <c r="B8" i="17"/>
  <c r="D8" i="17"/>
  <c r="C8" i="17" s="1"/>
  <c r="C9" i="17"/>
  <c r="G23" i="12"/>
  <c r="G20" i="12"/>
  <c r="G19" i="12"/>
  <c r="G18" i="12"/>
  <c r="G17" i="12"/>
  <c r="G16" i="12"/>
  <c r="G15" i="12"/>
  <c r="G12" i="12"/>
  <c r="G10" i="12"/>
  <c r="G9" i="12"/>
  <c r="G8" i="12"/>
  <c r="F32" i="12"/>
  <c r="E32" i="12"/>
  <c r="D32" i="12"/>
  <c r="F31" i="12"/>
  <c r="E31" i="12"/>
  <c r="D31" i="12"/>
  <c r="F23" i="12"/>
  <c r="E23" i="12"/>
  <c r="D23" i="12"/>
  <c r="F12" i="12"/>
  <c r="E12" i="12"/>
  <c r="D12" i="12"/>
  <c r="I10" i="10"/>
  <c r="E32" i="10" s="1"/>
  <c r="D25" i="10"/>
  <c r="K25" i="10"/>
  <c r="K26" i="10"/>
  <c r="P26" i="10"/>
  <c r="P25" i="10"/>
  <c r="Q22" i="10"/>
  <c r="Q20" i="10"/>
  <c r="Q18" i="10"/>
  <c r="Q17" i="10"/>
  <c r="Q16" i="10"/>
  <c r="Q15" i="10"/>
  <c r="Q14" i="10"/>
  <c r="P10" i="10"/>
  <c r="E34" i="10" s="1"/>
  <c r="O22" i="10"/>
  <c r="L22" i="10"/>
  <c r="G22" i="10"/>
  <c r="N22" i="10" s="1"/>
  <c r="O21" i="10"/>
  <c r="L21" i="10"/>
  <c r="G21" i="10"/>
  <c r="M21" i="10" s="1"/>
  <c r="O20" i="10"/>
  <c r="L20" i="10"/>
  <c r="G20" i="10"/>
  <c r="M20" i="10" s="1"/>
  <c r="O19" i="10"/>
  <c r="L19" i="10"/>
  <c r="G19" i="10"/>
  <c r="N19" i="10" s="1"/>
  <c r="O18" i="10"/>
  <c r="L18" i="10"/>
  <c r="G18" i="10"/>
  <c r="N18" i="10" s="1"/>
  <c r="O17" i="10"/>
  <c r="L17" i="10"/>
  <c r="G17" i="10"/>
  <c r="M17" i="10" s="1"/>
  <c r="O16" i="10"/>
  <c r="L16" i="10"/>
  <c r="G16" i="10"/>
  <c r="N16" i="10" s="1"/>
  <c r="O15" i="10"/>
  <c r="L15" i="10"/>
  <c r="G15" i="10"/>
  <c r="O14" i="10"/>
  <c r="L14" i="10"/>
  <c r="G14" i="10"/>
  <c r="M14" i="10" s="1"/>
  <c r="K10" i="10"/>
  <c r="J10" i="10"/>
  <c r="E33" i="10" s="1"/>
  <c r="H10" i="10"/>
  <c r="F10" i="10"/>
  <c r="D10" i="10"/>
  <c r="D26" i="10"/>
  <c r="J26" i="10"/>
  <c r="I26" i="10"/>
  <c r="H26" i="10"/>
  <c r="F26" i="10"/>
  <c r="E26" i="10"/>
  <c r="J25" i="10"/>
  <c r="I25" i="10"/>
  <c r="H25" i="10"/>
  <c r="F25" i="10"/>
  <c r="E25" i="10"/>
  <c r="I23" i="8"/>
  <c r="E51" i="5"/>
  <c r="F51" i="5"/>
  <c r="G51" i="5"/>
  <c r="H51" i="5"/>
  <c r="I51" i="5"/>
  <c r="J51" i="5"/>
  <c r="K51" i="5"/>
  <c r="L51" i="5"/>
  <c r="M51" i="5"/>
  <c r="D51" i="5"/>
  <c r="D47" i="5"/>
  <c r="E50" i="5"/>
  <c r="F50" i="5"/>
  <c r="G50" i="5"/>
  <c r="H50" i="5"/>
  <c r="I50" i="5"/>
  <c r="J50" i="5"/>
  <c r="K50" i="5"/>
  <c r="L50" i="5"/>
  <c r="M50" i="5"/>
  <c r="D50" i="5"/>
  <c r="D46" i="5"/>
  <c r="E43" i="4"/>
  <c r="D11" i="8"/>
  <c r="D72" i="3"/>
  <c r="D51" i="8"/>
  <c r="H40" i="7"/>
  <c r="G40" i="7"/>
  <c r="F40" i="7"/>
  <c r="E40" i="7"/>
  <c r="D40" i="7"/>
  <c r="H40" i="5"/>
  <c r="G40" i="5"/>
  <c r="F40" i="5"/>
  <c r="E40" i="5"/>
  <c r="D40" i="5"/>
  <c r="H63" i="3"/>
  <c r="G63" i="3"/>
  <c r="F63" i="3"/>
  <c r="E63" i="3"/>
  <c r="D63" i="3"/>
  <c r="H62" i="3"/>
  <c r="H65" i="3" s="1"/>
  <c r="G62" i="3"/>
  <c r="F62" i="3"/>
  <c r="F65" i="3" s="1"/>
  <c r="E62" i="3"/>
  <c r="E65" i="3" s="1"/>
  <c r="D62" i="3"/>
  <c r="M61" i="3"/>
  <c r="I61" i="3"/>
  <c r="L61" i="3" s="1"/>
  <c r="H61" i="3"/>
  <c r="G61" i="3"/>
  <c r="F61" i="3"/>
  <c r="E61" i="3"/>
  <c r="D61" i="3"/>
  <c r="I60" i="3"/>
  <c r="J60" i="3" s="1"/>
  <c r="K60" i="3" s="1"/>
  <c r="L60" i="3" s="1"/>
  <c r="M60" i="3" s="1"/>
  <c r="E11" i="12"/>
  <c r="F11" i="12"/>
  <c r="D11" i="12"/>
  <c r="D13" i="8"/>
  <c r="H13" i="6"/>
  <c r="G13" i="6"/>
  <c r="F13" i="6"/>
  <c r="E13" i="6"/>
  <c r="I10" i="6"/>
  <c r="J10" i="6" s="1"/>
  <c r="K10" i="6" s="1"/>
  <c r="L10" i="6" s="1"/>
  <c r="M10" i="6" s="1"/>
  <c r="C24" i="16"/>
  <c r="C22" i="16"/>
  <c r="C14" i="16"/>
  <c r="H57" i="3"/>
  <c r="G57" i="3"/>
  <c r="F57" i="3"/>
  <c r="E57" i="3"/>
  <c r="D108" i="13"/>
  <c r="J86" i="13"/>
  <c r="I86" i="13"/>
  <c r="H86" i="13"/>
  <c r="G86" i="13"/>
  <c r="F86" i="13"/>
  <c r="J85" i="13"/>
  <c r="I85" i="13"/>
  <c r="H85" i="13"/>
  <c r="G85" i="13"/>
  <c r="F85" i="13"/>
  <c r="J84" i="13"/>
  <c r="I84" i="13"/>
  <c r="H84" i="13"/>
  <c r="G84" i="13"/>
  <c r="F84" i="13"/>
  <c r="J83" i="13"/>
  <c r="I83" i="13"/>
  <c r="H83" i="13"/>
  <c r="G83" i="13"/>
  <c r="F83" i="13"/>
  <c r="F81" i="13"/>
  <c r="F93" i="13" s="1"/>
  <c r="D72" i="13"/>
  <c r="J50" i="13"/>
  <c r="I50" i="13"/>
  <c r="H50" i="13"/>
  <c r="G50" i="13"/>
  <c r="F50" i="13"/>
  <c r="J49" i="13"/>
  <c r="I49" i="13"/>
  <c r="H49" i="13"/>
  <c r="G49" i="13"/>
  <c r="F49" i="13"/>
  <c r="J48" i="13"/>
  <c r="I48" i="13"/>
  <c r="H48" i="13"/>
  <c r="G48" i="13"/>
  <c r="F48" i="13"/>
  <c r="J47" i="13"/>
  <c r="I47" i="13"/>
  <c r="H47" i="13"/>
  <c r="G47" i="13"/>
  <c r="F47" i="13"/>
  <c r="F45" i="13"/>
  <c r="D36" i="13"/>
  <c r="F9" i="13"/>
  <c r="F10" i="13" s="1"/>
  <c r="J14" i="13"/>
  <c r="I14" i="13"/>
  <c r="H14" i="13"/>
  <c r="G14" i="13"/>
  <c r="F14" i="13"/>
  <c r="J13" i="13"/>
  <c r="I13" i="13"/>
  <c r="H13" i="13"/>
  <c r="G13" i="13"/>
  <c r="F13" i="13"/>
  <c r="J12" i="13"/>
  <c r="I12" i="13"/>
  <c r="H12" i="13"/>
  <c r="G12" i="13"/>
  <c r="F12" i="13"/>
  <c r="J11" i="13"/>
  <c r="I11" i="13"/>
  <c r="H11" i="13"/>
  <c r="G11" i="13"/>
  <c r="F11" i="13"/>
  <c r="F21" i="12"/>
  <c r="E21" i="12"/>
  <c r="D21" i="12"/>
  <c r="F20" i="12"/>
  <c r="E20" i="12"/>
  <c r="D20" i="12"/>
  <c r="F19" i="12"/>
  <c r="E19" i="12"/>
  <c r="D19" i="12"/>
  <c r="F18" i="12"/>
  <c r="E18" i="12"/>
  <c r="D18" i="12"/>
  <c r="F15" i="12"/>
  <c r="E15" i="12"/>
  <c r="D15" i="12"/>
  <c r="F22" i="12"/>
  <c r="E22" i="12"/>
  <c r="D22" i="12"/>
  <c r="F17" i="12"/>
  <c r="E17" i="12"/>
  <c r="D17" i="12"/>
  <c r="F16" i="12"/>
  <c r="E16" i="12"/>
  <c r="D16" i="12"/>
  <c r="M45" i="3"/>
  <c r="D77" i="3"/>
  <c r="C21" i="16" s="1"/>
  <c r="D76" i="3"/>
  <c r="I20" i="4"/>
  <c r="L45" i="3"/>
  <c r="K45" i="3"/>
  <c r="J45" i="3"/>
  <c r="I45" i="3"/>
  <c r="J44" i="3"/>
  <c r="M44" i="3"/>
  <c r="L44" i="3"/>
  <c r="K44" i="3"/>
  <c r="I44" i="3"/>
  <c r="M43" i="3"/>
  <c r="L43" i="3"/>
  <c r="K43" i="3"/>
  <c r="J43" i="3"/>
  <c r="I43" i="3"/>
  <c r="H37" i="7"/>
  <c r="G37" i="7"/>
  <c r="F37" i="7"/>
  <c r="E37" i="7"/>
  <c r="D37" i="7"/>
  <c r="H36" i="7"/>
  <c r="H38" i="7" s="1"/>
  <c r="G36" i="7"/>
  <c r="F36" i="7"/>
  <c r="E36" i="7"/>
  <c r="D36" i="7"/>
  <c r="H28" i="7"/>
  <c r="H31" i="7" s="1"/>
  <c r="H33" i="7" s="1"/>
  <c r="G28" i="7"/>
  <c r="G31" i="7" s="1"/>
  <c r="G33" i="7" s="1"/>
  <c r="G45" i="6" s="1"/>
  <c r="F28" i="7"/>
  <c r="F31" i="7" s="1"/>
  <c r="F33" i="7" s="1"/>
  <c r="F45" i="6" s="1"/>
  <c r="E28" i="7"/>
  <c r="E31" i="7" s="1"/>
  <c r="E33" i="7" s="1"/>
  <c r="E45" i="6" s="1"/>
  <c r="D28" i="7"/>
  <c r="D31" i="7" s="1"/>
  <c r="D33" i="7" s="1"/>
  <c r="H20" i="7"/>
  <c r="G20" i="7"/>
  <c r="F20" i="7"/>
  <c r="E20" i="7"/>
  <c r="D20" i="7"/>
  <c r="H11" i="7"/>
  <c r="G11" i="7"/>
  <c r="F11" i="7"/>
  <c r="E11" i="7"/>
  <c r="D11" i="7"/>
  <c r="H10" i="7"/>
  <c r="G10" i="7"/>
  <c r="F10" i="7"/>
  <c r="E10" i="7"/>
  <c r="D10" i="7"/>
  <c r="H42" i="6"/>
  <c r="H44" i="6" s="1"/>
  <c r="G42" i="6"/>
  <c r="G44" i="6" s="1"/>
  <c r="F42" i="6"/>
  <c r="F44" i="6" s="1"/>
  <c r="E42" i="6"/>
  <c r="E44" i="6" s="1"/>
  <c r="M35" i="5"/>
  <c r="L35" i="5"/>
  <c r="K35" i="5"/>
  <c r="J35" i="5"/>
  <c r="I35" i="5"/>
  <c r="H35" i="5"/>
  <c r="G35" i="5"/>
  <c r="F35" i="5"/>
  <c r="E35" i="5"/>
  <c r="D35" i="5"/>
  <c r="H24" i="5"/>
  <c r="G24" i="5"/>
  <c r="F24" i="5"/>
  <c r="E24" i="5"/>
  <c r="D24" i="5"/>
  <c r="H43" i="4"/>
  <c r="G43" i="4"/>
  <c r="F43" i="4"/>
  <c r="D43" i="4"/>
  <c r="D30" i="3" s="1"/>
  <c r="H39" i="4"/>
  <c r="G39" i="4"/>
  <c r="F39" i="4"/>
  <c r="E39" i="4"/>
  <c r="M38" i="4"/>
  <c r="L38" i="4"/>
  <c r="K38" i="4"/>
  <c r="J38" i="4"/>
  <c r="I38" i="4"/>
  <c r="H38" i="4"/>
  <c r="G38" i="4"/>
  <c r="F38" i="4"/>
  <c r="E38" i="4"/>
  <c r="H33" i="4"/>
  <c r="G33" i="4"/>
  <c r="F33" i="4"/>
  <c r="E33" i="4"/>
  <c r="M27" i="4"/>
  <c r="L27" i="4"/>
  <c r="K27" i="4"/>
  <c r="J27" i="4"/>
  <c r="I27" i="4"/>
  <c r="M26" i="4"/>
  <c r="L26" i="4"/>
  <c r="K26" i="4"/>
  <c r="J26" i="4"/>
  <c r="I26" i="4"/>
  <c r="H22" i="4"/>
  <c r="H23" i="4" s="1"/>
  <c r="G22" i="4"/>
  <c r="G27" i="4" s="1"/>
  <c r="F22" i="4"/>
  <c r="F27" i="4" s="1"/>
  <c r="E22" i="4"/>
  <c r="M21" i="4"/>
  <c r="M28" i="3" s="1"/>
  <c r="L21" i="4"/>
  <c r="L28" i="3" s="1"/>
  <c r="K21" i="4"/>
  <c r="K28" i="3" s="1"/>
  <c r="J21" i="4"/>
  <c r="J28" i="3" s="1"/>
  <c r="I21" i="4"/>
  <c r="M40" i="3"/>
  <c r="L40" i="3"/>
  <c r="K40" i="3"/>
  <c r="J40" i="3"/>
  <c r="I40" i="3"/>
  <c r="H40" i="3"/>
  <c r="G40" i="3"/>
  <c r="F40" i="3"/>
  <c r="E40" i="3"/>
  <c r="D40" i="3"/>
  <c r="M34" i="3"/>
  <c r="L34" i="3"/>
  <c r="K34" i="3"/>
  <c r="J34" i="3"/>
  <c r="I34" i="3"/>
  <c r="H34" i="3"/>
  <c r="G34" i="3"/>
  <c r="F34" i="3"/>
  <c r="E34" i="3"/>
  <c r="D34" i="3"/>
  <c r="H30" i="3"/>
  <c r="G30" i="3"/>
  <c r="F30" i="3"/>
  <c r="M29" i="3"/>
  <c r="L29" i="3"/>
  <c r="K29" i="3"/>
  <c r="J29" i="3"/>
  <c r="I29" i="3"/>
  <c r="H29" i="3"/>
  <c r="G29" i="3"/>
  <c r="F29" i="3"/>
  <c r="E29" i="3"/>
  <c r="D29" i="3"/>
  <c r="H28" i="3"/>
  <c r="G28" i="3"/>
  <c r="F28" i="3"/>
  <c r="E28" i="3"/>
  <c r="H26" i="3"/>
  <c r="G26" i="3"/>
  <c r="F26" i="3"/>
  <c r="E26" i="3"/>
  <c r="D26" i="3"/>
  <c r="D37" i="8"/>
  <c r="D18" i="8"/>
  <c r="D19" i="8" s="1"/>
  <c r="D16" i="8"/>
  <c r="D15" i="8"/>
  <c r="D12" i="8"/>
  <c r="C6" i="17" l="1"/>
  <c r="L26" i="10"/>
  <c r="N21" i="10"/>
  <c r="Q26" i="10"/>
  <c r="N14" i="10"/>
  <c r="O26" i="10"/>
  <c r="Q25" i="10"/>
  <c r="D34" i="10" s="1"/>
  <c r="H34" i="10" s="1"/>
  <c r="I34" i="10" s="1"/>
  <c r="G26" i="10"/>
  <c r="O10" i="10"/>
  <c r="E10" i="10"/>
  <c r="M19" i="10"/>
  <c r="G25" i="10"/>
  <c r="M22" i="10"/>
  <c r="N20" i="10"/>
  <c r="N17" i="10"/>
  <c r="N15" i="10"/>
  <c r="O25" i="10"/>
  <c r="D33" i="10" s="1"/>
  <c r="H33" i="10" s="1"/>
  <c r="I33" i="10" s="1"/>
  <c r="M18" i="10"/>
  <c r="M15" i="10"/>
  <c r="L25" i="10"/>
  <c r="M16" i="10"/>
  <c r="L10" i="10"/>
  <c r="H27" i="4"/>
  <c r="E44" i="4"/>
  <c r="H44" i="4"/>
  <c r="E30" i="3"/>
  <c r="F44" i="4"/>
  <c r="G44" i="4"/>
  <c r="G65" i="3"/>
  <c r="J61" i="3"/>
  <c r="K61" i="3"/>
  <c r="D65" i="3"/>
  <c r="D14" i="8"/>
  <c r="D75" i="3"/>
  <c r="J26" i="13" s="1"/>
  <c r="G38" i="7"/>
  <c r="D38" i="7"/>
  <c r="E38" i="7"/>
  <c r="F38" i="7"/>
  <c r="F42" i="7" s="1"/>
  <c r="D17" i="8"/>
  <c r="G87" i="13"/>
  <c r="D28" i="12"/>
  <c r="I87" i="13"/>
  <c r="H87" i="13"/>
  <c r="J87" i="13"/>
  <c r="H15" i="13"/>
  <c r="I15" i="13"/>
  <c r="J15" i="13"/>
  <c r="J51" i="13"/>
  <c r="I51" i="13"/>
  <c r="G15" i="13"/>
  <c r="D30" i="8"/>
  <c r="C20" i="16"/>
  <c r="I32" i="7"/>
  <c r="H45" i="6"/>
  <c r="C25" i="16"/>
  <c r="I28" i="3"/>
  <c r="I22" i="4"/>
  <c r="I34" i="4" s="1"/>
  <c r="F28" i="12"/>
  <c r="G51" i="13"/>
  <c r="F87" i="13"/>
  <c r="F88" i="13" s="1"/>
  <c r="H51" i="13"/>
  <c r="F51" i="13"/>
  <c r="F52" i="13" s="1"/>
  <c r="F94" i="13"/>
  <c r="G81" i="13"/>
  <c r="F82" i="13"/>
  <c r="F89" i="13"/>
  <c r="F92" i="13" s="1"/>
  <c r="F53" i="13"/>
  <c r="F56" i="13" s="1"/>
  <c r="F46" i="13"/>
  <c r="G45" i="13"/>
  <c r="F58" i="13"/>
  <c r="F57" i="13"/>
  <c r="G9" i="13"/>
  <c r="G10" i="13" s="1"/>
  <c r="F17" i="13"/>
  <c r="F20" i="13" s="1"/>
  <c r="F21" i="13"/>
  <c r="F22" i="13"/>
  <c r="E28" i="12"/>
  <c r="F15" i="13"/>
  <c r="F16" i="13" s="1"/>
  <c r="I47" i="3"/>
  <c r="J47" i="3"/>
  <c r="L47" i="3"/>
  <c r="M47" i="3"/>
  <c r="K47" i="3"/>
  <c r="H42" i="7"/>
  <c r="G42" i="7"/>
  <c r="E42" i="7"/>
  <c r="D42" i="7"/>
  <c r="H40" i="4"/>
  <c r="H41" i="4" s="1"/>
  <c r="G40" i="4"/>
  <c r="G41" i="4" s="1"/>
  <c r="F40" i="4"/>
  <c r="F41" i="4" s="1"/>
  <c r="E40" i="4"/>
  <c r="E41" i="4" s="1"/>
  <c r="M39" i="4"/>
  <c r="M40" i="4" s="1"/>
  <c r="M41" i="4" s="1"/>
  <c r="M28" i="4"/>
  <c r="L28" i="4"/>
  <c r="L39" i="4"/>
  <c r="L40" i="4" s="1"/>
  <c r="L41" i="4" s="1"/>
  <c r="K28" i="4"/>
  <c r="K39" i="4"/>
  <c r="K40" i="4" s="1"/>
  <c r="K41" i="4" s="1"/>
  <c r="J28" i="4"/>
  <c r="J39" i="4"/>
  <c r="J40" i="4" s="1"/>
  <c r="J41" i="4" s="1"/>
  <c r="I28" i="4"/>
  <c r="I39" i="4"/>
  <c r="I40" i="4" s="1"/>
  <c r="I41" i="4" s="1"/>
  <c r="H34" i="4"/>
  <c r="H28" i="4"/>
  <c r="G34" i="4"/>
  <c r="G23" i="4"/>
  <c r="G28" i="4"/>
  <c r="F34" i="4"/>
  <c r="F23" i="4"/>
  <c r="F28" i="4"/>
  <c r="E28" i="4"/>
  <c r="E34" i="4"/>
  <c r="E27" i="4"/>
  <c r="E23" i="4"/>
  <c r="H9" i="5"/>
  <c r="H39" i="7" s="1"/>
  <c r="H27" i="3"/>
  <c r="H35" i="3"/>
  <c r="H36" i="3"/>
  <c r="G35" i="3"/>
  <c r="G9" i="5"/>
  <c r="G39" i="7" s="1"/>
  <c r="G36" i="3"/>
  <c r="G27" i="3"/>
  <c r="F36" i="3"/>
  <c r="F9" i="5"/>
  <c r="F39" i="7" s="1"/>
  <c r="F27" i="3"/>
  <c r="F35" i="3"/>
  <c r="E9" i="5"/>
  <c r="E39" i="7" s="1"/>
  <c r="E35" i="3"/>
  <c r="E36" i="3"/>
  <c r="E27" i="3"/>
  <c r="D9" i="5"/>
  <c r="D39" i="7" s="1"/>
  <c r="D36" i="3"/>
  <c r="D35" i="3"/>
  <c r="N25" i="10" l="1"/>
  <c r="D32" i="10" s="1"/>
  <c r="F32" i="10" s="1"/>
  <c r="G32" i="10" s="1"/>
  <c r="H32" i="10" s="1"/>
  <c r="I32" i="10" s="1"/>
  <c r="G10" i="10"/>
  <c r="N10" i="10" s="1"/>
  <c r="M25" i="10"/>
  <c r="D31" i="10" s="1"/>
  <c r="G31" i="10" s="1"/>
  <c r="H31" i="10" s="1"/>
  <c r="I31" i="10" s="1"/>
  <c r="Q10" i="10"/>
  <c r="N26" i="10"/>
  <c r="M26" i="10"/>
  <c r="G98" i="13"/>
  <c r="F98" i="13"/>
  <c r="G62" i="13"/>
  <c r="J98" i="13"/>
  <c r="H98" i="13"/>
  <c r="I98" i="13"/>
  <c r="J62" i="13"/>
  <c r="D20" i="8"/>
  <c r="J25" i="8" s="1"/>
  <c r="I62" i="13"/>
  <c r="F62" i="13"/>
  <c r="H62" i="13"/>
  <c r="C19" i="16"/>
  <c r="F26" i="13"/>
  <c r="G26" i="13"/>
  <c r="H26" i="13"/>
  <c r="I26" i="13"/>
  <c r="I32" i="4"/>
  <c r="I29" i="4" s="1"/>
  <c r="H81" i="13"/>
  <c r="G82" i="13"/>
  <c r="G88" i="13"/>
  <c r="G89" i="13"/>
  <c r="G92" i="13" s="1"/>
  <c r="G93" i="13"/>
  <c r="G94" i="13"/>
  <c r="F90" i="13"/>
  <c r="F91" i="13"/>
  <c r="F95" i="13" s="1"/>
  <c r="F54" i="13"/>
  <c r="F55" i="13"/>
  <c r="F59" i="13" s="1"/>
  <c r="F19" i="13"/>
  <c r="F23" i="13" s="1"/>
  <c r="F18" i="13"/>
  <c r="G16" i="13"/>
  <c r="G17" i="13"/>
  <c r="G20" i="13" s="1"/>
  <c r="G22" i="13"/>
  <c r="H9" i="13"/>
  <c r="H10" i="13" s="1"/>
  <c r="G21" i="13"/>
  <c r="G58" i="13"/>
  <c r="G57" i="13"/>
  <c r="G46" i="13"/>
  <c r="G52" i="13"/>
  <c r="G53" i="13"/>
  <c r="G56" i="13" s="1"/>
  <c r="H45" i="13"/>
  <c r="I35" i="4"/>
  <c r="H29" i="4"/>
  <c r="H35" i="4"/>
  <c r="G29" i="4"/>
  <c r="G35" i="4"/>
  <c r="F29" i="4"/>
  <c r="F35" i="4"/>
  <c r="E29" i="4"/>
  <c r="E35" i="4"/>
  <c r="H25" i="5"/>
  <c r="H52" i="3"/>
  <c r="H54" i="3"/>
  <c r="H49" i="5"/>
  <c r="H55" i="3"/>
  <c r="H53" i="3"/>
  <c r="H56" i="3"/>
  <c r="H10" i="5"/>
  <c r="H14" i="5"/>
  <c r="H19" i="5"/>
  <c r="H44" i="3" s="1"/>
  <c r="H21" i="5"/>
  <c r="H45" i="3" s="1"/>
  <c r="H23" i="5"/>
  <c r="H46" i="3" s="1"/>
  <c r="G25" i="5"/>
  <c r="G49" i="5"/>
  <c r="G55" i="3"/>
  <c r="G54" i="3"/>
  <c r="G10" i="5"/>
  <c r="G14" i="5"/>
  <c r="G19" i="5"/>
  <c r="G44" i="3" s="1"/>
  <c r="G21" i="5"/>
  <c r="G45" i="3" s="1"/>
  <c r="G23" i="5"/>
  <c r="G46" i="3" s="1"/>
  <c r="G52" i="3"/>
  <c r="G53" i="3"/>
  <c r="G56" i="3"/>
  <c r="F10" i="5"/>
  <c r="F14" i="5"/>
  <c r="F19" i="5"/>
  <c r="F44" i="3" s="1"/>
  <c r="F21" i="5"/>
  <c r="F45" i="3" s="1"/>
  <c r="F23" i="5"/>
  <c r="F46" i="3" s="1"/>
  <c r="F25" i="5"/>
  <c r="F55" i="3"/>
  <c r="F49" i="5"/>
  <c r="F52" i="3"/>
  <c r="F53" i="3"/>
  <c r="F54" i="3"/>
  <c r="F56" i="3"/>
  <c r="E25" i="5"/>
  <c r="E52" i="3"/>
  <c r="E54" i="3"/>
  <c r="E49" i="5"/>
  <c r="E55" i="3"/>
  <c r="E53" i="3"/>
  <c r="E56" i="3"/>
  <c r="E10" i="5"/>
  <c r="E14" i="5"/>
  <c r="E19" i="5"/>
  <c r="E44" i="3" s="1"/>
  <c r="E21" i="5"/>
  <c r="E45" i="3" s="1"/>
  <c r="E23" i="5"/>
  <c r="E46" i="3" s="1"/>
  <c r="D25" i="5"/>
  <c r="D49" i="5"/>
  <c r="D54" i="3"/>
  <c r="D55" i="3"/>
  <c r="D14" i="5"/>
  <c r="D19" i="5"/>
  <c r="D44" i="3" s="1"/>
  <c r="D21" i="5"/>
  <c r="D45" i="3" s="1"/>
  <c r="D23" i="5"/>
  <c r="D46" i="3" s="1"/>
  <c r="D56" i="3"/>
  <c r="H43" i="7"/>
  <c r="G43" i="7"/>
  <c r="F43" i="7"/>
  <c r="E43" i="7"/>
  <c r="D43" i="7"/>
  <c r="F99" i="13" l="1"/>
  <c r="M10" i="10"/>
  <c r="F63" i="13"/>
  <c r="K25" i="8"/>
  <c r="I25" i="8"/>
  <c r="L25" i="8"/>
  <c r="F27" i="13"/>
  <c r="M25" i="8"/>
  <c r="G55" i="13"/>
  <c r="G59" i="13" s="1"/>
  <c r="G63" i="13" s="1"/>
  <c r="G54" i="13"/>
  <c r="I23" i="4"/>
  <c r="J35" i="4"/>
  <c r="I26" i="3"/>
  <c r="I33" i="4"/>
  <c r="J20" i="4"/>
  <c r="J22" i="4" s="1"/>
  <c r="I43" i="4"/>
  <c r="H52" i="13"/>
  <c r="H53" i="13"/>
  <c r="H56" i="13" s="1"/>
  <c r="I81" i="13"/>
  <c r="H82" i="13"/>
  <c r="H88" i="13"/>
  <c r="H89" i="13"/>
  <c r="H92" i="13" s="1"/>
  <c r="H93" i="13"/>
  <c r="H94" i="13"/>
  <c r="G90" i="13"/>
  <c r="G91" i="13"/>
  <c r="G95" i="13" s="1"/>
  <c r="G99" i="13" s="1"/>
  <c r="G18" i="13"/>
  <c r="G19" i="13"/>
  <c r="G23" i="13" s="1"/>
  <c r="G27" i="13" s="1"/>
  <c r="I9" i="13"/>
  <c r="I10" i="13" s="1"/>
  <c r="H16" i="13"/>
  <c r="H21" i="13"/>
  <c r="H17" i="13"/>
  <c r="H20" i="13" s="1"/>
  <c r="H22" i="13"/>
  <c r="H46" i="13"/>
  <c r="I45" i="13"/>
  <c r="H57" i="13"/>
  <c r="H58" i="13"/>
  <c r="H15" i="5"/>
  <c r="H43" i="3" s="1"/>
  <c r="H47" i="3" s="1"/>
  <c r="H27" i="5"/>
  <c r="G15" i="5"/>
  <c r="G43" i="3" s="1"/>
  <c r="G47" i="3" s="1"/>
  <c r="G27" i="5"/>
  <c r="F15" i="5"/>
  <c r="F43" i="3" s="1"/>
  <c r="F47" i="3" s="1"/>
  <c r="F27" i="5"/>
  <c r="E15" i="5"/>
  <c r="E43" i="3" s="1"/>
  <c r="E47" i="3" s="1"/>
  <c r="E27" i="5"/>
  <c r="D15" i="5"/>
  <c r="D43" i="3" s="1"/>
  <c r="D47" i="3" s="1"/>
  <c r="D27" i="5"/>
  <c r="I27" i="3" l="1"/>
  <c r="I36" i="3"/>
  <c r="I9" i="5"/>
  <c r="I18" i="5" s="1"/>
  <c r="I35" i="3"/>
  <c r="J32" i="4"/>
  <c r="J34" i="4"/>
  <c r="I44" i="4"/>
  <c r="I30" i="3"/>
  <c r="H54" i="13"/>
  <c r="H55" i="13"/>
  <c r="H59" i="13" s="1"/>
  <c r="H63" i="13" s="1"/>
  <c r="I58" i="13"/>
  <c r="I57" i="13"/>
  <c r="I52" i="13"/>
  <c r="I55" i="13" s="1"/>
  <c r="J81" i="13"/>
  <c r="I82" i="13"/>
  <c r="I88" i="13"/>
  <c r="I89" i="13"/>
  <c r="I92" i="13" s="1"/>
  <c r="I93" i="13"/>
  <c r="I94" i="13"/>
  <c r="H90" i="13"/>
  <c r="H91" i="13"/>
  <c r="H95" i="13" s="1"/>
  <c r="H99" i="13" s="1"/>
  <c r="J9" i="13"/>
  <c r="I16" i="13"/>
  <c r="I21" i="13"/>
  <c r="I17" i="13"/>
  <c r="I20" i="13" s="1"/>
  <c r="I22" i="13"/>
  <c r="H18" i="13"/>
  <c r="H19" i="13"/>
  <c r="H23" i="13" s="1"/>
  <c r="H27" i="13" s="1"/>
  <c r="I53" i="13"/>
  <c r="J45" i="13"/>
  <c r="I46" i="13"/>
  <c r="I10" i="5"/>
  <c r="H28" i="5"/>
  <c r="H49" i="3" s="1"/>
  <c r="H33" i="5"/>
  <c r="H46" i="5"/>
  <c r="G28" i="5"/>
  <c r="G49" i="3" s="1"/>
  <c r="G33" i="5"/>
  <c r="G46" i="5"/>
  <c r="G47" i="5" s="1"/>
  <c r="F28" i="5"/>
  <c r="F49" i="3" s="1"/>
  <c r="F33" i="5"/>
  <c r="F46" i="5"/>
  <c r="F47" i="5" s="1"/>
  <c r="E28" i="5"/>
  <c r="E49" i="3" s="1"/>
  <c r="E33" i="5"/>
  <c r="E46" i="5"/>
  <c r="E47" i="5" s="1"/>
  <c r="D28" i="5"/>
  <c r="D49" i="3" s="1"/>
  <c r="D33" i="5"/>
  <c r="I13" i="5" l="1"/>
  <c r="I14" i="5" s="1"/>
  <c r="I15" i="5" s="1"/>
  <c r="I25" i="6"/>
  <c r="I14" i="7"/>
  <c r="I24" i="6" s="1"/>
  <c r="I30" i="6"/>
  <c r="I20" i="5"/>
  <c r="I21" i="5" s="1"/>
  <c r="I22" i="5"/>
  <c r="I23" i="5" s="1"/>
  <c r="I45" i="5"/>
  <c r="I10" i="7" s="1"/>
  <c r="I48" i="5"/>
  <c r="I37" i="6" s="1"/>
  <c r="I11" i="6"/>
  <c r="I12" i="7" s="1"/>
  <c r="I18" i="7"/>
  <c r="I37" i="7" s="1"/>
  <c r="J23" i="4"/>
  <c r="J29" i="4"/>
  <c r="K35" i="4"/>
  <c r="J43" i="4"/>
  <c r="J26" i="3"/>
  <c r="J33" i="4"/>
  <c r="K20" i="4"/>
  <c r="K22" i="4" s="1"/>
  <c r="I56" i="13"/>
  <c r="I59" i="13" s="1"/>
  <c r="I63" i="13" s="1"/>
  <c r="I54" i="13"/>
  <c r="E26" i="12"/>
  <c r="J52" i="13"/>
  <c r="J57" i="13"/>
  <c r="J46" i="13"/>
  <c r="J58" i="13"/>
  <c r="J53" i="13"/>
  <c r="J56" i="13" s="1"/>
  <c r="J82" i="13"/>
  <c r="J88" i="13"/>
  <c r="J89" i="13"/>
  <c r="J92" i="13" s="1"/>
  <c r="J93" i="13"/>
  <c r="J94" i="13"/>
  <c r="F26" i="12"/>
  <c r="F27" i="12" s="1"/>
  <c r="I90" i="13"/>
  <c r="I91" i="13"/>
  <c r="I95" i="13" s="1"/>
  <c r="I99" i="13" s="1"/>
  <c r="J10" i="13"/>
  <c r="J21" i="13"/>
  <c r="J17" i="13"/>
  <c r="J20" i="13" s="1"/>
  <c r="J16" i="13"/>
  <c r="J22" i="13"/>
  <c r="D26" i="12"/>
  <c r="I18" i="13"/>
  <c r="I19" i="13"/>
  <c r="I23" i="13" s="1"/>
  <c r="I27" i="13" s="1"/>
  <c r="H47" i="5"/>
  <c r="I19" i="5"/>
  <c r="H34" i="5"/>
  <c r="H36" i="5" s="1"/>
  <c r="G34" i="5"/>
  <c r="G36" i="5" s="1"/>
  <c r="F34" i="5"/>
  <c r="F36" i="5" s="1"/>
  <c r="E34" i="5"/>
  <c r="E36" i="5" s="1"/>
  <c r="E41" i="5" s="1"/>
  <c r="D34" i="5"/>
  <c r="D36" i="5" s="1"/>
  <c r="I13" i="7" l="1"/>
  <c r="I27" i="6"/>
  <c r="I34" i="6" s="1"/>
  <c r="I16" i="6"/>
  <c r="I49" i="5"/>
  <c r="I11" i="7"/>
  <c r="I24" i="5"/>
  <c r="I25" i="5" s="1"/>
  <c r="K34" i="4"/>
  <c r="K32" i="4"/>
  <c r="K23" i="4" s="1"/>
  <c r="J44" i="4"/>
  <c r="J30" i="3"/>
  <c r="J35" i="3"/>
  <c r="J27" i="3"/>
  <c r="J36" i="3"/>
  <c r="J9" i="5"/>
  <c r="J18" i="7" s="1"/>
  <c r="J54" i="13"/>
  <c r="J55" i="13"/>
  <c r="J59" i="13" s="1"/>
  <c r="J90" i="13"/>
  <c r="J91" i="13"/>
  <c r="J95" i="13" s="1"/>
  <c r="J18" i="13"/>
  <c r="J19" i="13"/>
  <c r="J23" i="13" s="1"/>
  <c r="H37" i="5"/>
  <c r="H41" i="5"/>
  <c r="H9" i="7"/>
  <c r="H14" i="7" s="1"/>
  <c r="G37" i="5"/>
  <c r="G41" i="5"/>
  <c r="G9" i="7"/>
  <c r="G14" i="7" s="1"/>
  <c r="F37" i="5"/>
  <c r="F41" i="5"/>
  <c r="F9" i="7"/>
  <c r="F14" i="7" s="1"/>
  <c r="E37" i="5"/>
  <c r="E9" i="7"/>
  <c r="E14" i="7" s="1"/>
  <c r="D37" i="5"/>
  <c r="D41" i="5"/>
  <c r="D9" i="7"/>
  <c r="D14" i="7" s="1"/>
  <c r="K43" i="4" l="1"/>
  <c r="K30" i="3" s="1"/>
  <c r="I27" i="5"/>
  <c r="I28" i="5" s="1"/>
  <c r="I49" i="3" s="1"/>
  <c r="L20" i="4"/>
  <c r="L22" i="4" s="1"/>
  <c r="L32" i="4" s="1"/>
  <c r="L23" i="4" s="1"/>
  <c r="K26" i="3"/>
  <c r="K9" i="5" s="1"/>
  <c r="K33" i="4"/>
  <c r="L35" i="4"/>
  <c r="K29" i="4"/>
  <c r="J48" i="5"/>
  <c r="J37" i="6" s="1"/>
  <c r="J45" i="5"/>
  <c r="J10" i="7" s="1"/>
  <c r="J30" i="6"/>
  <c r="J22" i="5"/>
  <c r="J23" i="5" s="1"/>
  <c r="J20" i="5"/>
  <c r="J21" i="5" s="1"/>
  <c r="J18" i="5"/>
  <c r="J19" i="5" s="1"/>
  <c r="J13" i="5"/>
  <c r="J14" i="5" s="1"/>
  <c r="J15" i="5" s="1"/>
  <c r="J25" i="6"/>
  <c r="J10" i="5"/>
  <c r="J14" i="7"/>
  <c r="J24" i="6" s="1"/>
  <c r="J11" i="6"/>
  <c r="J12" i="7" s="1"/>
  <c r="D68" i="13"/>
  <c r="D69" i="13" s="1"/>
  <c r="E29" i="12"/>
  <c r="E30" i="12"/>
  <c r="D66" i="13"/>
  <c r="D67" i="13" s="1"/>
  <c r="J63" i="13"/>
  <c r="D65" i="13" s="1"/>
  <c r="D104" i="13"/>
  <c r="D105" i="13" s="1"/>
  <c r="F29" i="12"/>
  <c r="J99" i="13"/>
  <c r="D101" i="13" s="1"/>
  <c r="D102" i="13"/>
  <c r="D103" i="13" s="1"/>
  <c r="F30" i="12"/>
  <c r="D29" i="12"/>
  <c r="D32" i="13"/>
  <c r="D33" i="13" s="1"/>
  <c r="J27" i="13"/>
  <c r="D29" i="13" s="1"/>
  <c r="D30" i="13"/>
  <c r="D31" i="13" s="1"/>
  <c r="D30" i="12"/>
  <c r="H42" i="5"/>
  <c r="F42" i="5"/>
  <c r="E42" i="5"/>
  <c r="J37" i="7"/>
  <c r="I46" i="5"/>
  <c r="I47" i="5" s="1"/>
  <c r="G42" i="5"/>
  <c r="I33" i="5" l="1"/>
  <c r="K27" i="3"/>
  <c r="K36" i="3"/>
  <c r="K35" i="3"/>
  <c r="K44" i="4"/>
  <c r="L34" i="4"/>
  <c r="J13" i="7"/>
  <c r="J27" i="6"/>
  <c r="J34" i="6" s="1"/>
  <c r="J49" i="5"/>
  <c r="J24" i="5"/>
  <c r="J25" i="5" s="1"/>
  <c r="J11" i="7"/>
  <c r="J16" i="6"/>
  <c r="D71" i="13"/>
  <c r="D74" i="13" s="1"/>
  <c r="D76" i="13" s="1"/>
  <c r="E9" i="12" s="1"/>
  <c r="D70" i="13"/>
  <c r="D73" i="13" s="1"/>
  <c r="D75" i="13" s="1"/>
  <c r="E8" i="12" s="1"/>
  <c r="D107" i="13"/>
  <c r="D110" i="13" s="1"/>
  <c r="D112" i="13" s="1"/>
  <c r="F9" i="12" s="1"/>
  <c r="D106" i="13"/>
  <c r="D109" i="13" s="1"/>
  <c r="D111" i="13" s="1"/>
  <c r="F8" i="12" s="1"/>
  <c r="D35" i="13"/>
  <c r="D38" i="13" s="1"/>
  <c r="D40" i="13" s="1"/>
  <c r="D9" i="12" s="1"/>
  <c r="D34" i="13"/>
  <c r="D37" i="13" s="1"/>
  <c r="D39" i="13" s="1"/>
  <c r="D8" i="12" s="1"/>
  <c r="K14" i="7"/>
  <c r="K24" i="6" s="1"/>
  <c r="K30" i="6"/>
  <c r="K25" i="6"/>
  <c r="M35" i="4"/>
  <c r="L29" i="4"/>
  <c r="L43" i="4"/>
  <c r="L33" i="4"/>
  <c r="L26" i="3"/>
  <c r="M20" i="4"/>
  <c r="M22" i="4" s="1"/>
  <c r="K10" i="5"/>
  <c r="K13" i="5"/>
  <c r="K14" i="5" s="1"/>
  <c r="K18" i="5"/>
  <c r="K20" i="5"/>
  <c r="K21" i="5" s="1"/>
  <c r="K22" i="5"/>
  <c r="K23" i="5" s="1"/>
  <c r="K45" i="5"/>
  <c r="K48" i="5"/>
  <c r="K11" i="6"/>
  <c r="K12" i="7" s="1"/>
  <c r="K18" i="7"/>
  <c r="I34" i="5"/>
  <c r="I36" i="5" s="1"/>
  <c r="J27" i="5" l="1"/>
  <c r="E10" i="12"/>
  <c r="F10" i="12"/>
  <c r="D10" i="12"/>
  <c r="J28" i="5"/>
  <c r="J49" i="3" s="1"/>
  <c r="J33" i="5"/>
  <c r="J34" i="5" s="1"/>
  <c r="J36" i="5" s="1"/>
  <c r="J46" i="5"/>
  <c r="J47" i="5" s="1"/>
  <c r="K10" i="7"/>
  <c r="K16" i="6"/>
  <c r="L44" i="4"/>
  <c r="L30" i="3"/>
  <c r="L35" i="3"/>
  <c r="L36" i="3"/>
  <c r="L27" i="3"/>
  <c r="L9" i="5"/>
  <c r="M32" i="4"/>
  <c r="M23" i="4" s="1"/>
  <c r="M34" i="4"/>
  <c r="K15" i="5"/>
  <c r="K19" i="5"/>
  <c r="K24" i="5"/>
  <c r="K37" i="6"/>
  <c r="K49" i="5"/>
  <c r="K11" i="7"/>
  <c r="K27" i="6"/>
  <c r="K34" i="6" s="1"/>
  <c r="K13" i="7"/>
  <c r="K37" i="7"/>
  <c r="I37" i="5"/>
  <c r="I9" i="7"/>
  <c r="I15" i="7" s="1"/>
  <c r="I20" i="7" s="1"/>
  <c r="L14" i="7" l="1"/>
  <c r="L24" i="6" s="1"/>
  <c r="L30" i="6"/>
  <c r="L25" i="6"/>
  <c r="J37" i="5"/>
  <c r="J9" i="7"/>
  <c r="J15" i="7" s="1"/>
  <c r="J20" i="7" s="1"/>
  <c r="L45" i="5"/>
  <c r="L48" i="5"/>
  <c r="L37" i="6" s="1"/>
  <c r="L11" i="6"/>
  <c r="L12" i="7" s="1"/>
  <c r="L18" i="7"/>
  <c r="L10" i="5"/>
  <c r="L13" i="5"/>
  <c r="L14" i="5" s="1"/>
  <c r="L18" i="5"/>
  <c r="L20" i="5"/>
  <c r="L21" i="5" s="1"/>
  <c r="L22" i="5"/>
  <c r="L23" i="5" s="1"/>
  <c r="M29" i="4"/>
  <c r="M43" i="4"/>
  <c r="M33" i="4"/>
  <c r="M26" i="3"/>
  <c r="I36" i="7"/>
  <c r="I38" i="7" s="1"/>
  <c r="K25" i="5"/>
  <c r="K27" i="5"/>
  <c r="I62" i="3" l="1"/>
  <c r="L10" i="7"/>
  <c r="L16" i="6"/>
  <c r="J21" i="7"/>
  <c r="J36" i="7"/>
  <c r="J38" i="7" s="1"/>
  <c r="L49" i="5"/>
  <c r="L11" i="7"/>
  <c r="L27" i="6"/>
  <c r="L34" i="6" s="1"/>
  <c r="L13" i="7"/>
  <c r="L37" i="7"/>
  <c r="L15" i="5"/>
  <c r="L19" i="5"/>
  <c r="L24" i="5"/>
  <c r="M44" i="4"/>
  <c r="M30" i="3"/>
  <c r="M27" i="3"/>
  <c r="M9" i="5"/>
  <c r="M35" i="3"/>
  <c r="M36" i="3"/>
  <c r="I21" i="7"/>
  <c r="I19" i="6"/>
  <c r="I39" i="7"/>
  <c r="I42" i="7"/>
  <c r="K46" i="5"/>
  <c r="K47" i="5" s="1"/>
  <c r="K33" i="5"/>
  <c r="K28" i="5"/>
  <c r="K49" i="3" s="1"/>
  <c r="I64" i="3" l="1"/>
  <c r="I65" i="3"/>
  <c r="I24" i="7"/>
  <c r="I28" i="7" s="1"/>
  <c r="I31" i="7" s="1"/>
  <c r="I38" i="6"/>
  <c r="M14" i="7"/>
  <c r="M24" i="6" s="1"/>
  <c r="M30" i="6"/>
  <c r="M25" i="6"/>
  <c r="M20" i="5"/>
  <c r="M21" i="5" s="1"/>
  <c r="J19" i="6"/>
  <c r="J39" i="7"/>
  <c r="J42" i="7"/>
  <c r="M10" i="5"/>
  <c r="M13" i="5"/>
  <c r="M14" i="5" s="1"/>
  <c r="M18" i="5"/>
  <c r="M22" i="5"/>
  <c r="M23" i="5" s="1"/>
  <c r="M45" i="5"/>
  <c r="M48" i="5"/>
  <c r="M11" i="6"/>
  <c r="M12" i="7" s="1"/>
  <c r="M18" i="7"/>
  <c r="I26" i="8"/>
  <c r="I43" i="7"/>
  <c r="K34" i="5"/>
  <c r="K36" i="5" s="1"/>
  <c r="L25" i="5"/>
  <c r="L27" i="5"/>
  <c r="I9" i="6" l="1"/>
  <c r="I13" i="6" s="1"/>
  <c r="I20" i="6" s="1"/>
  <c r="I33" i="7"/>
  <c r="J32" i="7" s="1"/>
  <c r="J64" i="3"/>
  <c r="I40" i="5"/>
  <c r="I41" i="5" s="1"/>
  <c r="I42" i="5" s="1"/>
  <c r="I40" i="7"/>
  <c r="J65" i="3"/>
  <c r="J24" i="7"/>
  <c r="J28" i="7" s="1"/>
  <c r="J31" i="7" s="1"/>
  <c r="J38" i="6"/>
  <c r="I40" i="6"/>
  <c r="I42" i="6" s="1"/>
  <c r="M10" i="7"/>
  <c r="M16" i="6"/>
  <c r="J43" i="7"/>
  <c r="J23" i="8"/>
  <c r="J26" i="8" s="1"/>
  <c r="M15" i="5"/>
  <c r="M19" i="5"/>
  <c r="M24" i="5"/>
  <c r="M37" i="6"/>
  <c r="M49" i="5"/>
  <c r="M11" i="7"/>
  <c r="M27" i="6"/>
  <c r="M34" i="6" s="1"/>
  <c r="M13" i="7"/>
  <c r="M37" i="7"/>
  <c r="K37" i="5"/>
  <c r="K9" i="7"/>
  <c r="K15" i="7" s="1"/>
  <c r="K20" i="7" s="1"/>
  <c r="L46" i="5"/>
  <c r="L47" i="5" s="1"/>
  <c r="L33" i="5"/>
  <c r="L28" i="5"/>
  <c r="L49" i="3" s="1"/>
  <c r="I45" i="6" l="1"/>
  <c r="J9" i="6"/>
  <c r="J33" i="7"/>
  <c r="K32" i="7" s="1"/>
  <c r="I44" i="6"/>
  <c r="J40" i="6"/>
  <c r="J42" i="6" s="1"/>
  <c r="J40" i="5"/>
  <c r="J41" i="5" s="1"/>
  <c r="J42" i="5" s="1"/>
  <c r="J40" i="7"/>
  <c r="J13" i="6"/>
  <c r="J20" i="6" s="1"/>
  <c r="M25" i="5"/>
  <c r="M27" i="5"/>
  <c r="M28" i="5" s="1"/>
  <c r="K36" i="7"/>
  <c r="K38" i="7" s="1"/>
  <c r="L34" i="5"/>
  <c r="L36" i="5" s="1"/>
  <c r="J44" i="6" l="1"/>
  <c r="J45" i="6"/>
  <c r="K62" i="3"/>
  <c r="M49" i="3"/>
  <c r="C23" i="16"/>
  <c r="M33" i="5"/>
  <c r="M34" i="5" s="1"/>
  <c r="M36" i="5" s="1"/>
  <c r="M46" i="5"/>
  <c r="K19" i="6"/>
  <c r="K21" i="7"/>
  <c r="K39" i="7"/>
  <c r="K42" i="7"/>
  <c r="L37" i="5"/>
  <c r="L9" i="7"/>
  <c r="L15" i="7" s="1"/>
  <c r="L20" i="7" s="1"/>
  <c r="K24" i="7" l="1"/>
  <c r="K28" i="7" s="1"/>
  <c r="K31" i="7" s="1"/>
  <c r="K65" i="3"/>
  <c r="K38" i="6"/>
  <c r="M47" i="5"/>
  <c r="D36" i="8"/>
  <c r="D38" i="8" s="1"/>
  <c r="M37" i="5"/>
  <c r="M9" i="7"/>
  <c r="M15" i="7" s="1"/>
  <c r="M20" i="7" s="1"/>
  <c r="K43" i="7"/>
  <c r="K23" i="8"/>
  <c r="K26" i="8" s="1"/>
  <c r="L36" i="7"/>
  <c r="L38" i="7" s="1"/>
  <c r="K33" i="7" l="1"/>
  <c r="L32" i="7" s="1"/>
  <c r="K9" i="6"/>
  <c r="K13" i="6" s="1"/>
  <c r="K20" i="6" s="1"/>
  <c r="K40" i="5"/>
  <c r="K41" i="5" s="1"/>
  <c r="K42" i="5" s="1"/>
  <c r="K40" i="7"/>
  <c r="K40" i="6"/>
  <c r="K42" i="6" s="1"/>
  <c r="D39" i="8"/>
  <c r="D45" i="8" s="1"/>
  <c r="M21" i="7"/>
  <c r="M36" i="7"/>
  <c r="M38" i="7" s="1"/>
  <c r="L19" i="6"/>
  <c r="L21" i="7"/>
  <c r="L39" i="7"/>
  <c r="L42" i="7"/>
  <c r="K45" i="6" l="1"/>
  <c r="K44" i="6"/>
  <c r="L65" i="3"/>
  <c r="L24" i="7"/>
  <c r="L28" i="7" s="1"/>
  <c r="L31" i="7" s="1"/>
  <c r="L38" i="6"/>
  <c r="L64" i="3"/>
  <c r="M62" i="3"/>
  <c r="M19" i="6"/>
  <c r="M39" i="7"/>
  <c r="M42" i="7"/>
  <c r="L43" i="7"/>
  <c r="L23" i="8"/>
  <c r="L26" i="8" s="1"/>
  <c r="L9" i="6" l="1"/>
  <c r="L33" i="7"/>
  <c r="M32" i="7" s="1"/>
  <c r="M64" i="3"/>
  <c r="L40" i="5"/>
  <c r="L41" i="5" s="1"/>
  <c r="L42" i="5" s="1"/>
  <c r="L40" i="7"/>
  <c r="M38" i="6"/>
  <c r="M40" i="6" s="1"/>
  <c r="M42" i="6" s="1"/>
  <c r="L40" i="6"/>
  <c r="L42" i="6" s="1"/>
  <c r="M65" i="3"/>
  <c r="M24" i="7"/>
  <c r="M28" i="7" s="1"/>
  <c r="M31" i="7" s="1"/>
  <c r="M9" i="6" s="1"/>
  <c r="M13" i="6" s="1"/>
  <c r="L45" i="6"/>
  <c r="L13" i="6"/>
  <c r="L20" i="6" s="1"/>
  <c r="M43" i="7"/>
  <c r="M23" i="8"/>
  <c r="D31" i="8" s="1"/>
  <c r="D32" i="8" s="1"/>
  <c r="L44" i="6" l="1"/>
  <c r="M33" i="7"/>
  <c r="M45" i="6" s="1"/>
  <c r="M40" i="5"/>
  <c r="M41" i="5" s="1"/>
  <c r="M42" i="5" s="1"/>
  <c r="M40" i="7"/>
  <c r="M20" i="6"/>
  <c r="M44" i="6" s="1"/>
  <c r="M26" i="8"/>
  <c r="D42" i="8" s="1"/>
  <c r="D46" i="8" l="1"/>
  <c r="D33" i="8"/>
  <c r="D43" i="8" s="1"/>
  <c r="D44" i="8" l="1"/>
  <c r="D50" i="8"/>
  <c r="D54" i="8" s="1"/>
  <c r="C16" i="16" s="1"/>
  <c r="D60" i="8"/>
  <c r="B77" i="8" l="1"/>
  <c r="D49" i="8"/>
  <c r="D59" i="8"/>
  <c r="D57" i="8"/>
  <c r="D53" i="8" l="1"/>
  <c r="C15" i="16" s="1"/>
  <c r="B66" i="8" l="1"/>
  <c r="D5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70" authorId="0" shapeId="0" xr:uid="{FCD8AD4C-C88B-CB43-B009-9C0877A28C22}">
      <text>
        <r>
          <rPr>
            <b/>
            <sz val="10"/>
            <color rgb="FF000000"/>
            <rFont val="Tahoma"/>
            <family val="2"/>
          </rPr>
          <t>Arijay Mehta:</t>
        </r>
        <r>
          <rPr>
            <sz val="10"/>
            <color rgb="FF000000"/>
            <rFont val="Tahoma"/>
            <family val="2"/>
          </rPr>
          <t xml:space="preserve">
</t>
        </r>
        <r>
          <rPr>
            <sz val="10"/>
            <color rgb="FF000000"/>
            <rFont val="Tahoma"/>
            <family val="2"/>
          </rPr>
          <t>Source: 5-year weekly regression beta vs S&amp;P 500. Implausibly low for a small-cap cyber SaaS — see adjusted beta below.</t>
        </r>
      </text>
    </comment>
    <comment ref="D71" authorId="0" shapeId="0" xr:uid="{7777CE76-62B8-844F-83FF-F1EC8D93CDFB}">
      <text>
        <r>
          <rPr>
            <b/>
            <sz val="10"/>
            <color rgb="FF000000"/>
            <rFont val="Tahoma"/>
            <family val="2"/>
          </rPr>
          <t>Arijay Mehta:</t>
        </r>
        <r>
          <rPr>
            <sz val="10"/>
            <color rgb="FF000000"/>
            <rFont val="Tahoma"/>
            <family val="2"/>
          </rPr>
          <t xml:space="preserve">
</t>
        </r>
        <r>
          <rPr>
            <sz val="10"/>
            <color rgb="FF000000"/>
            <rFont val="Tahoma"/>
            <family val="2"/>
          </rPr>
          <t>Adjusted beta of 1.00 reflects peer-median for cybersecurity SaaS Direct comps (CRWD, PANW, FTNT, ZS, etc.). Raw beta of 0.61 understates risk for a small-cap growth name. Used in WACC calculation below.</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31" authorId="0" shapeId="0" xr:uid="{F079A1BA-B892-2C47-83DA-77B6A1618411}">
      <text>
        <r>
          <rPr>
            <b/>
            <sz val="10"/>
            <color rgb="FF000000"/>
            <rFont val="Tahoma"/>
            <family val="2"/>
          </rPr>
          <t>Arijay Mehta:</t>
        </r>
        <r>
          <rPr>
            <sz val="10"/>
            <color rgb="FF000000"/>
            <rFont val="Tahoma"/>
            <family val="2"/>
          </rPr>
          <t xml:space="preserve">
</t>
        </r>
        <r>
          <rPr>
            <sz val="10"/>
            <color rgb="FF000000"/>
            <rFont val="Tahoma"/>
            <family val="2"/>
          </rPr>
          <t>Interest income held flat-to-declining ($23.5M → $17.5M by 2030). Reflects expected lower-rate environment and buyback-driven cash deployment. Not formula-driven — disclosed as a standalone assumption. Immaterial to DCF output.</t>
        </r>
      </text>
    </comment>
    <comment ref="J31" authorId="0" shapeId="0" xr:uid="{21F40DEA-66FF-DF40-A3F9-B516AE482BDF}">
      <text>
        <r>
          <rPr>
            <b/>
            <sz val="10"/>
            <color rgb="FF000000"/>
            <rFont val="Tahoma"/>
            <family val="2"/>
          </rPr>
          <t>Arijay Mehta:</t>
        </r>
        <r>
          <rPr>
            <sz val="10"/>
            <color rgb="FF000000"/>
            <rFont val="Tahoma"/>
            <family val="2"/>
          </rPr>
          <t xml:space="preserve">
</t>
        </r>
        <r>
          <rPr>
            <sz val="10"/>
            <color rgb="FF000000"/>
            <rFont val="Tahoma"/>
            <family val="2"/>
          </rPr>
          <t>See I32 for basis.</t>
        </r>
      </text>
    </comment>
    <comment ref="K31" authorId="0" shapeId="0" xr:uid="{502F1958-A5E5-5044-9282-5BDAA64E33AE}">
      <text>
        <r>
          <rPr>
            <b/>
            <sz val="10"/>
            <color rgb="FF000000"/>
            <rFont val="Tahoma"/>
            <family val="2"/>
          </rPr>
          <t>Arijay Mehta:</t>
        </r>
        <r>
          <rPr>
            <sz val="10"/>
            <color rgb="FF000000"/>
            <rFont val="Tahoma"/>
            <family val="2"/>
          </rPr>
          <t xml:space="preserve">
See I32 for basis.</t>
        </r>
      </text>
    </comment>
    <comment ref="L31" authorId="0" shapeId="0" xr:uid="{58DAAA2A-DC6D-8D47-B6BE-5D1367FC45AA}">
      <text>
        <r>
          <rPr>
            <b/>
            <sz val="10"/>
            <color rgb="FF000000"/>
            <rFont val="Tahoma"/>
            <family val="2"/>
          </rPr>
          <t>Arijay Mehta:</t>
        </r>
        <r>
          <rPr>
            <sz val="10"/>
            <color rgb="FF000000"/>
            <rFont val="Tahoma"/>
            <family val="2"/>
          </rPr>
          <t xml:space="preserve">
See I32 for basis.</t>
        </r>
      </text>
    </comment>
    <comment ref="M31" authorId="0" shapeId="0" xr:uid="{161CF508-B95E-204C-B773-F97CEC495FFA}">
      <text>
        <r>
          <rPr>
            <b/>
            <sz val="10"/>
            <color rgb="FF000000"/>
            <rFont val="Tahoma"/>
            <family val="2"/>
          </rPr>
          <t>Arijay Mehta:</t>
        </r>
        <r>
          <rPr>
            <sz val="10"/>
            <color rgb="FF000000"/>
            <rFont val="Tahoma"/>
            <family val="2"/>
          </rPr>
          <t xml:space="preserve">
See I32 for basis.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P10" authorId="0" shapeId="0" xr:uid="{8CF6087B-E5C9-314F-A6FB-9DA0B93C582B}">
      <text>
        <r>
          <rPr>
            <b/>
            <sz val="10"/>
            <color rgb="FF000000"/>
            <rFont val="Tahoma"/>
            <family val="2"/>
          </rPr>
          <t>Arijay Mehta:</t>
        </r>
        <r>
          <rPr>
            <sz val="10"/>
            <color rgb="FF000000"/>
            <rFont val="Tahoma"/>
            <family val="2"/>
          </rPr>
          <t xml:space="preserve">
FY26E FCF less FY26E SBC. Source: QLYS internal model — consistent with DCF convention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B9" authorId="0" shapeId="0" xr:uid="{9CEB3713-608F-3048-A320-FC48C53528F7}">
      <text>
        <r>
          <rPr>
            <b/>
            <sz val="10"/>
            <color rgb="FF000000"/>
            <rFont val="Tahoma"/>
            <family val="2"/>
          </rPr>
          <t>Arijay Mehta:</t>
        </r>
        <r>
          <rPr>
            <sz val="10"/>
            <color rgb="FF000000"/>
            <rFont val="Tahoma"/>
            <family val="2"/>
          </rPr>
          <t xml:space="preserve">
QLYS 52-week low. Source: Yahoo Finance, https://finance.yahoo.com/quote/QLYS/</t>
        </r>
      </text>
    </comment>
    <comment ref="D9" authorId="0" shapeId="0" xr:uid="{5A1B4AC7-7607-8848-8B7E-FC0B0CDB727D}">
      <text>
        <r>
          <rPr>
            <b/>
            <sz val="10"/>
            <color rgb="FF000000"/>
            <rFont val="Tahoma"/>
            <family val="2"/>
          </rPr>
          <t>Arijay Mehta:</t>
        </r>
        <r>
          <rPr>
            <sz val="10"/>
            <color rgb="FF000000"/>
            <rFont val="Tahoma"/>
            <family val="2"/>
          </rPr>
          <t xml:space="preserve">
QLYS 52-week high. Source: Yahoo Finance, https://finance.yahoo.com/quote/QLYS/</t>
        </r>
      </text>
    </comment>
  </commentList>
</comments>
</file>

<file path=xl/sharedStrings.xml><?xml version="1.0" encoding="utf-8"?>
<sst xmlns="http://schemas.openxmlformats.org/spreadsheetml/2006/main" count="1074" uniqueCount="537">
  <si>
    <t>Qualys, Inc. (QLYS)</t>
  </si>
  <si>
    <t>All amounts in $ millions unless noted</t>
  </si>
  <si>
    <t>Risk-Free Rate</t>
  </si>
  <si>
    <t>%</t>
  </si>
  <si>
    <t>Equity Risk Premium</t>
  </si>
  <si>
    <t>x</t>
  </si>
  <si>
    <t>Cost of Equity</t>
  </si>
  <si>
    <t>Cost of Debt (pre-tax)</t>
  </si>
  <si>
    <t>Tax Rate</t>
  </si>
  <si>
    <t>Cost of Debt (after-tax)</t>
  </si>
  <si>
    <t>Debt / Total Capital</t>
  </si>
  <si>
    <t>Equity / Total Capital</t>
  </si>
  <si>
    <t>WACC</t>
  </si>
  <si>
    <t>Units</t>
  </si>
  <si>
    <t>2021A</t>
  </si>
  <si>
    <t>2022A</t>
  </si>
  <si>
    <t>2023A</t>
  </si>
  <si>
    <t>2024A</t>
  </si>
  <si>
    <t>2025A</t>
  </si>
  <si>
    <t>2026E</t>
  </si>
  <si>
    <t>2027E</t>
  </si>
  <si>
    <t>2028E</t>
  </si>
  <si>
    <t>2029E</t>
  </si>
  <si>
    <t>2030E</t>
  </si>
  <si>
    <t>Free Cash Flow (ex-SBC)</t>
  </si>
  <si>
    <t>$M</t>
  </si>
  <si>
    <t>Discount Period</t>
  </si>
  <si>
    <t>#</t>
  </si>
  <si>
    <t>Discount Factor</t>
  </si>
  <si>
    <t>Present Value of FCF</t>
  </si>
  <si>
    <t>Method 1: Perpetuity Growth</t>
  </si>
  <si>
    <t>Terminal Growth Rate</t>
  </si>
  <si>
    <t>Terminal FCF (ex-SBC)</t>
  </si>
  <si>
    <t>Terminal Value</t>
  </si>
  <si>
    <t>PV of Terminal Value</t>
  </si>
  <si>
    <t>Method 2: Exit Multiple</t>
  </si>
  <si>
    <t>Terminal EBITDA</t>
  </si>
  <si>
    <t>Exit EV/EBITDA Multiple</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</si>
  <si>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</si>
  <si>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</si>
  <si>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</si>
  <si>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</si>
  <si>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</si>
  <si>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</si>
  <si>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</si>
  <si>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</si>
  <si>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</si>
  <si>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</si>
  <si>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</si>
  <si>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</si>
  <si>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</si>
  <si>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</si>
  <si>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</si>
  <si>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</si>
  <si>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</si>
  <si>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</si>
  <si>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</si>
  <si>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</si>
  <si>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Technology: Cybersecurity</t>
  </si>
  <si>
    <t>Product</t>
  </si>
  <si>
    <t>Enterprise TruRisk Platform: 20+ integrated cloud-based IT security and compliance solutions</t>
  </si>
  <si>
    <t>Customers</t>
  </si>
  <si>
    <t>10,000+ globally, majority of Forbes Global 100</t>
  </si>
  <si>
    <t>Revenue Model</t>
  </si>
  <si>
    <t>100% subscription/SaaS. ~94% from existing customer expansion, ~6% from new logos</t>
  </si>
  <si>
    <t>Capital Structure</t>
  </si>
  <si>
    <t>Zero debt. Consistent buybacks (~2% annual share reduction)</t>
  </si>
  <si>
    <t>Bear</t>
  </si>
  <si>
    <t>Bull</t>
  </si>
  <si>
    <t>Table of Contents</t>
  </si>
  <si>
    <t>Assumptions</t>
  </si>
  <si>
    <t>Revenue Build</t>
  </si>
  <si>
    <t>Income Statement</t>
  </si>
  <si>
    <t>Balance Sheet</t>
  </si>
  <si>
    <t>Cash Flow</t>
  </si>
  <si>
    <t>SWOT Analysis</t>
  </si>
  <si>
    <t>Strengths</t>
  </si>
  <si>
    <t>Zero debt, consistent FCF generation, disciplined buyback program (~$185M/yr)</t>
  </si>
  <si>
    <t>Margins expanding as legacy on-prem hardware fully depreciates and cloud hosting scales</t>
  </si>
  <si>
    <t>Weaknesses</t>
  </si>
  <si>
    <t>S&amp;M % of revenue increasing (18.6% to 21.4%) despite growing partner channel</t>
  </si>
  <si>
    <t>Opportunities</t>
  </si>
  <si>
    <t>Threats</t>
  </si>
  <si>
    <t>Metric</t>
  </si>
  <si>
    <t>2026E Start</t>
  </si>
  <si>
    <t>Base</t>
  </si>
  <si>
    <t>Scenario</t>
  </si>
  <si>
    <t>Net Dollar Expansion Rate</t>
  </si>
  <si>
    <t>New Customer Logos Added</t>
  </si>
  <si>
    <t>New Customer ARPU</t>
  </si>
  <si>
    <t>$K</t>
  </si>
  <si>
    <t>Gross Margin %</t>
  </si>
  <si>
    <t>R&amp;D % of Revenue</t>
  </si>
  <si>
    <t>S&amp;M % of Revenue</t>
  </si>
  <si>
    <t>Exit EV/EBITDA</t>
  </si>
  <si>
    <t>Notes</t>
  </si>
  <si>
    <t>Total Revenue</t>
  </si>
  <si>
    <t>Revenue Growth %</t>
  </si>
  <si>
    <t>Ending Customer Count</t>
  </si>
  <si>
    <t>Blended ARPU</t>
  </si>
  <si>
    <t>GEOGRAPHIC MIX</t>
  </si>
  <si>
    <t>US Revenue %</t>
  </si>
  <si>
    <t>International Revenue %</t>
  </si>
  <si>
    <t>US Revenue</t>
  </si>
  <si>
    <t>International Revenue</t>
  </si>
  <si>
    <t>CHANNEL MIX</t>
  </si>
  <si>
    <t>Direct Revenue %</t>
  </si>
  <si>
    <t>Channel Partner Revenue %</t>
  </si>
  <si>
    <t>Has been expanding as D&amp;A declines and cloud costs scale.</t>
  </si>
  <si>
    <t>R&amp;D dollars growing but slower than revenue — R&amp;D as % of revenue declining over time. 10-K says they will "continue to devote resources".</t>
  </si>
  <si>
    <t>Sales &amp; Marketing % of Revenue</t>
  </si>
  <si>
    <t>G&amp;A % of Revenue</t>
  </si>
  <si>
    <t>2021 was 18.6% due to $27.3M CEO accelerated SBC vesting (one-time). Normalized ~11%. Do not trend from 2021 base.</t>
  </si>
  <si>
    <t>Operating Margin %</t>
  </si>
  <si>
    <t>Effective Tax Rate</t>
  </si>
  <si>
    <t>2023 low (15.2%) due to IRS foreign tax credit rule change. 2025 higher (19.7%) due to OBBBA. Normalized at 20%.</t>
  </si>
  <si>
    <t>Check</t>
  </si>
  <si>
    <t>BALANCE SHEET DRIVERS</t>
  </si>
  <si>
    <t>Days Sales Outstanding (DSO)</t>
  </si>
  <si>
    <t>days</t>
  </si>
  <si>
    <t>Deferred Revenue % of Revenue</t>
  </si>
  <si>
    <t>Most likely DR is decreasing because they are switching from multiyear upfront to annual billing</t>
  </si>
  <si>
    <t>Capex % of Revenue</t>
  </si>
  <si>
    <t>Capex dropped from 5.9% (2021) to 0.7% (2025) as QLYS shifted to cloud hosting. Normalizing ~1%.</t>
  </si>
  <si>
    <t>Depreciation % of Revenue</t>
  </si>
  <si>
    <t>Declining as legacy hardware fully depreciates. PP&amp;E net: $47M(2022)→$23M(2025).</t>
  </si>
  <si>
    <t>SBC % of Revenue</t>
  </si>
  <si>
    <t>2021 elevated (16.4%) due to $27.3M CEO vesting. Risk: SBC is ~11% of revenue — FCF ex-SBC is materially lower than headline FCF.</t>
  </si>
  <si>
    <t>CAPITAL ALLOCATION</t>
  </si>
  <si>
    <t>Dividends</t>
  </si>
  <si>
    <t>QLYS has never paid dividends. All 10-Ks: "We do not anticipate declaring or paying any cash dividends."</t>
  </si>
  <si>
    <t>Share Buybacks</t>
  </si>
  <si>
    <t>Diluted Shares Outstanding</t>
  </si>
  <si>
    <t>DCF ASSUMPTIONS</t>
  </si>
  <si>
    <t>Cost of Equity per CAPM</t>
  </si>
  <si>
    <t>Terminal EV/EBITDA Multiple</t>
  </si>
  <si>
    <t>Prior Year Revenue</t>
  </si>
  <si>
    <t>Existing Customer Revenue</t>
  </si>
  <si>
    <t xml:space="preserve">  Existing as % of Total Revenue</t>
  </si>
  <si>
    <t xml:space="preserve">New Revenue / New Customer ARPU. Backed into this based on New Customer ARPU Assumption. </t>
  </si>
  <si>
    <t xml:space="preserve">Company says that customers usually start with 1-2 products. We have estimated this to be half Blended ARPU in Row 39. </t>
  </si>
  <si>
    <t>New Customer Revenue</t>
  </si>
  <si>
    <t>New Customer Revenue = The residual revenue after existing customer expansion</t>
  </si>
  <si>
    <t xml:space="preserve">  New as % of Total Revenue</t>
  </si>
  <si>
    <t xml:space="preserve">  Growth from Existing Customers</t>
  </si>
  <si>
    <t xml:space="preserve">  Growth from New Customers</t>
  </si>
  <si>
    <t>(+) New Logos Added</t>
  </si>
  <si>
    <t>(-) Logos Churned (implied)</t>
  </si>
  <si>
    <t>Implied Logo Churn Rate</t>
  </si>
  <si>
    <t>Risk: if QLYS is quietly churning logos and masking it with NDER, growth is weaker than it appears.</t>
  </si>
  <si>
    <t>ARPU Growth %</t>
  </si>
  <si>
    <t>ARPU growth ≈ revenue growth when customer count flat. Driven by upsell.</t>
  </si>
  <si>
    <t>REVENUE</t>
  </si>
  <si>
    <t>Cost of Revenue</t>
  </si>
  <si>
    <t>Gross Profit</t>
  </si>
  <si>
    <t>Research &amp; Development</t>
  </si>
  <si>
    <t xml:space="preserve">  R&amp;D % of Revenue</t>
  </si>
  <si>
    <t>Sales &amp; Marketing</t>
  </si>
  <si>
    <t xml:space="preserve">  S&amp;M % of Revenue</t>
  </si>
  <si>
    <t>General &amp; Administrative</t>
  </si>
  <si>
    <t xml:space="preserve">  G&amp;A % of Revenue</t>
  </si>
  <si>
    <t>Total Operating Expenses</t>
  </si>
  <si>
    <t xml:space="preserve">  OpEx % of Revenue</t>
  </si>
  <si>
    <t>Operating Income (EBIT)</t>
  </si>
  <si>
    <t>Interest Income</t>
  </si>
  <si>
    <t>Other Income / (Expense)</t>
  </si>
  <si>
    <t>Pre-Tax Income</t>
  </si>
  <si>
    <t>Income Tax Expense</t>
  </si>
  <si>
    <t>Net Income</t>
  </si>
  <si>
    <t>Net Margin %</t>
  </si>
  <si>
    <t>EPS (Diluted)</t>
  </si>
  <si>
    <t>EPS Growth %</t>
  </si>
  <si>
    <t>Depreciation &amp; Amortization</t>
  </si>
  <si>
    <t>EBITDA</t>
  </si>
  <si>
    <t>EBITDA Margin %</t>
  </si>
  <si>
    <t>Stock-Based Compensation</t>
  </si>
  <si>
    <t>CURRENT ASSETS</t>
  </si>
  <si>
    <t>Cash + cash equiv + restricted cash (current) + ST marketable securities.</t>
  </si>
  <si>
    <t>Accounts Receivable</t>
  </si>
  <si>
    <t>Forward: Revenue × DSO / 365.</t>
  </si>
  <si>
    <t>Prepaid &amp; Other Current Assets</t>
  </si>
  <si>
    <t>Held flat. Prepaid expenses and other. Stable at ~$40M.</t>
  </si>
  <si>
    <t>Total Current Assets</t>
  </si>
  <si>
    <t>NON-CURRENT ASSETS</t>
  </si>
  <si>
    <t>PP&amp;E, net</t>
  </si>
  <si>
    <t>Goodwill &amp; Intangibles</t>
  </si>
  <si>
    <t>Held flat. No acquisitions assumed. Intangibles amortize down slightly but immaterial.</t>
  </si>
  <si>
    <t>Operating Lease ROU Assets</t>
  </si>
  <si>
    <t>Held flat. Mirror of lease liabilities. Changes only with new lease agreements.</t>
  </si>
  <si>
    <t>Includes long-term marketable securities, deferred tax assets, and other. Forward years grow as excess cash is invested in marketable securities (linked to CF net purchases).</t>
  </si>
  <si>
    <t>Total Assets</t>
  </si>
  <si>
    <t>CURRENT LIABILITIES</t>
  </si>
  <si>
    <t>Accounts Payable</t>
  </si>
  <si>
    <t>Held flat. Minimal for a SaaS company with no inventory or physical supply chain.</t>
  </si>
  <si>
    <t>Accrued Liabilities</t>
  </si>
  <si>
    <t>Deferred Revenue (Current)</t>
  </si>
  <si>
    <t>Current Lease Liabilities</t>
  </si>
  <si>
    <t>Held flat. Annual lease payment obligations. Stable unless they sign or exit major leases.</t>
  </si>
  <si>
    <t>Total Current Liabilities</t>
  </si>
  <si>
    <t>NON-CURRENT LIABILITIES</t>
  </si>
  <si>
    <t>Deferred Revenue (Non-Current)</t>
  </si>
  <si>
    <t>Non-Current Lease Liabilities</t>
  </si>
  <si>
    <t>Held flat. Long-term portion of operating leases (primarily offices). Jumped in 2024 from a new lease, now stable.</t>
  </si>
  <si>
    <t>Long-Term Debt</t>
  </si>
  <si>
    <t>QLYS has zero debt across all periods.</t>
  </si>
  <si>
    <t>Other Non-Current Liabilities</t>
  </si>
  <si>
    <t>Held flat. Declining slightly over time ($7M → $5.3M). Likely includes uncertain tax positions and other small items</t>
  </si>
  <si>
    <t>Total Liabilities</t>
  </si>
  <si>
    <t>SHAREHOLDERS' EQUITY</t>
  </si>
  <si>
    <t>Common Stock &amp; APIC</t>
  </si>
  <si>
    <t>Accumulated Deficit / Retained Earnings</t>
  </si>
  <si>
    <t>Repurchased shares retired (no treasury). Deficit shrinking as NI &gt; buyback impact.</t>
  </si>
  <si>
    <t>Other Comprehensive Income/(Loss)</t>
  </si>
  <si>
    <t>Held flat. FX translation adjustments on foreign subsidiaries. Small and volatile, not worth projecting.</t>
  </si>
  <si>
    <t>Total Shareholders' Equity</t>
  </si>
  <si>
    <t>Total Liabilities + Equity</t>
  </si>
  <si>
    <t>CHECK: Assets - (L+E)</t>
  </si>
  <si>
    <t>Cash Flow Statement</t>
  </si>
  <si>
    <t>OPERATING ACTIVITIES</t>
  </si>
  <si>
    <t>Change in Accounts Receivable</t>
  </si>
  <si>
    <t>Actuals from 10-K CF. Forward estimated at ~1.3% of revenue.</t>
  </si>
  <si>
    <t>Change in Deferred Revenue</t>
  </si>
  <si>
    <t>Actuals from 10-K CF. Forward estimated at ~3% of revenue.</t>
  </si>
  <si>
    <t>Other Working Capital Changes</t>
  </si>
  <si>
    <t>Cash from Operations (CFO)</t>
  </si>
  <si>
    <t>Actuals from 10-K. Forward = sum of components above.</t>
  </si>
  <si>
    <t>INVESTING ACTIVITIES</t>
  </si>
  <si>
    <t>Capital Expenditures</t>
  </si>
  <si>
    <t>Actuals from 10-K. Forward = Revenue × Capex% assumption.</t>
  </si>
  <si>
    <t>Acquisitions</t>
  </si>
  <si>
    <t>Net Purchases of Marketable Securities</t>
  </si>
  <si>
    <t>Cash from Investing (CFI)</t>
  </si>
  <si>
    <t>FINANCING ACTIVITIES</t>
  </si>
  <si>
    <t>Dividends Paid</t>
  </si>
  <si>
    <t>Debt Issuance / (Repayment)</t>
  </si>
  <si>
    <t>Other Financing (Options/ESPP/Tax Withholding)</t>
  </si>
  <si>
    <t>Net of option proceeds, ESPP proceeds, and tax withholding on RSU vesting.</t>
  </si>
  <si>
    <t>Cash from Financing (CFF)</t>
  </si>
  <si>
    <t>SUMMARY</t>
  </si>
  <si>
    <t>Net Change in Cash</t>
  </si>
  <si>
    <t>Beginning Cash</t>
  </si>
  <si>
    <t>Ending Cash</t>
  </si>
  <si>
    <t>FREE CASH FLOW</t>
  </si>
  <si>
    <t>Cash from Operations</t>
  </si>
  <si>
    <t>Less: Capital Expenditures</t>
  </si>
  <si>
    <t>Free Cash Flow</t>
  </si>
  <si>
    <t>FCF Margin %</t>
  </si>
  <si>
    <t>FCF per Share</t>
  </si>
  <si>
    <t>FCF (ex-SBC)</t>
  </si>
  <si>
    <t>FCF minus stock-based compensation. Conservative measure for DCF.</t>
  </si>
  <si>
    <t>FCF (ex-SBC) Margin %</t>
  </si>
  <si>
    <t>Implied Share Price (Perpetuity Method)</t>
  </si>
  <si>
    <t>Implied Share Price (Exit Multiple Method)</t>
  </si>
  <si>
    <t>Company</t>
  </si>
  <si>
    <t>Ticker</t>
  </si>
  <si>
    <t>EV ($M)</t>
  </si>
  <si>
    <t>Revenue ($M)</t>
  </si>
  <si>
    <t>EV/Revenue</t>
  </si>
  <si>
    <t>EV/EBITDA</t>
  </si>
  <si>
    <t>P/E</t>
  </si>
  <si>
    <t>QLYS</t>
  </si>
  <si>
    <t>CRWD</t>
  </si>
  <si>
    <t>PANW</t>
  </si>
  <si>
    <t>FTNT</t>
  </si>
  <si>
    <t>TENB</t>
  </si>
  <si>
    <t>RPD</t>
  </si>
  <si>
    <t>S</t>
  </si>
  <si>
    <t>VRNS</t>
  </si>
  <si>
    <t>ZS</t>
  </si>
  <si>
    <t>Data Sources &amp; References</t>
  </si>
  <si>
    <t>Qualys, Inc. (QLYS) Financial Model</t>
  </si>
  <si>
    <t>SEC FILINGS</t>
  </si>
  <si>
    <t>FY2023 10-K</t>
  </si>
  <si>
    <t>Filed Feb 22, 2024. FY2021-2023. Accession: 0001107843-24-000008.</t>
  </si>
  <si>
    <t>FY2024 10-K</t>
  </si>
  <si>
    <t>Filed Feb 21, 2025. FY2022-2024. Accession: 0001107843-25-000009.</t>
  </si>
  <si>
    <t>FY2025 10-K</t>
  </si>
  <si>
    <t>Filed Feb 20, 2026. FY2023-2025. Accession: 0001107843-26-000008.</t>
  </si>
  <si>
    <t>FINANCIAL DATA</t>
  </si>
  <si>
    <t>Consolidated Statements of Operations from each 10-K.</t>
  </si>
  <si>
    <t>Consolidated Balance Sheets (FY2022-2025).</t>
  </si>
  <si>
    <t>Consolidated Statements of Cash Flows.</t>
  </si>
  <si>
    <t>Revenue Drivers</t>
  </si>
  <si>
    <t>Item 7 MD&amp;A: NDER, geo/channel mix, existing vs new customer splits.</t>
  </si>
  <si>
    <t>SBC</t>
  </si>
  <si>
    <t>Note 9/10 (Stockholders Equity). Includes PRSU detail.</t>
  </si>
  <si>
    <t>Tax</t>
  </si>
  <si>
    <t>Note 11/12 (Income Taxes). Effective rate reconciliation, OBBBA impact.</t>
  </si>
  <si>
    <t>Segments</t>
  </si>
  <si>
    <t>Note 12/13 (Segment &amp; Geographic). US vs Foreign revenue.</t>
  </si>
  <si>
    <t>MARKET DATA (April 2026)</t>
  </si>
  <si>
    <t>Stock Price: $80.52</t>
  </si>
  <si>
    <t>Risk-Free Rate: 4.31%</t>
  </si>
  <si>
    <t>US 10-Year Treasury. CNBC, Treasury.gov.</t>
  </si>
  <si>
    <t>Equity Risk Premium: 5.5%</t>
  </si>
  <si>
    <t>Damodaran (NYU Stern).</t>
  </si>
  <si>
    <t>Peer Data</t>
  </si>
  <si>
    <t>SCENARIO SELECTOR</t>
  </si>
  <si>
    <t>No Debt</t>
  </si>
  <si>
    <t>No Dividends - Use Buybacks to return $ to shareholders</t>
  </si>
  <si>
    <t>n.a</t>
  </si>
  <si>
    <t>Yahoo Finance</t>
  </si>
  <si>
    <t xml:space="preserve">   </t>
  </si>
  <si>
    <t>DCF Valuation &amp; Sensitivity Analysis</t>
  </si>
  <si>
    <t xml:space="preserve">Based on the revenue and cost assumptions in the assumptions toggle, finding the current market price within this table tells you what WACC and Multiple the market is placing on Qualys. </t>
  </si>
  <si>
    <t>Qualys, Inc.</t>
  </si>
  <si>
    <t>CrowdStrike Holdings, Inc.</t>
  </si>
  <si>
    <t>Palo Alto Networks, Inc.</t>
  </si>
  <si>
    <t>Fortinet, Inc.</t>
  </si>
  <si>
    <t>Tenable Holdings</t>
  </si>
  <si>
    <t>Rapid7 Inc</t>
  </si>
  <si>
    <t>SentinelOne Inc</t>
  </si>
  <si>
    <t>Varonis Systems</t>
  </si>
  <si>
    <t>Zscaler, Inc.</t>
  </si>
  <si>
    <t>CHKP</t>
  </si>
  <si>
    <t>Check Point Software Technologies Ltd.</t>
  </si>
  <si>
    <t>94% of revenue from existing customer base. Highly recurring, low churn risk on revenue</t>
  </si>
  <si>
    <t>Deep enterprise stickiness - 20+ modules on single platform, high switching costs once deployed</t>
  </si>
  <si>
    <t>Blue-chip customer base - majority of Forbes Global 100, validates enterprise credibility</t>
  </si>
  <si>
    <t>NDER flat at 103% for 3 consecutive years. No visible catalyst for expansion to re-accelerate</t>
  </si>
  <si>
    <t>Module upsell. New customers start with 1-2 of 20+ products, significant whitespace within existing base</t>
  </si>
  <si>
    <t>International revenue mix trending up (44% to 50%). Geographic diversification without new product investment</t>
  </si>
  <si>
    <t>Cloud migration complete - legacy on-prem security competitors still transitioning, creates share opportunity</t>
  </si>
  <si>
    <t>Buybacks compounding per-share value. ~2% annual share count reduction on top of organic growth</t>
  </si>
  <si>
    <t>CrowdStrike, Palo Alto, Zscaler competing for same enterprise wallet. Platform consolidation may favor larger vendors</t>
  </si>
  <si>
    <t>Asset-light model - no inventory, no hardware (moved to cloud), minimal capex (&lt;1% of revenue). Nearly all revenue converts to cash.</t>
  </si>
  <si>
    <t>Management provides minimal disclosure - no exact customer count, no cohort data, no segment breakdowns. Makes independent verification of growth drivers difficult.</t>
  </si>
  <si>
    <t>Regulatory and government tailwinds - SEC cyber disclosure rules and expanding FedRAMP/defense compliance mandates both drive demand for vulnerability assessment and compliance reporting.</t>
  </si>
  <si>
    <t>Terminal value is 80%+ of enterprise value - small changes in WACC or exit multiple swing the implied price by 30%+. Valuation is highly assumption-dependent.</t>
  </si>
  <si>
    <t xml:space="preserve">Even non-discretionary cybersecurity budgets get reviewed in downturns. The bigger players may be cheaper. </t>
  </si>
  <si>
    <t>AI could shift competitive dynamics in security tooling - TBD whether this benefits incumbents like QLYS (who have the data and platform to integrate AI) or enables new entrants to commoditize vulnerability scanning.</t>
  </si>
  <si>
    <t>NM</t>
  </si>
  <si>
    <t>S&amp;M as % of revenue has been increasing historically (18.6% to 21.4%), not declining. Forward projections assume leverage, but history does not support this yet. Partner channel growth has not reduced S&amp;M spend.</t>
  </si>
  <si>
    <t>Actuals = CFO residual (accrued expenses, tax payables, etc.). Forward = -1% of revenue; offset flows through Accrued Liabilities on BS</t>
  </si>
  <si>
    <t>Linked to CF Other Working Capital Changes (prior period + CF change). Forward reflects small net cash outflows from accrued expenses, tax payables, and other accruals.</t>
  </si>
  <si>
    <t>BS = prior period + CF Change in Deferred Revenue. Represents billings collected but not yet recognized. Grows with subscription base.</t>
  </si>
  <si>
    <t>Multi-year prepaid subscriptions recognized beyond 12 months. Small relative to current DR. Most QLYS contracts are annual.</t>
  </si>
  <si>
    <t>Prior period + SBC + Other Financing (tax withholding on RSU vesting). Grows primarily with stock-based compensation, which is the main driver of APIC increases.</t>
  </si>
  <si>
    <t>Forward grows with PP&amp;E and capitalized software. Linked to Assumptions page.</t>
  </si>
  <si>
    <t>Forward as % of revenue from Assumptions page. ~11% of revenue. Treated as real cost (FCF ex-SBC used in DCF).</t>
  </si>
  <si>
    <t>Actuals volatile — depends on treasury decisions. Forward = ~15% of CFO reinvested in securities (smoothing assumption).</t>
  </si>
  <si>
    <t>Forward held flat at ~$200M/year. QLYS has been a consistent repurchaser; no disclosed buyback program size to anchor to.</t>
  </si>
  <si>
    <t>Actuals = Cash + cash equiv + restricted cash from 10-K CF reconciliation. Forward = Beginning Cash + Net Change in Cash.</t>
  </si>
  <si>
    <t xml:space="preserve"> FCF / diluted shares outstanding. Share count declines with buybacks.</t>
  </si>
  <si>
    <t>Uses FCF ex-SBC, not headline FCF. SBC is ~11% of revenue. Treating it as a real economic cost to shareholders.</t>
  </si>
  <si>
    <t>FY25: Cash $250 + ST Mkt $196 + LT Mkt $251 = $698. Net cash position...negative net debt adds to equity value.</t>
  </si>
  <si>
    <t>Terminal value = ~80%+ of EV. Model is far more sensitive to WACC and exit multiple than terminal growth rate, Sensitivity tables below confirm this.</t>
  </si>
  <si>
    <t>Driven by Revenue Build page (NDER on existing base + new logo acquisition). Not a top-line growth rate assumption.</t>
  </si>
  <si>
    <t>Found in 10-K MD&amp;A. Risk: has been flat at 103% for 3 years. Deceleration below 100% would mean net contraction of existing revenue.</t>
  </si>
  <si>
    <t>High concentration on existing customers is both a strength (predictable) and a risk (dependent on NDER staying above 100%).</t>
  </si>
  <si>
    <t>Back-solved: ~13% annual logo churn. High vs. enterprise SaaS peers (~5-10%), but offset by strong NDER. QLYS loses small customers but expands larger ones.</t>
  </si>
  <si>
    <t xml:space="preserve">Company says in all Annual Reports "Customers are over 10,000". Held flat at 10,000 which is a key model limitation. </t>
  </si>
  <si>
    <t>If actual count is growing, model understates new logo ARPU. If shrinking, model overstates it. No way to verify with current disclosure.</t>
  </si>
  <si>
    <t>2026E Start is fixed. 2030E = Bear/Base/Bull terminal values. 2027-2029 interpolate linearly between start and terminal. Each metric toggles independently via column H dropdown.</t>
  </si>
  <si>
    <t>Actuals = AR / Revenue × 365. Fluctuates with billing timing. Held flat at FY25 level. No disclosed trend in collection terms.</t>
  </si>
  <si>
    <t>Scenario Summary</t>
  </si>
  <si>
    <t>Blended (avg of both methods)</t>
  </si>
  <si>
    <t>Upside / (Downside) vs Market</t>
  </si>
  <si>
    <t>New Customer ARPU ($K)</t>
  </si>
  <si>
    <t>5-yr Revenue CAGR</t>
  </si>
  <si>
    <t>EBITDA ($M)</t>
  </si>
  <si>
    <t>FCF ex-SBC ($M)</t>
  </si>
  <si>
    <t>Hardcoded constants: WACC, shares, net debt, capex/D&amp;A/SBC %, tax rate, working capital rules. Scenario-driven: NDER, new logos, new ARPU, GM%, R&amp;D%, S&amp;M%, terminal growth, exit multiple.</t>
  </si>
  <si>
    <t>BEAR SCENARIO</t>
  </si>
  <si>
    <t>(Inputs: Assumptions!E10:E17)</t>
  </si>
  <si>
    <t>Line Item</t>
  </si>
  <si>
    <t>Revenue</t>
  </si>
  <si>
    <t xml:space="preserve">  Revenue Growth %</t>
  </si>
  <si>
    <t>R&amp;D %</t>
  </si>
  <si>
    <t>S&amp;M %</t>
  </si>
  <si>
    <t>G&amp;A %</t>
  </si>
  <si>
    <t>EBIT ($M)</t>
  </si>
  <si>
    <t>D&amp;A ($M)</t>
  </si>
  <si>
    <t>NOPAT (EBIT × (1-t))</t>
  </si>
  <si>
    <t>(+) D&amp;A</t>
  </si>
  <si>
    <t>(-) Capex</t>
  </si>
  <si>
    <t>PV of FCF</t>
  </si>
  <si>
    <t>Terminal Value (Perpetuity)</t>
  </si>
  <si>
    <t>PV of TV (Perpetuity)</t>
  </si>
  <si>
    <t>Terminal Value (Exit Multiple)</t>
  </si>
  <si>
    <t>PV of TV (Multiple)</t>
  </si>
  <si>
    <t>(-) Net Debt</t>
  </si>
  <si>
    <t>→ Implied Price — Perpetuity</t>
  </si>
  <si>
    <t>→ Implied Price — Multiple</t>
  </si>
  <si>
    <t>BASE SCENARIO</t>
  </si>
  <si>
    <t>(Inputs: Assumptions!F10:F17)</t>
  </si>
  <si>
    <t>BULL SCENARIO</t>
  </si>
  <si>
    <t>(Inputs: Assumptions!G10:G17)</t>
  </si>
  <si>
    <t>(+) Δ Working Capital (DR growth)</t>
  </si>
  <si>
    <t xml:space="preserve"> </t>
  </si>
  <si>
    <t>APPENDIX — Shadow DCF (Supporting Analysis)</t>
  </si>
  <si>
    <t>Not the primary valuation — see DCF &amp; Sensitivity tab for book-of-record. This tab exists to support Scenario Summary.</t>
  </si>
  <si>
    <t>Implied Share Price  (Perpetuity)</t>
  </si>
  <si>
    <t>Implied Share Price  (Exit Multiple)</t>
  </si>
  <si>
    <t>Appendix &gt;&gt;&gt;</t>
  </si>
  <si>
    <t>Valuation &gt;&gt;&gt;</t>
  </si>
  <si>
    <t>Current DR % of Total DR</t>
  </si>
  <si>
    <t>Cash</t>
  </si>
  <si>
    <t>Marketable Securities</t>
  </si>
  <si>
    <t>QUALYS, INC.</t>
  </si>
  <si>
    <t>Net Dollar Expansion Rate (terminal)</t>
  </si>
  <si>
    <t>Terminal Operating Margin</t>
  </si>
  <si>
    <t>NASDAQ: QLYS</t>
  </si>
  <si>
    <t>Cybersecurity — SaaS Vulnerability Management</t>
  </si>
  <si>
    <t>› Summary</t>
  </si>
  <si>
    <t xml:space="preserve">   Scenario Summary</t>
  </si>
  <si>
    <t xml:space="preserve">   SWOT</t>
  </si>
  <si>
    <t>› Valuation</t>
  </si>
  <si>
    <t xml:space="preserve">   Assumptions</t>
  </si>
  <si>
    <t xml:space="preserve">   Revenue Build</t>
  </si>
  <si>
    <t xml:space="preserve">   Income Statement</t>
  </si>
  <si>
    <t xml:space="preserve">   Balance Sheet</t>
  </si>
  <si>
    <t xml:space="preserve">   Cash Flow</t>
  </si>
  <si>
    <t xml:space="preserve">   DCF &amp; Sensitivity</t>
  </si>
  <si>
    <t xml:space="preserve">   Comps</t>
  </si>
  <si>
    <t>› Appendix</t>
  </si>
  <si>
    <t xml:space="preserve">   Shadow DCF</t>
  </si>
  <si>
    <t xml:space="preserve">   Sources</t>
  </si>
  <si>
    <t>Key Assumptions</t>
  </si>
  <si>
    <t>Valuation Snapshot</t>
  </si>
  <si>
    <t>Net Debt ($M)</t>
  </si>
  <si>
    <t>Diluted Shares Outstanding (M)</t>
  </si>
  <si>
    <t>Base Case (Perpetuity Growth)</t>
  </si>
  <si>
    <t>Base Case  (Exit Multiple)</t>
  </si>
  <si>
    <t>CHECK: BS Cash vs CFS Ending Cash</t>
  </si>
  <si>
    <t>Short-Term Investments</t>
  </si>
  <si>
    <t>Beta (raw, 5-yr regression)</t>
  </si>
  <si>
    <t>Beta (Adjusted, peer-median)</t>
  </si>
  <si>
    <t>Beta: 0.61 raw (5Y monthly) → 1.00 adjusted</t>
  </si>
  <si>
    <t>Yahoo Finance (raw); peer-median adjustment per Direct cyber comps (CRWD, PANW, FTNT, ZS, etc.)</t>
  </si>
  <si>
    <t>TAKEAWAY</t>
  </si>
  <si>
    <t>Even the Bear scenario (NDER 95%, S&amp;M deleverage, GM compression) implies $87–$98 / share, a 8–21% upside.
Base case is $124–$169 (55–110% upside). To justify $80.52, you'd need a future scenario worse than the Bear: NDER below 95%, meaningful logo churn, or competitive displacement by PANW/CRWD.</t>
  </si>
  <si>
    <t>The valuation outputs (share price &amp; FY30E) values are simplified views of bear, base, and bull that reconcile within 3% of the main financial model.</t>
  </si>
  <si>
    <t>Takeaways</t>
  </si>
  <si>
    <t>Valuation Summary</t>
  </si>
  <si>
    <t>Scenario Drivers</t>
  </si>
  <si>
    <t>Range (Bull − Bear)</t>
  </si>
  <si>
    <t>Enteprise Value - Perpetuity</t>
  </si>
  <si>
    <t>Enterprise Value - Exit Multiple</t>
  </si>
  <si>
    <t>FY25A</t>
  </si>
  <si>
    <t>FY30E Model Outputs</t>
  </si>
  <si>
    <t>COST</t>
  </si>
  <si>
    <t>VALUATION</t>
  </si>
  <si>
    <t>FY21A</t>
  </si>
  <si>
    <t>FY22A</t>
  </si>
  <si>
    <t>FY23A</t>
  </si>
  <si>
    <t>FY24A</t>
  </si>
  <si>
    <t>FY26E</t>
  </si>
  <si>
    <t>FY27E</t>
  </si>
  <si>
    <t>FY28E</t>
  </si>
  <si>
    <t>FY29E</t>
  </si>
  <si>
    <t>FY30E</t>
  </si>
  <si>
    <t>Current market share price</t>
  </si>
  <si>
    <t>$</t>
  </si>
  <si>
    <t>Buybacks as % of FCF</t>
  </si>
  <si>
    <t>Share buybacks</t>
  </si>
  <si>
    <t>Diluted shares outstanding</t>
  </si>
  <si>
    <t>Total capital return (% of FCF)</t>
  </si>
  <si>
    <t>How FCF gets returned to shareholders. Flow: FCF × Buyback% = Buyback$ → retires shares at market price → reduces diluted share count → flows to CF financing.</t>
  </si>
  <si>
    <t>Historical year-end prices (approximate). Forecast pulled from DCF current share price ($80.52) and held flat — used purely as the denominator for share-retirement math.</t>
  </si>
  <si>
    <t>FY26E anchors at 60% (FY25 actual). Linear interp to FY30E terminal driven by scenario toggle: Bear 60 / Base 80 / Bull 95. Historical FY22 &gt;100% reflects drawdown of accumulated cash.</t>
  </si>
  <si>
    <t>Rollforward: prior − (buybacks / share price) + (SBC / share price). Captures both retirements and dilution from SBC vesting. Historicals hardcoded from 10-K EPS denominator.</t>
  </si>
  <si>
    <t>Sanity check on total capital return intensity. Equals buyback% since dividends are zero.</t>
  </si>
  <si>
    <t>Buybacks % of FCF</t>
  </si>
  <si>
    <t>Margin Drivers</t>
  </si>
  <si>
    <t>Adjusted Beta (Blume)</t>
  </si>
  <si>
    <t>Customer Metrics</t>
  </si>
  <si>
    <t>Customer Count BOP</t>
  </si>
  <si>
    <t>Customer Count EOP</t>
  </si>
  <si>
    <t>Operating Expenses</t>
  </si>
  <si>
    <t>Below the Line</t>
  </si>
  <si>
    <t>EPS &amp; Share Count</t>
  </si>
  <si>
    <t>EBITDA &amp; SBC</t>
  </si>
  <si>
    <t>EBITDA ex-SBC</t>
  </si>
  <si>
    <t>EBITDA-SBC Margin %</t>
  </si>
  <si>
    <t>Interest income is material: $23-25M/yr in FY24-25 from ~$600M cash earning ~4% in the high-rate environment. Forecast fades to $17.5M by FY30E reflecting (i) lower assumed rate environment and (ii) cash deployed into buybacks (see capital allocation block). Effective tax rate 15-20% sits below 21% normal rate due to R&amp;D credits and FDII benefits.</t>
  </si>
  <si>
    <t>EPS grows FAR faster than Net Income. Most of EPS growth comes from share count declining via aggressive buybacks. Per-share math is a key lever. EPS sensitivity to buyback pace is second only to NDER in the model.</t>
  </si>
  <si>
    <t>FCF Projection</t>
  </si>
  <si>
    <t>WACC Caluclation</t>
  </si>
  <si>
    <t>Sensitivity: WACC vs Terminal Growth Rate</t>
  </si>
  <si>
    <t>Sensitivity: WACC vs. Exit Multiple</t>
  </si>
  <si>
    <t>The terminal growth rate does not effect the valuation nearly as much as WACC. Find the current market price ($80.50) in this grid to see what terminal growth rate the market is implying at various WACCs.</t>
  </si>
  <si>
    <t>`</t>
  </si>
  <si>
    <t>Cybersecurity Peers</t>
  </si>
  <si>
    <t>Comparable Companies Analysis</t>
  </si>
  <si>
    <t>Method</t>
  </si>
  <si>
    <t>Implied EV</t>
  </si>
  <si>
    <t>Upside/(Downside)</t>
  </si>
  <si>
    <t>EPS (NTM)</t>
  </si>
  <si>
    <t>Price ($)</t>
  </si>
  <si>
    <t>Mkt Cap ($M)</t>
  </si>
  <si>
    <t>Rev Growth</t>
  </si>
  <si>
    <t>EBITDA %</t>
  </si>
  <si>
    <t>EV/Rev</t>
  </si>
  <si>
    <t>Key Takeaways</t>
  </si>
  <si>
    <t>Implied QLYS Valuation (Peer Median)</t>
  </si>
  <si>
    <t>Peer Median</t>
  </si>
  <si>
    <t>QLYS Metric</t>
  </si>
  <si>
    <t>Implied Equity Val</t>
  </si>
  <si>
    <t>Implied Price/Sh</t>
  </si>
  <si>
    <t>EV/EBITDA-ex-SBC</t>
  </si>
  <si>
    <t>P/FCF ex-SBC</t>
  </si>
  <si>
    <t>EBITDA ex-SBC ($M)</t>
  </si>
  <si>
    <t>Summary Statistics (Peers, excl. QLYS)</t>
  </si>
  <si>
    <t>Cybersecurity Peer Median</t>
  </si>
  <si>
    <t>Cybersecurity Peer Mean</t>
  </si>
  <si>
    <t>Qualys looks cheap on the peer group, especially once you treat stock comp as a real expense. On headline multiples (EV/Revenue, EV/EBITDA), QLYS trades at a modest discount reflecting its slower growth. But on measures that account for SBC — P/E and P/FCF-ex-SBC — the discount becomes dramatic. Several peers generate very little actual cash once SBC is deducted, and a couple are negative; QLYS produces a meaningful amount.
Closest profile comparables are Check Point and Fortinet — similar cash quality, similar growth dynamics. QLYS trades inside that range, and cheaper than both on P/FCF-ex-SBC. 
Bottom line: comps support the valuation case but with a wide range of implied prices depending on which multiple you pick. Use them as a sanity check; the DCF remains the anchor.</t>
  </si>
  <si>
    <r>
      <rPr>
        <b/>
        <i/>
        <sz val="10"/>
        <color theme="1"/>
        <rFont val="Calibri"/>
        <family val="2"/>
        <scheme val="minor"/>
      </rPr>
      <t xml:space="preserve">Methodology: </t>
    </r>
    <r>
      <rPr>
        <i/>
        <sz val="10"/>
        <color theme="1"/>
        <rFont val="Calibri"/>
        <family val="2"/>
        <scheme val="minor"/>
      </rPr>
      <t>All peer financials are forward (NTM). FY26 guidance midpoint for calendar-year filers (FTNT, TENB, RPD, VRNS, CHKP), or the most recent fiscal year ending in 2026 for non-calendar filers (CRWD FY27, PANW FY26 ending Jul26, ZS FY26 ending Jul26, S FY27). QLYS is also FY26E from this model. Mixing fiscal years is standard comps practice — the principle is 'next 12 months' of forward earnings, regardless of fiscal calendar. All data sourced from company IR pages and SEC 8-K earnings releases.
EBITDA-ex-SBC and FCF-ex-SBC: Street convention adds SBC back to both EBITDA and FCF, treating it as non-cash. We subtract SBC instead, treating it as a real compensation expense which is consistent with our DCF methodology. EBITDA-ex-SBC = Non-GAAP Operating Income + D&amp;A (where Non-GAAP already excludes SBC, so this is really EBIT-ex-SBC + D&amp;A). FCF-ex-SBC = Reported FCF minus SBC expense. CRWD, ZS, S, and VRNS generate minimal or negative FCF ex-SBC because stock comp consumes most of their cash generation, a fact hidden by headline non-GAAP metrics.</t>
    </r>
  </si>
  <si>
    <t>Buybacks as a % of FCF</t>
  </si>
  <si>
    <t>-</t>
  </si>
  <si>
    <t>Bear / Base / Bull scenarios side-by-side. Valuation from Shadow DCF tab (simplified model, scenario-specific drivers). Current market: $80/sh.</t>
  </si>
  <si>
    <t>Football Field Chart — Source Data</t>
  </si>
  <si>
    <t>This sheet feeds the 'Football Field — Implied Price by Method ($/sh)' chart on Scenario Summary. Do not delete.</t>
  </si>
  <si>
    <t>Low</t>
  </si>
  <si>
    <t>Width</t>
  </si>
  <si>
    <t>High</t>
  </si>
  <si>
    <t>Description</t>
  </si>
  <si>
    <t>DCF — Perpetuity Growth</t>
  </si>
  <si>
    <t>Bear → Bull scenario range</t>
  </si>
  <si>
    <t>DCF — Exit Multiple</t>
  </si>
  <si>
    <t>Comps — EV/EBITDA-ex-SBC</t>
  </si>
  <si>
    <t>Peer 25th–75th pctile × QLYS FY26E EBITDA-ex-SBC</t>
  </si>
  <si>
    <t>52-Week Trading Range</t>
  </si>
  <si>
    <t>Market trading context (approx)</t>
  </si>
  <si>
    <t>Current Price</t>
  </si>
  <si>
    <t>Range Label</t>
  </si>
  <si>
    <t>Price Line X</t>
  </si>
  <si>
    <t>Price Line Y</t>
  </si>
  <si>
    <t>Growing buyback $ reflects growing FCF base, not just higher payout ratio.</t>
  </si>
  <si>
    <t>Ideally, a cybersecurity SaaS revenue build would decompose growth into retention bridges by product (VMDR, EDR, CSAM, TotalCloud, PCI). We would be able to understand for each product, the $, ARPU, and count generated from existing customers vs. new customers. Note on Revenue Type: (98% of $ come from subscription so the 2% professional fees dont really matter).
We were given three key pieces of information  from the annual reports: i) NDER (net retention),  ii) "Customer count is over 10,000", and iii) "new customers start with 1-2 of ~20 products". With the information given, our model works with the following formula: Current Year Revenue = (Prior Year Revenue × NDER) + (New Logos × New Customer ARPU). In the HP, we derived Blended ARPU by taking two pieces of known information: Total Revenue / 10,000 customers. Using this blended ARPU, we estimated that the New ARPU is 0.5 * Blended ARPU and resultingly, derived a New Logos Added. The future assumptions toggle for New Logo Count and ARPU are based on the range we backed into in the HP. 
In short, we anchor the forecast to the single disclosed driver (NDER) that management guides on each quarter. This is acceptable for QLYS specifically because new-logo revenue has been a steady 6-8% of total (H25: 6.5%), so the residual block is small relative to expansion; NDER remains the primary value lever and scenario toggle.</t>
  </si>
  <si>
    <t xml:space="preserve">Biggest operating leverage story is NOT where most expect. S&amp;M holds relatively flat across history and forecast. QLYS continues reinvesting in GTM to retain market share. R&amp;D is disciplined vs cyber peers (CRWD ~25%, ZS ~22% of revenue). Margin expansion is coming almost entirely from G&amp;A scaling down — classic leverage on fixed public-company costs as revenue grows. </t>
  </si>
  <si>
    <t>Gross margin expansion story: driven by scale on hosting infrastructure (AWS + colo costs spread over a growing revenue base) and mix shift toward higher-margin newer products.</t>
  </si>
  <si>
    <t>if QLYS needs to step up S&amp;M to defend share against platform consolidators, the G&amp;A leverage won't be enough to hold margins.</t>
  </si>
  <si>
    <t>D&amp;A declining in absolute $ ($36M FY21 → $11M FY30E) — M&amp;A activity done, internal capex is ~1% of revenue.
SBC is the watch-item: $67-97M/yr at 10-16% of revenue. On GAAP basis it's a non-cash add-back, but it IS real dilution (see per-share section). This is why the DCF uses FCF-ex-SBC. The reported $300M FCF becomes ~$225M of true economic cash after treating SBC as a compensation expense, not an add-back.</t>
  </si>
  <si>
    <t>At $80.52, the market implies EV of ~$2,241M, or 3.4x EV/Revenue, 9.5x EV/EBITDA, and 7.4x EV/FCF. This is a meaningful discount to cyber peers (29x EV/EBITDA median).</t>
  </si>
  <si>
    <t>Platform is deep but narrow. Only provide vulnerability management and compliance. Bigger players offer end-to-end incl. endpoint, network and cloud ****</t>
  </si>
  <si>
    <t>Core Thesis — Why is QLYS at $80? The answer lies in terminal value assumptions.
The market is pricing in the likelihood that net retention, though stable right now, falls below 100% in the future due to customer churn and price compression from platform consolidators (PANW, CRWD) bundling Vulnerability Management (VM) into their suites. Layered on top is terminal-value doubt about QLYS existing as a standalone in 10 years: does the VM product category exist as a standalone spend line in 2032 — yes or no?
At current profitability QLYS prints ~$225M/yr of true economic cash regardless of growth. A fair "no-growth" value is 10–12x FCF-ex-SBC, or roughly $80–90/sh — meaning the stock is already trading at the low end of its no-growth floor. The question becomes which way it breaks from here. If NDER stabilizes above 102% and S&amp;M discipline holds, the stock is meaningfully mispriced to the upside. If NDER slips and sustains below 100%, the floor itself compresses (8–10x) as the market loses faith in standalone VM, and downside opens up.
That being said, downside is cushioned by strategic value: at ~$225M of FCF, QLYS is an lucrative add-on for a platform player (PANW, CRWD, S) or a PE sponsor at a typical 15–18x FCF take-out, which brackets the current price. That optionality is why the stock is unlikely to trade materially below $80 absent a fundamental break in the cash flow profile.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</si>
</sst>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3" formatCode="_(* #,##0.00_);_(* \(#,##0.00\);_(* &quot;-&quot;??_);_(@_)"/>
    <numFmt numFmtId="164" formatCode="0.0"/>
    <numFmt numFmtId="165" formatCode="#,##0.0"/>
    <numFmt numFmtId="166" formatCode="_(* #,##0.0_);_(* \(#,##0.0\);_(* &quot;-&quot;??_);_(@_)"/>
    <numFmt numFmtId="167" formatCode="_(* #,##0_);_(* \(#,##0\);_(* &quot;-&quot;??_);_(@_)"/>
    <numFmt numFmtId="168" formatCode="0.0\x"/>
    <numFmt numFmtId="169" formatCode="0.0%"/>
    <numFmt numFmtId="170" formatCode="0&quot;%&quot;"/>
    <numFmt numFmtId="171" formatCode="&quot;$&quot;#,##0.00"/>
    <numFmt numFmtId="172" formatCode="0.0&quot;x&quot;"/>
    <numFmt numFmtId="173" formatCode="0.0&quot;%&quot;"/>
    <numFmt numFmtId="174" formatCode="&quot;$&quot;#,##0.0"/>
    <numFmt numFmtId="175" formatCode="0.000"/>
    <numFmt numFmtId="176" formatCode="&quot;$&quot;#,##0;\(&quot;$&quot;#,##0\);\-"/>
    <numFmt numFmtId="177" formatCode="0.00&quot;x&quot;"/>
    <numFmt numFmtId="178" formatCode="&quot;$&quot;#,##0"/>
    <numFmt numFmtId="179" formatCode="0.0%;\(0.0%\)"/>
    <numFmt numFmtId="180" formatCode="#,##0.0;\(#,##0.0\);\-"/>
  </numFmts>
  <fonts count="76" x14ac:knownFonts="1">
    <font>
      <sz val="11"/>
      <color theme="1"/>
      <name val="Calibri"/>
      <family val="2"/>
      <scheme val="minor"/>
    </font>
    <font>
      <sz val="11"/>
      <color theme="1"/>
      <name val="Calibri"/>
      <family val="2"/>
      <scheme val="minor"/>
    </font>
    <font>
      <sz val="10"/>
      <color rgb="FF0000FF"/>
      <name val="Calibri"/>
      <family val="2"/>
    </font>
    <font>
      <b/>
      <sz val="10"/>
      <color rgb="FF000000"/>
      <name val="Calibri"/>
      <family val="2"/>
    </font>
    <font>
      <sz val="10"/>
      <color rgb="FF000000"/>
      <name val="Calibri"/>
      <family val="2"/>
    </font>
    <font>
      <i/>
      <sz val="10"/>
      <color rgb="FF000000"/>
      <name val="Calibri"/>
      <family val="2"/>
    </font>
    <font>
      <b/>
      <sz val="12"/>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i/>
      <sz val="10"/>
      <color rgb="FF008000"/>
      <name val="Calibri"/>
      <family val="2"/>
    </font>
    <font>
      <b/>
      <i/>
      <sz val="10"/>
      <color rgb="FF000000"/>
      <name val="Calibri"/>
      <family val="2"/>
      <scheme val="minor"/>
    </font>
    <font>
      <i/>
      <sz val="10"/>
      <color rgb="FF555555"/>
      <name val="Calibri (Body)"/>
    </font>
    <font>
      <b/>
      <sz val="10"/>
      <color rgb="FF1F4E79"/>
      <name val="Calibri (Body)"/>
    </font>
    <font>
      <sz val="10"/>
      <color rgb="FF000000"/>
      <name val="Calibri"/>
      <family val="2"/>
    </font>
    <font>
      <sz val="10"/>
      <color rgb="FF008000"/>
      <name val="Calibri"/>
      <family val="2"/>
    </font>
    <font>
      <sz val="10"/>
      <color rgb="FF000000"/>
      <name val="Calibri"/>
      <family val="2"/>
    </font>
    <font>
      <sz val="10"/>
      <color rgb="FF0000FF"/>
      <name val="Calibri"/>
      <family val="2"/>
    </font>
    <font>
      <b/>
      <sz val="10"/>
      <color theme="1"/>
      <name val="Calibri"/>
      <family val="2"/>
    </font>
    <font>
      <b/>
      <sz val="10"/>
      <color theme="0"/>
      <name val="Calibri"/>
      <family val="2"/>
    </font>
    <font>
      <b/>
      <sz val="10"/>
      <color theme="1"/>
      <name val="Calibri (Body)"/>
    </font>
    <font>
      <sz val="10"/>
      <color theme="1"/>
      <name val="Calibri"/>
      <family val="2"/>
    </font>
    <font>
      <b/>
      <sz val="11"/>
      <color theme="1"/>
      <name val="Calibri"/>
      <family val="2"/>
      <scheme val="minor"/>
    </font>
    <font>
      <i/>
      <sz val="11"/>
      <color theme="1"/>
      <name val="Calibri"/>
      <family val="2"/>
      <scheme val="minor"/>
    </font>
    <font>
      <i/>
      <sz val="10"/>
      <color rgb="FF555555"/>
      <name val="Calibri"/>
      <family val="2"/>
      <scheme val="minor"/>
    </font>
    <font>
      <b/>
      <sz val="18"/>
      <color theme="1"/>
      <name val="Calibri"/>
      <family val="2"/>
      <scheme val="minor"/>
    </font>
    <font>
      <sz val="10"/>
      <color rgb="FF000000"/>
      <name val="Tahoma"/>
      <family val="2"/>
    </font>
    <font>
      <b/>
      <sz val="10"/>
      <color rgb="FF000000"/>
      <name val="Tahoma"/>
      <family val="2"/>
    </font>
    <font>
      <b/>
      <sz val="10"/>
      <color theme="1"/>
      <name val="Calibri"/>
      <family val="2"/>
      <scheme val="minor"/>
    </font>
    <font>
      <b/>
      <sz val="10"/>
      <color rgb="FF008000"/>
      <name val="Calibri"/>
      <family val="2"/>
    </font>
    <font>
      <i/>
      <sz val="10"/>
      <color rgb="FF777777"/>
      <name val="Calibri"/>
      <family val="2"/>
      <scheme val="minor"/>
    </font>
    <font>
      <b/>
      <i/>
      <sz val="10"/>
      <color theme="1"/>
      <name val="Calibri"/>
      <family val="2"/>
      <scheme val="minor"/>
    </font>
    <font>
      <i/>
      <sz val="10"/>
      <color rgb="FF008000"/>
      <name val="Calibri"/>
      <family val="2"/>
      <scheme val="minor"/>
    </font>
    <font>
      <b/>
      <sz val="12"/>
      <color theme="1"/>
      <name val="Calibri"/>
      <family val="2"/>
      <scheme val="minor"/>
    </font>
    <font>
      <b/>
      <sz val="10"/>
      <name val="Calibri"/>
      <family val="2"/>
      <scheme val="minor"/>
    </font>
    <font>
      <i/>
      <sz val="10"/>
      <color rgb="FF595959"/>
      <name val="Calibri"/>
      <family val="2"/>
      <scheme val="minor"/>
    </font>
    <font>
      <i/>
      <sz val="10"/>
      <color rgb="FFC00000"/>
      <name val="Calibri"/>
      <family val="2"/>
      <scheme val="minor"/>
    </font>
    <font>
      <i/>
      <sz val="9"/>
      <color rgb="FF808080"/>
      <name val="Calibri (Body)"/>
    </font>
    <font>
      <b/>
      <sz val="9"/>
      <color rgb="FF1F4E79"/>
      <name val="Calibri"/>
      <family val="2"/>
      <scheme val="minor"/>
    </font>
    <font>
      <b/>
      <sz val="11"/>
      <color rgb="FFFFFFFF"/>
      <name val="Calibri"/>
      <family val="2"/>
      <scheme val="minor"/>
    </font>
    <font>
      <b/>
      <sz val="9"/>
      <color rgb="FF1F4E79"/>
      <name val="Calibri"/>
      <family val="2"/>
    </font>
    <font>
      <i/>
      <sz val="10"/>
      <color rgb="FF0000FF"/>
      <name val="Calibri"/>
      <family val="2"/>
    </font>
    <font>
      <b/>
      <i/>
      <sz val="10"/>
      <color theme="1"/>
      <name val="Calibri (Body)"/>
    </font>
    <font>
      <b/>
      <sz val="10"/>
      <color rgb="FFFFFFFF"/>
      <name val="Calibri"/>
      <family val="2"/>
      <scheme val="minor"/>
    </font>
    <font>
      <b/>
      <sz val="10"/>
      <color theme="0"/>
      <name val="Calibri"/>
      <family val="2"/>
      <scheme val="minor"/>
    </font>
    <font>
      <sz val="11"/>
      <color rgb="FF008000"/>
      <name val="Calibri"/>
      <family val="2"/>
      <scheme val="minor"/>
    </font>
    <font>
      <b/>
      <i/>
      <sz val="11"/>
      <color rgb="FF000000"/>
      <name val="Calibri"/>
      <family val="2"/>
      <scheme val="minor"/>
    </font>
    <font>
      <b/>
      <i/>
      <sz val="10"/>
      <color rgb="FF1F3864"/>
      <name val="Calibri"/>
      <family val="2"/>
      <scheme val="minor"/>
    </font>
    <font>
      <b/>
      <sz val="10"/>
      <color rgb="FFFFFFFF"/>
      <name val="Arial"/>
      <family val="2"/>
    </font>
    <font>
      <b/>
      <sz val="10"/>
      <color rgb="FFFFFFFF"/>
      <name val="Calibri (Body)"/>
    </font>
    <font>
      <i/>
      <sz val="9"/>
      <color rgb="FF595959"/>
      <name val="Calibri (Body)"/>
    </font>
    <font>
      <sz val="10"/>
      <color rgb="FF555555"/>
      <name val="Calibri"/>
      <family val="2"/>
      <scheme val="minor"/>
    </font>
    <font>
      <i/>
      <sz val="10"/>
      <color rgb="FF808080"/>
      <name val="Calibri"/>
      <family val="2"/>
      <scheme val="minor"/>
    </font>
    <font>
      <i/>
      <sz val="11"/>
      <color rgb="FF595959"/>
      <name val="Calibri"/>
      <family val="2"/>
      <scheme val="minor"/>
    </font>
    <font>
      <b/>
      <sz val="24"/>
      <color rgb="FF1F4E78"/>
      <name val="Calibri"/>
      <family val="2"/>
      <scheme val="minor"/>
    </font>
    <font>
      <sz val="14"/>
      <color rgb="FF404040"/>
      <name val="Calibri"/>
      <family val="2"/>
      <scheme val="minor"/>
    </font>
  </fonts>
  <fills count="23">
    <fill>
      <patternFill patternType="none"/>
    </fill>
    <fill>
      <patternFill patternType="gray125"/>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C00000"/>
        <bgColor indexed="64"/>
      </patternFill>
    </fill>
    <fill>
      <patternFill patternType="solid">
        <fgColor rgb="FF548235"/>
        <bgColor indexed="64"/>
      </patternFill>
    </fill>
    <fill>
      <patternFill patternType="solid">
        <fgColor rgb="FF2E75B6"/>
        <bgColor indexed="64"/>
      </patternFill>
    </fill>
    <fill>
      <patternFill patternType="solid">
        <fgColor rgb="FFD9E1F2"/>
        <bgColor indexed="64"/>
      </patternFill>
    </fill>
    <fill>
      <patternFill patternType="solid">
        <fgColor rgb="FFE2EFDA"/>
        <bgColor indexed="64"/>
      </patternFill>
    </fill>
    <fill>
      <patternFill patternType="solid">
        <fgColor rgb="FF808080"/>
        <bgColor indexed="64"/>
      </patternFill>
    </fill>
    <fill>
      <patternFill patternType="solid">
        <fgColor rgb="FFF2F2F2"/>
        <bgColor indexed="64"/>
      </patternFill>
    </fill>
    <fill>
      <patternFill patternType="solid">
        <fgColor rgb="FFDCE6F1"/>
        <bgColor indexed="64"/>
      </patternFill>
    </fill>
    <fill>
      <patternFill patternType="solid">
        <fgColor rgb="FFF4B6B6"/>
        <bgColor indexed="64"/>
      </patternFill>
    </fill>
    <fill>
      <patternFill patternType="solid">
        <fgColor rgb="FFC6EFCE"/>
        <bgColor indexed="64"/>
      </patternFill>
    </fill>
    <fill>
      <patternFill patternType="solid">
        <fgColor theme="0" tint="-0.14999847407452621"/>
        <bgColor indexed="64"/>
      </patternFill>
    </fill>
    <fill>
      <patternFill patternType="solid">
        <fgColor rgb="FF1F4E79"/>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0"/>
        <bgColor indexed="64"/>
      </patternFill>
    </fill>
    <fill>
      <patternFill patternType="solid">
        <fgColor rgb="FFD9D9D9"/>
        <bgColor indexed="64"/>
      </patternFill>
    </fill>
  </fills>
  <borders count="21">
    <border>
      <left/>
      <right/>
      <top/>
      <bottom/>
      <diagonal/>
    </border>
    <border>
      <left/>
      <right/>
      <top/>
      <bottom style="medium">
        <color auto="1"/>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1"/>
      </bottom>
      <diagonal/>
    </border>
    <border>
      <left/>
      <right/>
      <top/>
      <bottom style="medium">
        <color theme="1"/>
      </bottom>
      <diagonal/>
    </border>
    <border>
      <left/>
      <right/>
      <top style="thin">
        <color rgb="FFE7E6E6"/>
      </top>
      <bottom style="thin">
        <color rgb="FFE7E6E6"/>
      </bottom>
      <diagonal/>
    </border>
    <border>
      <left/>
      <right/>
      <top style="thin">
        <color rgb="FFE7E6E6"/>
      </top>
      <bottom/>
      <diagonal/>
    </border>
    <border>
      <left/>
      <right/>
      <top style="medium">
        <color rgb="FF000000"/>
      </top>
      <bottom/>
      <diagonal/>
    </border>
    <border>
      <left/>
      <right/>
      <top style="medium">
        <color rgb="FF000000"/>
      </top>
      <bottom style="thin">
        <color rgb="FFF2F2F2"/>
      </bottom>
      <diagonal/>
    </border>
    <border>
      <left/>
      <right/>
      <top style="thin">
        <color rgb="FFF2F2F2"/>
      </top>
      <bottom/>
      <diagonal/>
    </border>
    <border>
      <left/>
      <right/>
      <top style="thin">
        <color rgb="FFF2F2F2"/>
      </top>
      <bottom style="thin">
        <color rgb="FFF2F2F2"/>
      </bottom>
      <diagonal/>
    </border>
    <border>
      <left/>
      <right/>
      <top/>
      <bottom style="medium">
        <color rgb="FF000000"/>
      </bottom>
      <diagonal/>
    </border>
    <border>
      <left/>
      <right/>
      <top style="thin">
        <color rgb="FF1F4E79"/>
      </top>
      <bottom/>
      <diagonal/>
    </border>
    <border>
      <left/>
      <right/>
      <top style="medium">
        <color auto="1"/>
      </top>
      <bottom/>
      <diagonal/>
    </border>
    <border>
      <left/>
      <right/>
      <top style="medium">
        <color auto="1"/>
      </top>
      <bottom style="thin">
        <color auto="1"/>
      </bottom>
      <diagonal/>
    </border>
  </borders>
  <cellStyleXfs count="3">
    <xf numFmtId="0" fontId="0" fillId="0" borderId="0"/>
    <xf numFmtId="43" fontId="1" fillId="0" borderId="0"/>
    <xf numFmtId="9" fontId="1" fillId="0" borderId="0" applyFont="0" applyFill="0" applyBorder="0" applyAlignment="0" applyProtection="0"/>
  </cellStyleXfs>
  <cellXfs count="401">
    <xf numFmtId="0" fontId="0" fillId="0" borderId="0" xfId="0"/>
    <xf numFmtId="0" fontId="5" fillId="0" borderId="0" xfId="0" applyFont="1"/>
    <xf numFmtId="0" fontId="6" fillId="0" borderId="0" xfId="0" applyFont="1"/>
    <xf numFmtId="0" fontId="10" fillId="0" borderId="0" xfId="0" applyFont="1"/>
    <xf numFmtId="0" fontId="11" fillId="0" borderId="0" xfId="0" applyFont="1"/>
    <xf numFmtId="0" fontId="12" fillId="0" borderId="0" xfId="0" applyFont="1"/>
    <xf numFmtId="0" fontId="11" fillId="0" borderId="2" xfId="0" applyFont="1" applyBorder="1"/>
    <xf numFmtId="0" fontId="4" fillId="0" borderId="2" xfId="0" applyFont="1" applyBorder="1"/>
    <xf numFmtId="0" fontId="8" fillId="0" borderId="2" xfId="0" applyFont="1" applyBorder="1"/>
    <xf numFmtId="0" fontId="8" fillId="0" borderId="3" xfId="0" applyFont="1" applyBorder="1"/>
    <xf numFmtId="164" fontId="9" fillId="0" borderId="3" xfId="0" applyNumberFormat="1" applyFont="1" applyBorder="1"/>
    <xf numFmtId="164" fontId="13" fillId="0" borderId="2" xfId="0" applyNumberFormat="1" applyFont="1" applyBorder="1"/>
    <xf numFmtId="0" fontId="4" fillId="0" borderId="3" xfId="0" applyFont="1" applyBorder="1"/>
    <xf numFmtId="164" fontId="14" fillId="0" borderId="2" xfId="0" applyNumberFormat="1" applyFont="1" applyBorder="1"/>
    <xf numFmtId="0" fontId="15" fillId="0" borderId="0" xfId="0" applyFont="1"/>
    <xf numFmtId="164" fontId="16" fillId="3" borderId="0" xfId="0" applyNumberFormat="1" applyFont="1" applyFill="1" applyAlignment="1">
      <alignment horizontal="center"/>
    </xf>
    <xf numFmtId="0" fontId="17" fillId="0" borderId="0" xfId="0" applyFont="1"/>
    <xf numFmtId="165" fontId="2" fillId="0" borderId="3" xfId="0" applyNumberFormat="1" applyFont="1" applyBorder="1"/>
    <xf numFmtId="165" fontId="2" fillId="0" borderId="2" xfId="0" applyNumberFormat="1" applyFont="1" applyBorder="1"/>
    <xf numFmtId="165" fontId="4" fillId="0" borderId="3" xfId="0" applyNumberFormat="1" applyFont="1" applyBorder="1"/>
    <xf numFmtId="0" fontId="18" fillId="0" borderId="0" xfId="0" applyFont="1"/>
    <xf numFmtId="0" fontId="19" fillId="0" borderId="0" xfId="0" applyFont="1"/>
    <xf numFmtId="164" fontId="19" fillId="0" borderId="0" xfId="0" applyNumberFormat="1" applyFont="1"/>
    <xf numFmtId="0" fontId="20" fillId="0" borderId="3" xfId="0" applyFont="1" applyBorder="1"/>
    <xf numFmtId="164" fontId="21" fillId="0" borderId="3" xfId="0" applyNumberFormat="1" applyFont="1" applyBorder="1"/>
    <xf numFmtId="0" fontId="17" fillId="0" borderId="2" xfId="0" applyFont="1" applyBorder="1"/>
    <xf numFmtId="164" fontId="15" fillId="0" borderId="2" xfId="0" applyNumberFormat="1" applyFont="1" applyBorder="1"/>
    <xf numFmtId="164" fontId="17" fillId="0" borderId="2" xfId="0" applyNumberFormat="1" applyFont="1" applyBorder="1"/>
    <xf numFmtId="164" fontId="22" fillId="0" borderId="3" xfId="0" applyNumberFormat="1" applyFont="1" applyBorder="1"/>
    <xf numFmtId="0" fontId="20" fillId="0" borderId="2" xfId="0" applyFont="1" applyBorder="1"/>
    <xf numFmtId="164" fontId="20" fillId="0" borderId="2" xfId="0" applyNumberFormat="1" applyFont="1" applyBorder="1"/>
    <xf numFmtId="164" fontId="22" fillId="0" borderId="2" xfId="0" applyNumberFormat="1" applyFont="1" applyBorder="1"/>
    <xf numFmtId="164" fontId="21" fillId="0" borderId="2" xfId="0" applyNumberFormat="1" applyFont="1" applyBorder="1"/>
    <xf numFmtId="164" fontId="20" fillId="0" borderId="3" xfId="0" applyNumberFormat="1" applyFont="1" applyBorder="1"/>
    <xf numFmtId="164" fontId="19" fillId="0" borderId="2" xfId="0" applyNumberFormat="1" applyFont="1" applyBorder="1"/>
    <xf numFmtId="164" fontId="23" fillId="0" borderId="2" xfId="0" applyNumberFormat="1" applyFont="1" applyBorder="1"/>
    <xf numFmtId="0" fontId="24" fillId="0" borderId="0" xfId="0" applyFont="1"/>
    <xf numFmtId="0" fontId="25" fillId="0" borderId="0" xfId="0" applyFont="1"/>
    <xf numFmtId="0" fontId="19" fillId="0" borderId="3" xfId="0" applyFont="1" applyBorder="1"/>
    <xf numFmtId="0" fontId="22" fillId="0" borderId="3" xfId="0" applyFont="1" applyBorder="1"/>
    <xf numFmtId="166" fontId="20" fillId="0" borderId="3" xfId="1" applyNumberFormat="1" applyFont="1" applyBorder="1"/>
    <xf numFmtId="0" fontId="15" fillId="0" borderId="2" xfId="0" applyFont="1" applyBorder="1"/>
    <xf numFmtId="164" fontId="26" fillId="0" borderId="2" xfId="0" applyNumberFormat="1" applyFont="1" applyBorder="1"/>
    <xf numFmtId="0" fontId="19" fillId="0" borderId="2" xfId="0" applyFont="1" applyBorder="1"/>
    <xf numFmtId="166" fontId="20" fillId="0" borderId="2" xfId="1" applyNumberFormat="1" applyFont="1" applyBorder="1"/>
    <xf numFmtId="166" fontId="17" fillId="0" borderId="2" xfId="1" applyNumberFormat="1" applyFont="1" applyBorder="1"/>
    <xf numFmtId="0" fontId="18" fillId="0" borderId="3" xfId="0" applyFont="1" applyBorder="1"/>
    <xf numFmtId="164" fontId="18" fillId="0" borderId="3" xfId="0" applyNumberFormat="1" applyFont="1" applyBorder="1"/>
    <xf numFmtId="167" fontId="22" fillId="0" borderId="3" xfId="1" applyNumberFormat="1" applyFont="1" applyBorder="1"/>
    <xf numFmtId="167" fontId="20" fillId="0" borderId="3" xfId="1" applyNumberFormat="1" applyFont="1" applyBorder="1"/>
    <xf numFmtId="167" fontId="20" fillId="0" borderId="2" xfId="1" applyNumberFormat="1" applyFont="1" applyBorder="1"/>
    <xf numFmtId="167" fontId="22" fillId="0" borderId="2" xfId="1" applyNumberFormat="1" applyFont="1" applyBorder="1"/>
    <xf numFmtId="166" fontId="15" fillId="0" borderId="2" xfId="1" applyNumberFormat="1" applyFont="1" applyBorder="1"/>
    <xf numFmtId="0" fontId="19" fillId="2" borderId="0" xfId="0" applyFont="1" applyFill="1"/>
    <xf numFmtId="0" fontId="22" fillId="0" borderId="2" xfId="0" applyFont="1" applyBorder="1"/>
    <xf numFmtId="3" fontId="21" fillId="0" borderId="2" xfId="0" applyNumberFormat="1" applyFont="1" applyBorder="1"/>
    <xf numFmtId="0" fontId="20" fillId="0" borderId="0" xfId="0" applyFont="1"/>
    <xf numFmtId="0" fontId="17" fillId="0" borderId="3" xfId="0" applyFont="1" applyBorder="1"/>
    <xf numFmtId="0" fontId="26" fillId="0" borderId="3" xfId="0" applyFont="1" applyBorder="1"/>
    <xf numFmtId="166" fontId="19" fillId="0" borderId="2" xfId="1" applyNumberFormat="1" applyFont="1" applyBorder="1"/>
    <xf numFmtId="164" fontId="23" fillId="0" borderId="3" xfId="0" applyNumberFormat="1" applyFont="1" applyBorder="1"/>
    <xf numFmtId="1" fontId="15" fillId="0" borderId="0" xfId="0" applyNumberFormat="1" applyFont="1"/>
    <xf numFmtId="1" fontId="19" fillId="0" borderId="3" xfId="0" applyNumberFormat="1" applyFont="1" applyBorder="1"/>
    <xf numFmtId="1" fontId="21" fillId="0" borderId="3" xfId="0" applyNumberFormat="1" applyFont="1" applyBorder="1"/>
    <xf numFmtId="1" fontId="22" fillId="0" borderId="3" xfId="0" applyNumberFormat="1" applyFont="1" applyBorder="1"/>
    <xf numFmtId="0" fontId="27" fillId="0" borderId="0" xfId="0" applyFont="1"/>
    <xf numFmtId="0" fontId="28" fillId="2" borderId="0" xfId="0" applyFont="1" applyFill="1"/>
    <xf numFmtId="0" fontId="28" fillId="0" borderId="2" xfId="0" applyFont="1" applyBorder="1" applyAlignment="1">
      <alignment horizontal="left"/>
    </xf>
    <xf numFmtId="0" fontId="27" fillId="0" borderId="2" xfId="0" applyFont="1" applyBorder="1"/>
    <xf numFmtId="0" fontId="29" fillId="0" borderId="0" xfId="0" applyFont="1"/>
    <xf numFmtId="0" fontId="4" fillId="0" borderId="4" xfId="0" applyFont="1" applyBorder="1"/>
    <xf numFmtId="164" fontId="14" fillId="0" borderId="4" xfId="0" applyNumberFormat="1" applyFont="1" applyBorder="1"/>
    <xf numFmtId="164" fontId="2" fillId="0" borderId="2" xfId="0" applyNumberFormat="1" applyFont="1" applyBorder="1"/>
    <xf numFmtId="164" fontId="4" fillId="0" borderId="2" xfId="0" applyNumberFormat="1" applyFont="1" applyBorder="1"/>
    <xf numFmtId="164" fontId="2" fillId="0" borderId="4" xfId="0" applyNumberFormat="1" applyFont="1" applyBorder="1"/>
    <xf numFmtId="164" fontId="4" fillId="0" borderId="4" xfId="0" applyNumberFormat="1" applyFont="1" applyBorder="1"/>
    <xf numFmtId="164" fontId="11" fillId="0" borderId="0" xfId="0" applyNumberFormat="1" applyFont="1"/>
    <xf numFmtId="0" fontId="4" fillId="0" borderId="5" xfId="0" applyFont="1" applyBorder="1"/>
    <xf numFmtId="164" fontId="4" fillId="0" borderId="5" xfId="0" applyNumberFormat="1" applyFont="1" applyBorder="1"/>
    <xf numFmtId="0" fontId="5" fillId="0" borderId="6" xfId="0" applyFont="1" applyBorder="1"/>
    <xf numFmtId="164" fontId="30" fillId="0" borderId="6" xfId="0" applyNumberFormat="1" applyFont="1" applyBorder="1"/>
    <xf numFmtId="0" fontId="11" fillId="0" borderId="3" xfId="0" applyFont="1" applyBorder="1"/>
    <xf numFmtId="0" fontId="9" fillId="0" borderId="2" xfId="0" applyFont="1" applyBorder="1"/>
    <xf numFmtId="0" fontId="31" fillId="0" borderId="0" xfId="0" applyFont="1"/>
    <xf numFmtId="0" fontId="32" fillId="0" borderId="0" xfId="0" applyFont="1"/>
    <xf numFmtId="0" fontId="33" fillId="0" borderId="0" xfId="0" applyFont="1"/>
    <xf numFmtId="0" fontId="27" fillId="0" borderId="4" xfId="0" applyFont="1" applyBorder="1"/>
    <xf numFmtId="165" fontId="19" fillId="0" borderId="2" xfId="0" applyNumberFormat="1" applyFont="1" applyBorder="1"/>
    <xf numFmtId="165" fontId="11" fillId="0" borderId="0" xfId="0" applyNumberFormat="1" applyFont="1"/>
    <xf numFmtId="165" fontId="14" fillId="0" borderId="2" xfId="0" applyNumberFormat="1" applyFont="1" applyBorder="1"/>
    <xf numFmtId="165" fontId="4" fillId="0" borderId="2" xfId="0" applyNumberFormat="1" applyFont="1" applyBorder="1"/>
    <xf numFmtId="165" fontId="14" fillId="0" borderId="3" xfId="0" applyNumberFormat="1" applyFont="1" applyBorder="1"/>
    <xf numFmtId="165" fontId="11" fillId="0" borderId="2" xfId="0" applyNumberFormat="1" applyFont="1" applyBorder="1"/>
    <xf numFmtId="0" fontId="17" fillId="0" borderId="2" xfId="0" applyFont="1" applyBorder="1" applyAlignment="1">
      <alignment horizontal="left" indent="1"/>
    </xf>
    <xf numFmtId="164" fontId="8" fillId="0" borderId="2" xfId="0" applyNumberFormat="1" applyFont="1" applyBorder="1"/>
    <xf numFmtId="164" fontId="34" fillId="0" borderId="3" xfId="0" applyNumberFormat="1" applyFont="1" applyBorder="1"/>
    <xf numFmtId="0" fontId="3" fillId="2" borderId="0" xfId="0" applyFont="1" applyFill="1"/>
    <xf numFmtId="0" fontId="35" fillId="0" borderId="3" xfId="0" applyFont="1" applyBorder="1"/>
    <xf numFmtId="0" fontId="36" fillId="0" borderId="0" xfId="0" applyFont="1"/>
    <xf numFmtId="0" fontId="36" fillId="0" borderId="2" xfId="0" applyFont="1" applyBorder="1"/>
    <xf numFmtId="0" fontId="37" fillId="0" borderId="2" xfId="0" applyFont="1" applyBorder="1"/>
    <xf numFmtId="164" fontId="36" fillId="0" borderId="2" xfId="0" applyNumberFormat="1" applyFont="1" applyBorder="1"/>
    <xf numFmtId="164" fontId="35" fillId="0" borderId="2" xfId="0" applyNumberFormat="1" applyFont="1" applyBorder="1"/>
    <xf numFmtId="166" fontId="35" fillId="0" borderId="2" xfId="1" applyNumberFormat="1" applyFont="1" applyBorder="1"/>
    <xf numFmtId="168" fontId="37" fillId="0" borderId="2" xfId="0" applyNumberFormat="1" applyFont="1" applyBorder="1"/>
    <xf numFmtId="0" fontId="38" fillId="2" borderId="2" xfId="0" applyFont="1" applyFill="1" applyBorder="1" applyAlignment="1">
      <alignment horizontal="right"/>
    </xf>
    <xf numFmtId="0" fontId="38" fillId="2" borderId="5" xfId="0" applyFont="1" applyFill="1" applyBorder="1" applyAlignment="1">
      <alignment horizontal="right"/>
    </xf>
    <xf numFmtId="0" fontId="39" fillId="5" borderId="9" xfId="0" applyFont="1" applyFill="1" applyBorder="1" applyAlignment="1">
      <alignment horizontal="left"/>
    </xf>
    <xf numFmtId="0" fontId="39" fillId="5" borderId="9" xfId="0" applyFont="1" applyFill="1" applyBorder="1" applyAlignment="1">
      <alignment horizontal="right"/>
    </xf>
    <xf numFmtId="0" fontId="3" fillId="2" borderId="9" xfId="0" applyFont="1" applyFill="1" applyBorder="1" applyAlignment="1">
      <alignment horizontal="right"/>
    </xf>
    <xf numFmtId="0" fontId="2" fillId="0" borderId="2" xfId="0" applyFont="1" applyBorder="1" applyAlignment="1">
      <alignment horizontal="right"/>
    </xf>
    <xf numFmtId="165" fontId="8" fillId="0" borderId="2" xfId="0" applyNumberFormat="1" applyFont="1" applyBorder="1"/>
    <xf numFmtId="165" fontId="9" fillId="0" borderId="2" xfId="0" applyNumberFormat="1" applyFont="1" applyBorder="1"/>
    <xf numFmtId="165" fontId="13" fillId="0" borderId="2" xfId="0" applyNumberFormat="1" applyFont="1" applyBorder="1"/>
    <xf numFmtId="165" fontId="7" fillId="0" borderId="2" xfId="0" applyNumberFormat="1" applyFont="1" applyBorder="1"/>
    <xf numFmtId="165" fontId="8" fillId="0" borderId="3" xfId="0" applyNumberFormat="1" applyFont="1" applyBorder="1"/>
    <xf numFmtId="0" fontId="31" fillId="0" borderId="3" xfId="0" applyFont="1" applyBorder="1"/>
    <xf numFmtId="164" fontId="19" fillId="0" borderId="5" xfId="0" applyNumberFormat="1" applyFont="1" applyBorder="1" applyAlignment="1">
      <alignment horizontal="right"/>
    </xf>
    <xf numFmtId="164" fontId="19" fillId="0" borderId="2" xfId="0" applyNumberFormat="1" applyFont="1" applyBorder="1" applyAlignment="1">
      <alignment horizontal="right"/>
    </xf>
    <xf numFmtId="165" fontId="41" fillId="0" borderId="2" xfId="0" applyNumberFormat="1" applyFont="1" applyBorder="1"/>
    <xf numFmtId="168" fontId="19" fillId="0" borderId="0" xfId="0" applyNumberFormat="1" applyFont="1"/>
    <xf numFmtId="0" fontId="40" fillId="0" borderId="0" xfId="0" applyFont="1"/>
    <xf numFmtId="0" fontId="28" fillId="0" borderId="0" xfId="0" applyFont="1" applyAlignment="1">
      <alignment horizontal="left"/>
    </xf>
    <xf numFmtId="164" fontId="41" fillId="0" borderId="2" xfId="0" applyNumberFormat="1" applyFont="1" applyBorder="1"/>
    <xf numFmtId="1" fontId="5" fillId="0" borderId="0" xfId="0" applyNumberFormat="1" applyFont="1" applyAlignment="1">
      <alignment horizontal="right"/>
    </xf>
    <xf numFmtId="0" fontId="42" fillId="0" borderId="0" xfId="0" applyFont="1"/>
    <xf numFmtId="0" fontId="43" fillId="0" borderId="0" xfId="0" applyFont="1"/>
    <xf numFmtId="0" fontId="44" fillId="0" borderId="0" xfId="0" applyFont="1"/>
    <xf numFmtId="0" fontId="45" fillId="0" borderId="0" xfId="0" applyFont="1"/>
    <xf numFmtId="173" fontId="19" fillId="0" borderId="0" xfId="0" applyNumberFormat="1" applyFont="1"/>
    <xf numFmtId="173" fontId="22" fillId="0" borderId="0" xfId="0" applyNumberFormat="1" applyFont="1"/>
    <xf numFmtId="173" fontId="15" fillId="0" borderId="0" xfId="0" applyNumberFormat="1" applyFont="1"/>
    <xf numFmtId="0" fontId="28" fillId="0" borderId="0" xfId="0" applyFont="1"/>
    <xf numFmtId="0" fontId="11" fillId="2" borderId="0" xfId="0" applyFont="1" applyFill="1"/>
    <xf numFmtId="171" fontId="11" fillId="0" borderId="0" xfId="0" applyNumberFormat="1" applyFont="1" applyAlignment="1">
      <alignment horizontal="left"/>
    </xf>
    <xf numFmtId="0" fontId="11" fillId="0" borderId="12" xfId="0" applyFont="1" applyBorder="1"/>
    <xf numFmtId="171" fontId="11" fillId="0" borderId="12" xfId="0" applyNumberFormat="1" applyFont="1" applyBorder="1" applyAlignment="1">
      <alignment horizontal="left"/>
    </xf>
    <xf numFmtId="0" fontId="11" fillId="0" borderId="11" xfId="0" applyFont="1" applyBorder="1"/>
    <xf numFmtId="171" fontId="11" fillId="0" borderId="11" xfId="0" applyNumberFormat="1" applyFont="1" applyBorder="1" applyAlignment="1">
      <alignment horizontal="left"/>
    </xf>
    <xf numFmtId="169" fontId="11" fillId="0" borderId="12" xfId="0" applyNumberFormat="1" applyFont="1" applyBorder="1" applyAlignment="1">
      <alignment horizontal="left"/>
    </xf>
    <xf numFmtId="172" fontId="11" fillId="0" borderId="12" xfId="0" applyNumberFormat="1" applyFont="1" applyBorder="1" applyAlignment="1">
      <alignment horizontal="left"/>
    </xf>
    <xf numFmtId="176" fontId="11" fillId="0" borderId="12" xfId="0" applyNumberFormat="1" applyFont="1" applyBorder="1" applyAlignment="1">
      <alignment horizontal="left"/>
    </xf>
    <xf numFmtId="164" fontId="11" fillId="0" borderId="11" xfId="0" applyNumberFormat="1" applyFont="1" applyBorder="1" applyAlignment="1">
      <alignment horizontal="left"/>
    </xf>
    <xf numFmtId="0" fontId="48" fillId="0" borderId="0" xfId="0" applyFont="1"/>
    <xf numFmtId="0" fontId="11" fillId="0" borderId="5" xfId="0" applyFont="1" applyBorder="1"/>
    <xf numFmtId="43" fontId="1" fillId="0" borderId="0" xfId="1"/>
    <xf numFmtId="175" fontId="20" fillId="0" borderId="2" xfId="0" applyNumberFormat="1" applyFont="1" applyBorder="1"/>
    <xf numFmtId="177" fontId="14" fillId="0" borderId="2" xfId="0" applyNumberFormat="1" applyFont="1" applyBorder="1"/>
    <xf numFmtId="175" fontId="9" fillId="0" borderId="2" xfId="0" applyNumberFormat="1" applyFont="1" applyBorder="1"/>
    <xf numFmtId="175" fontId="49" fillId="0" borderId="2" xfId="0" applyNumberFormat="1" applyFont="1" applyBorder="1"/>
    <xf numFmtId="177" fontId="22" fillId="0" borderId="2" xfId="0" applyNumberFormat="1" applyFont="1" applyBorder="1"/>
    <xf numFmtId="0" fontId="11" fillId="0" borderId="0" xfId="0" applyFont="1" applyAlignment="1">
      <alignment horizontal="right"/>
    </xf>
    <xf numFmtId="0" fontId="11" fillId="0" borderId="0" xfId="0" applyFont="1" applyAlignment="1">
      <alignment horizontal="center"/>
    </xf>
    <xf numFmtId="171" fontId="9" fillId="0" borderId="5" xfId="0" applyNumberFormat="1" applyFont="1" applyBorder="1" applyAlignment="1">
      <alignment horizontal="right"/>
    </xf>
    <xf numFmtId="171" fontId="9" fillId="0" borderId="2" xfId="0" applyNumberFormat="1" applyFont="1" applyBorder="1" applyAlignment="1">
      <alignment horizontal="right"/>
    </xf>
    <xf numFmtId="0" fontId="12" fillId="0" borderId="2" xfId="0" applyFont="1" applyBorder="1"/>
    <xf numFmtId="169" fontId="10" fillId="0" borderId="2" xfId="0" applyNumberFormat="1" applyFont="1" applyBorder="1" applyAlignment="1">
      <alignment horizontal="right"/>
    </xf>
    <xf numFmtId="3" fontId="9" fillId="0" borderId="2" xfId="0" applyNumberFormat="1" applyFont="1" applyBorder="1" applyAlignment="1">
      <alignment horizontal="right"/>
    </xf>
    <xf numFmtId="3" fontId="9" fillId="0" borderId="0" xfId="0" applyNumberFormat="1" applyFont="1" applyAlignment="1">
      <alignment horizontal="center"/>
    </xf>
    <xf numFmtId="173" fontId="52" fillId="0" borderId="2" xfId="0" applyNumberFormat="1" applyFont="1" applyBorder="1" applyAlignment="1">
      <alignment horizontal="right"/>
    </xf>
    <xf numFmtId="172" fontId="9" fillId="0" borderId="2" xfId="0" applyNumberFormat="1" applyFont="1" applyBorder="1" applyAlignment="1">
      <alignment horizontal="right"/>
    </xf>
    <xf numFmtId="169" fontId="8" fillId="0" borderId="0" xfId="0" applyNumberFormat="1" applyFont="1" applyAlignment="1">
      <alignment horizontal="center"/>
    </xf>
    <xf numFmtId="0" fontId="48" fillId="2" borderId="0" xfId="0" applyFont="1" applyFill="1"/>
    <xf numFmtId="10" fontId="11" fillId="0" borderId="0" xfId="0" applyNumberFormat="1" applyFont="1" applyAlignment="1">
      <alignment horizontal="left"/>
    </xf>
    <xf numFmtId="0" fontId="54" fillId="2" borderId="0" xfId="0" applyFont="1" applyFill="1"/>
    <xf numFmtId="0" fontId="53" fillId="0" borderId="0" xfId="0" applyFont="1"/>
    <xf numFmtId="0" fontId="55" fillId="0" borderId="0" xfId="0" applyFont="1"/>
    <xf numFmtId="0" fontId="56" fillId="0" borderId="0" xfId="0" applyFont="1"/>
    <xf numFmtId="0" fontId="48" fillId="14" borderId="0" xfId="0" applyFont="1" applyFill="1"/>
    <xf numFmtId="0" fontId="48" fillId="15" borderId="0" xfId="0" applyFont="1" applyFill="1" applyAlignment="1">
      <alignment horizontal="right"/>
    </xf>
    <xf numFmtId="0" fontId="48" fillId="14" borderId="0" xfId="0" applyFont="1" applyFill="1" applyAlignment="1">
      <alignment horizontal="right"/>
    </xf>
    <xf numFmtId="0" fontId="48" fillId="16" borderId="0" xfId="0" applyFont="1" applyFill="1" applyAlignment="1">
      <alignment horizontal="right"/>
    </xf>
    <xf numFmtId="0" fontId="48" fillId="14" borderId="1" xfId="0" applyFont="1" applyFill="1" applyBorder="1"/>
    <xf numFmtId="0" fontId="48" fillId="15" borderId="1" xfId="0" applyFont="1" applyFill="1" applyBorder="1" applyAlignment="1">
      <alignment horizontal="right"/>
    </xf>
    <xf numFmtId="0" fontId="48" fillId="14" borderId="1" xfId="0" applyFont="1" applyFill="1" applyBorder="1" applyAlignment="1">
      <alignment horizontal="right"/>
    </xf>
    <xf numFmtId="0" fontId="48" fillId="16" borderId="1" xfId="0" applyFont="1" applyFill="1" applyBorder="1" applyAlignment="1">
      <alignment horizontal="right"/>
    </xf>
    <xf numFmtId="0" fontId="57" fillId="0" borderId="0" xfId="0" applyFont="1"/>
    <xf numFmtId="0" fontId="58" fillId="0" borderId="0" xfId="0" applyFont="1" applyAlignment="1">
      <alignment horizontal="left"/>
    </xf>
    <xf numFmtId="0" fontId="18" fillId="14" borderId="1" xfId="0" applyFont="1" applyFill="1" applyBorder="1"/>
    <xf numFmtId="0" fontId="18" fillId="14" borderId="1" xfId="0" applyFont="1" applyFill="1" applyBorder="1" applyAlignment="1">
      <alignment horizontal="center"/>
    </xf>
    <xf numFmtId="0" fontId="59" fillId="18" borderId="1" xfId="0" applyFont="1" applyFill="1" applyBorder="1" applyAlignment="1">
      <alignment horizontal="right"/>
    </xf>
    <xf numFmtId="0" fontId="59" fillId="9" borderId="1" xfId="0" applyFont="1" applyFill="1" applyBorder="1" applyAlignment="1">
      <alignment horizontal="right"/>
    </xf>
    <xf numFmtId="0" fontId="3" fillId="14" borderId="16" xfId="0" applyFont="1" applyFill="1" applyBorder="1" applyAlignment="1">
      <alignment horizontal="right"/>
    </xf>
    <xf numFmtId="0" fontId="20" fillId="0" borderId="5" xfId="0" applyFont="1" applyBorder="1"/>
    <xf numFmtId="0" fontId="22" fillId="0" borderId="5" xfId="0" applyFont="1" applyBorder="1"/>
    <xf numFmtId="0" fontId="17" fillId="0" borderId="13" xfId="0" applyFont="1" applyBorder="1"/>
    <xf numFmtId="178" fontId="22" fillId="0" borderId="13" xfId="0" applyNumberFormat="1" applyFont="1" applyBorder="1"/>
    <xf numFmtId="178" fontId="21" fillId="0" borderId="13" xfId="0" applyNumberFormat="1" applyFont="1" applyBorder="1"/>
    <xf numFmtId="178" fontId="20" fillId="0" borderId="13" xfId="0" applyNumberFormat="1" applyFont="1" applyBorder="1"/>
    <xf numFmtId="0" fontId="20" fillId="0" borderId="15" xfId="0" applyFont="1" applyBorder="1"/>
    <xf numFmtId="164" fontId="21" fillId="0" borderId="15" xfId="0" applyNumberFormat="1" applyFont="1" applyBorder="1"/>
    <xf numFmtId="164" fontId="20" fillId="0" borderId="15" xfId="0" applyNumberFormat="1" applyFont="1" applyBorder="1"/>
    <xf numFmtId="165" fontId="21" fillId="0" borderId="15" xfId="0" applyNumberFormat="1" applyFont="1" applyBorder="1"/>
    <xf numFmtId="165" fontId="20" fillId="0" borderId="15" xfId="0" applyNumberFormat="1" applyFont="1" applyBorder="1"/>
    <xf numFmtId="0" fontId="17" fillId="0" borderId="15" xfId="0" applyFont="1" applyBorder="1"/>
    <xf numFmtId="165" fontId="22" fillId="0" borderId="15" xfId="0" applyNumberFormat="1" applyFont="1" applyBorder="1"/>
    <xf numFmtId="0" fontId="17" fillId="0" borderId="16" xfId="0" applyFont="1" applyBorder="1"/>
    <xf numFmtId="164" fontId="17" fillId="0" borderId="0" xfId="0" applyNumberFormat="1" applyFont="1"/>
    <xf numFmtId="0" fontId="17" fillId="0" borderId="14" xfId="0" applyFont="1" applyBorder="1"/>
    <xf numFmtId="164" fontId="17" fillId="0" borderId="16" xfId="0" applyNumberFormat="1" applyFont="1" applyBorder="1"/>
    <xf numFmtId="2" fontId="26" fillId="0" borderId="14" xfId="0" applyNumberFormat="1" applyFont="1" applyBorder="1"/>
    <xf numFmtId="0" fontId="4" fillId="0" borderId="0" xfId="0" applyFont="1"/>
    <xf numFmtId="1" fontId="2" fillId="0" borderId="0" xfId="0" applyNumberFormat="1" applyFont="1" applyAlignment="1">
      <alignment horizontal="right"/>
    </xf>
    <xf numFmtId="1" fontId="2" fillId="0" borderId="0" xfId="0" applyNumberFormat="1" applyFont="1"/>
    <xf numFmtId="0" fontId="60" fillId="0" borderId="0" xfId="0" applyFont="1" applyAlignment="1">
      <alignment horizontal="left"/>
    </xf>
    <xf numFmtId="0" fontId="37" fillId="0" borderId="0" xfId="0" applyFont="1"/>
    <xf numFmtId="0" fontId="3" fillId="19" borderId="0" xfId="0" applyFont="1" applyFill="1" applyAlignment="1">
      <alignment horizontal="right"/>
    </xf>
    <xf numFmtId="0" fontId="3" fillId="0" borderId="0" xfId="0" applyFont="1" applyAlignment="1">
      <alignment horizontal="right"/>
    </xf>
    <xf numFmtId="0" fontId="5" fillId="0" borderId="2" xfId="0" applyFont="1" applyBorder="1"/>
    <xf numFmtId="0" fontId="61" fillId="0" borderId="2" xfId="0" applyFont="1" applyBorder="1"/>
    <xf numFmtId="0" fontId="61" fillId="0" borderId="2" xfId="0" applyFont="1" applyBorder="1" applyAlignment="1">
      <alignment horizontal="right"/>
    </xf>
    <xf numFmtId="164" fontId="61" fillId="0" borderId="2" xfId="0" applyNumberFormat="1" applyFont="1" applyBorder="1"/>
    <xf numFmtId="0" fontId="5" fillId="0" borderId="16" xfId="0" applyFont="1" applyBorder="1"/>
    <xf numFmtId="1" fontId="61" fillId="0" borderId="16" xfId="0" applyNumberFormat="1" applyFont="1" applyBorder="1" applyAlignment="1">
      <alignment horizontal="right"/>
    </xf>
    <xf numFmtId="1" fontId="61" fillId="0" borderId="16" xfId="0" applyNumberFormat="1" applyFont="1" applyBorder="1"/>
    <xf numFmtId="0" fontId="5" fillId="0" borderId="5" xfId="0" applyFont="1" applyBorder="1"/>
    <xf numFmtId="0" fontId="61" fillId="0" borderId="5" xfId="0" applyFont="1" applyBorder="1"/>
    <xf numFmtId="0" fontId="18" fillId="14" borderId="10" xfId="0" applyFont="1" applyFill="1" applyBorder="1"/>
    <xf numFmtId="0" fontId="16" fillId="0" borderId="10" xfId="0" applyFont="1" applyBorder="1" applyAlignment="1">
      <alignment horizontal="center"/>
    </xf>
    <xf numFmtId="3" fontId="62" fillId="0" borderId="10" xfId="1" applyNumberFormat="1" applyFont="1" applyBorder="1" applyAlignment="1">
      <alignment horizontal="right"/>
    </xf>
    <xf numFmtId="0" fontId="20" fillId="0" borderId="3" xfId="0" applyFont="1" applyBorder="1" applyAlignment="1">
      <alignment horizontal="center"/>
    </xf>
    <xf numFmtId="0" fontId="17" fillId="0" borderId="2" xfId="0" applyFont="1" applyBorder="1" applyAlignment="1">
      <alignment horizontal="center"/>
    </xf>
    <xf numFmtId="0" fontId="20" fillId="0" borderId="2" xfId="0" applyFont="1" applyBorder="1" applyAlignment="1">
      <alignment horizontal="center"/>
    </xf>
    <xf numFmtId="0" fontId="20" fillId="0" borderId="0" xfId="0" applyFont="1" applyAlignment="1">
      <alignment horizontal="center"/>
    </xf>
    <xf numFmtId="0" fontId="17" fillId="0" borderId="3" xfId="0" applyFont="1" applyBorder="1" applyAlignment="1">
      <alignment horizontal="center"/>
    </xf>
    <xf numFmtId="0" fontId="19" fillId="0" borderId="0" xfId="0" applyFont="1" applyAlignment="1">
      <alignment horizontal="center"/>
    </xf>
    <xf numFmtId="0" fontId="17" fillId="0" borderId="0" xfId="0" applyFont="1" applyAlignment="1">
      <alignment horizontal="center"/>
    </xf>
    <xf numFmtId="0" fontId="15" fillId="0" borderId="0" xfId="0" applyFont="1" applyAlignment="1">
      <alignment horizontal="center"/>
    </xf>
    <xf numFmtId="0" fontId="20" fillId="0" borderId="13" xfId="0" applyFont="1" applyBorder="1" applyAlignment="1">
      <alignment horizontal="center"/>
    </xf>
    <xf numFmtId="0" fontId="20" fillId="0" borderId="15" xfId="0" applyFont="1" applyBorder="1" applyAlignment="1">
      <alignment horizontal="center"/>
    </xf>
    <xf numFmtId="0" fontId="20" fillId="0" borderId="16" xfId="0" applyFont="1" applyBorder="1" applyAlignment="1">
      <alignment horizontal="center"/>
    </xf>
    <xf numFmtId="0" fontId="20" fillId="0" borderId="14" xfId="0" applyFont="1" applyBorder="1" applyAlignment="1">
      <alignment horizontal="center"/>
    </xf>
    <xf numFmtId="0" fontId="20" fillId="0" borderId="5" xfId="0" applyFont="1" applyBorder="1" applyAlignment="1">
      <alignment horizontal="center"/>
    </xf>
    <xf numFmtId="0" fontId="39" fillId="5" borderId="9" xfId="0" applyFont="1" applyFill="1" applyBorder="1" applyAlignment="1">
      <alignment horizontal="center"/>
    </xf>
    <xf numFmtId="0" fontId="36" fillId="0" borderId="2" xfId="0" applyFont="1" applyBorder="1" applyAlignment="1">
      <alignment horizontal="center"/>
    </xf>
    <xf numFmtId="0" fontId="5" fillId="0" borderId="5" xfId="0" applyFont="1" applyBorder="1" applyAlignment="1">
      <alignment horizontal="center"/>
    </xf>
    <xf numFmtId="0" fontId="5" fillId="0" borderId="2" xfId="0" applyFont="1" applyBorder="1" applyAlignment="1">
      <alignment horizontal="center"/>
    </xf>
    <xf numFmtId="0" fontId="36" fillId="0" borderId="0" xfId="0" applyFont="1" applyAlignment="1">
      <alignment horizontal="center"/>
    </xf>
    <xf numFmtId="0" fontId="5" fillId="0" borderId="16" xfId="0" applyFont="1" applyBorder="1" applyAlignment="1">
      <alignment horizontal="center"/>
    </xf>
    <xf numFmtId="0" fontId="59" fillId="18" borderId="0" xfId="0" applyFont="1" applyFill="1" applyAlignment="1">
      <alignment horizontal="center"/>
    </xf>
    <xf numFmtId="0" fontId="59" fillId="18" borderId="0" xfId="0" applyFont="1" applyFill="1" applyAlignment="1">
      <alignment horizontal="right"/>
    </xf>
    <xf numFmtId="0" fontId="59" fillId="9" borderId="0" xfId="0" applyFont="1" applyFill="1" applyAlignment="1">
      <alignment horizontal="right"/>
    </xf>
    <xf numFmtId="0" fontId="48" fillId="14" borderId="17" xfId="0" applyFont="1" applyFill="1" applyBorder="1"/>
    <xf numFmtId="0" fontId="48" fillId="0" borderId="1" xfId="0" applyFont="1" applyBorder="1" applyAlignment="1">
      <alignment horizontal="center"/>
    </xf>
    <xf numFmtId="0" fontId="48" fillId="0" borderId="1" xfId="0" applyFont="1" applyBorder="1"/>
    <xf numFmtId="0" fontId="63" fillId="18" borderId="0" xfId="0" applyFont="1" applyFill="1" applyAlignment="1">
      <alignment horizontal="left"/>
    </xf>
    <xf numFmtId="0" fontId="63" fillId="18" borderId="0" xfId="0" applyFont="1" applyFill="1" applyAlignment="1">
      <alignment horizontal="center"/>
    </xf>
    <xf numFmtId="164" fontId="63" fillId="18" borderId="0" xfId="0" applyNumberFormat="1" applyFont="1" applyFill="1" applyAlignment="1">
      <alignment horizontal="right"/>
    </xf>
    <xf numFmtId="0" fontId="64" fillId="5" borderId="18" xfId="0" applyFont="1" applyFill="1" applyBorder="1"/>
    <xf numFmtId="0" fontId="64" fillId="5" borderId="18" xfId="0" applyFont="1" applyFill="1" applyBorder="1" applyAlignment="1">
      <alignment horizontal="center"/>
    </xf>
    <xf numFmtId="3" fontId="64" fillId="5" borderId="18" xfId="0" applyNumberFormat="1" applyFont="1" applyFill="1" applyBorder="1"/>
    <xf numFmtId="0" fontId="19" fillId="21" borderId="0" xfId="0" applyFont="1" applyFill="1"/>
    <xf numFmtId="164" fontId="2" fillId="0" borderId="3" xfId="0" applyNumberFormat="1" applyFont="1" applyBorder="1"/>
    <xf numFmtId="164" fontId="4" fillId="0" borderId="3" xfId="0" applyNumberFormat="1" applyFont="1" applyBorder="1"/>
    <xf numFmtId="164" fontId="2" fillId="0" borderId="5" xfId="0" applyNumberFormat="1" applyFont="1" applyBorder="1"/>
    <xf numFmtId="164" fontId="3" fillId="17" borderId="2" xfId="0" applyNumberFormat="1" applyFont="1" applyFill="1" applyBorder="1"/>
    <xf numFmtId="164" fontId="40" fillId="17" borderId="2" xfId="0" applyNumberFormat="1" applyFont="1" applyFill="1" applyBorder="1"/>
    <xf numFmtId="0" fontId="40" fillId="17" borderId="2" xfId="0" applyFont="1" applyFill="1" applyBorder="1"/>
    <xf numFmtId="164" fontId="48" fillId="0" borderId="1" xfId="0" applyNumberFormat="1" applyFont="1" applyBorder="1"/>
    <xf numFmtId="164" fontId="22" fillId="0" borderId="4" xfId="0" applyNumberFormat="1" applyFont="1" applyBorder="1"/>
    <xf numFmtId="164" fontId="21" fillId="0" borderId="4" xfId="0" applyNumberFormat="1" applyFont="1" applyBorder="1"/>
    <xf numFmtId="0" fontId="48" fillId="17" borderId="2" xfId="0" applyFont="1" applyFill="1" applyBorder="1"/>
    <xf numFmtId="165" fontId="48" fillId="17" borderId="2" xfId="0" applyNumberFormat="1" applyFont="1" applyFill="1" applyBorder="1"/>
    <xf numFmtId="165" fontId="40" fillId="17" borderId="2" xfId="0" applyNumberFormat="1" applyFont="1" applyFill="1" applyBorder="1"/>
    <xf numFmtId="0" fontId="64" fillId="5" borderId="2" xfId="0" applyFont="1" applyFill="1" applyBorder="1"/>
    <xf numFmtId="165" fontId="64" fillId="5" borderId="2" xfId="0" applyNumberFormat="1" applyFont="1" applyFill="1" applyBorder="1"/>
    <xf numFmtId="0" fontId="38" fillId="17" borderId="2" xfId="0" applyFont="1" applyFill="1" applyBorder="1"/>
    <xf numFmtId="164" fontId="38" fillId="17" borderId="2" xfId="0" applyNumberFormat="1" applyFont="1" applyFill="1" applyBorder="1"/>
    <xf numFmtId="0" fontId="3" fillId="17" borderId="2" xfId="0" applyFont="1" applyFill="1" applyBorder="1"/>
    <xf numFmtId="0" fontId="39" fillId="5" borderId="5" xfId="0" applyFont="1" applyFill="1" applyBorder="1"/>
    <xf numFmtId="164" fontId="39" fillId="5" borderId="5" xfId="0" applyNumberFormat="1" applyFont="1" applyFill="1" applyBorder="1"/>
    <xf numFmtId="0" fontId="7" fillId="2" borderId="0" xfId="0" applyFont="1" applyFill="1"/>
    <xf numFmtId="0" fontId="48" fillId="2" borderId="1" xfId="0" applyFont="1" applyFill="1" applyBorder="1"/>
    <xf numFmtId="0" fontId="11" fillId="2" borderId="1" xfId="0" applyFont="1" applyFill="1" applyBorder="1"/>
    <xf numFmtId="168" fontId="28" fillId="20" borderId="2" xfId="0" applyNumberFormat="1" applyFont="1" applyFill="1" applyBorder="1" applyAlignment="1">
      <alignment horizontal="left"/>
    </xf>
    <xf numFmtId="169" fontId="28" fillId="20" borderId="5" xfId="2" applyNumberFormat="1" applyFont="1" applyFill="1" applyBorder="1" applyAlignment="1">
      <alignment horizontal="left"/>
    </xf>
    <xf numFmtId="169" fontId="28" fillId="20" borderId="2" xfId="2" applyNumberFormat="1" applyFont="1" applyFill="1" applyBorder="1" applyAlignment="1">
      <alignment horizontal="left"/>
    </xf>
    <xf numFmtId="0" fontId="66" fillId="0" borderId="0" xfId="0" applyFont="1"/>
    <xf numFmtId="0" fontId="67" fillId="0" borderId="0" xfId="0" applyFont="1"/>
    <xf numFmtId="0" fontId="14" fillId="0" borderId="3" xfId="0" applyFont="1" applyBorder="1"/>
    <xf numFmtId="0" fontId="14" fillId="0" borderId="2" xfId="0" applyFont="1" applyBorder="1"/>
    <xf numFmtId="0" fontId="14" fillId="0" borderId="0" xfId="0" applyFont="1"/>
    <xf numFmtId="0" fontId="68" fillId="4" borderId="8" xfId="0" applyFont="1" applyFill="1" applyBorder="1" applyAlignment="1">
      <alignment vertical="center"/>
    </xf>
    <xf numFmtId="0" fontId="68" fillId="4" borderId="7" xfId="0" applyFont="1" applyFill="1" applyBorder="1" applyAlignment="1">
      <alignment vertical="center"/>
    </xf>
    <xf numFmtId="165" fontId="28" fillId="20" borderId="2" xfId="0" applyNumberFormat="1" applyFont="1" applyFill="1" applyBorder="1" applyAlignment="1">
      <alignment horizontal="left"/>
    </xf>
    <xf numFmtId="170" fontId="28" fillId="20" borderId="2" xfId="2" applyNumberFormat="1" applyFont="1" applyFill="1" applyBorder="1" applyAlignment="1">
      <alignment horizontal="right"/>
    </xf>
    <xf numFmtId="168" fontId="28" fillId="20" borderId="5" xfId="0" applyNumberFormat="1" applyFont="1" applyFill="1" applyBorder="1" applyAlignment="1">
      <alignment horizontal="left"/>
    </xf>
    <xf numFmtId="0" fontId="63" fillId="18" borderId="0" xfId="0" applyFont="1" applyFill="1" applyAlignment="1">
      <alignment horizontal="right"/>
    </xf>
    <xf numFmtId="0" fontId="63" fillId="9" borderId="0" xfId="0" applyFont="1" applyFill="1" applyAlignment="1">
      <alignment horizontal="right"/>
    </xf>
    <xf numFmtId="0" fontId="48" fillId="6" borderId="0" xfId="0" applyFont="1" applyFill="1"/>
    <xf numFmtId="165" fontId="11" fillId="6" borderId="0" xfId="0" applyNumberFormat="1" applyFont="1" applyFill="1"/>
    <xf numFmtId="169" fontId="11" fillId="0" borderId="0" xfId="0" applyNumberFormat="1" applyFont="1"/>
    <xf numFmtId="172" fontId="11" fillId="0" borderId="0" xfId="0" applyNumberFormat="1" applyFont="1"/>
    <xf numFmtId="165" fontId="41" fillId="0" borderId="0" xfId="0" applyNumberFormat="1" applyFont="1"/>
    <xf numFmtId="165" fontId="19" fillId="0" borderId="0" xfId="0" applyNumberFormat="1" applyFont="1" applyAlignment="1">
      <alignment horizontal="right"/>
    </xf>
    <xf numFmtId="169" fontId="19" fillId="0" borderId="0" xfId="0" applyNumberFormat="1" applyFont="1" applyAlignment="1">
      <alignment horizontal="right"/>
    </xf>
    <xf numFmtId="168" fontId="19" fillId="0" borderId="0" xfId="0" applyNumberFormat="1" applyFont="1" applyAlignment="1">
      <alignment horizontal="right"/>
    </xf>
    <xf numFmtId="3" fontId="20" fillId="0" borderId="2" xfId="0" applyNumberFormat="1" applyFont="1" applyBorder="1" applyAlignment="1">
      <alignment horizontal="right"/>
    </xf>
    <xf numFmtId="3" fontId="21" fillId="0" borderId="2" xfId="0" applyNumberFormat="1" applyFont="1" applyBorder="1" applyAlignment="1">
      <alignment horizontal="right"/>
    </xf>
    <xf numFmtId="172" fontId="20" fillId="0" borderId="2" xfId="0" applyNumberFormat="1" applyFont="1" applyBorder="1" applyAlignment="1">
      <alignment horizontal="right"/>
    </xf>
    <xf numFmtId="165" fontId="9" fillId="6" borderId="0" xfId="0" applyNumberFormat="1" applyFont="1" applyFill="1"/>
    <xf numFmtId="165" fontId="8" fillId="6" borderId="0" xfId="0" applyNumberFormat="1" applyFont="1" applyFill="1"/>
    <xf numFmtId="169" fontId="8" fillId="6" borderId="0" xfId="0" applyNumberFormat="1" applyFont="1" applyFill="1"/>
    <xf numFmtId="169" fontId="9" fillId="6" borderId="0" xfId="0" applyNumberFormat="1" applyFont="1" applyFill="1"/>
    <xf numFmtId="172" fontId="8" fillId="6" borderId="0" xfId="0" applyNumberFormat="1" applyFont="1" applyFill="1"/>
    <xf numFmtId="0" fontId="20" fillId="19" borderId="5" xfId="0" applyFont="1" applyFill="1" applyBorder="1"/>
    <xf numFmtId="172" fontId="20" fillId="0" borderId="5" xfId="0" applyNumberFormat="1" applyFont="1" applyBorder="1" applyAlignment="1">
      <alignment horizontal="right"/>
    </xf>
    <xf numFmtId="3" fontId="21" fillId="0" borderId="5" xfId="0" applyNumberFormat="1" applyFont="1" applyBorder="1" applyAlignment="1">
      <alignment horizontal="right"/>
    </xf>
    <xf numFmtId="3" fontId="20" fillId="0" borderId="5" xfId="0" applyNumberFormat="1" applyFont="1" applyBorder="1" applyAlignment="1">
      <alignment horizontal="right"/>
    </xf>
    <xf numFmtId="171" fontId="20" fillId="0" borderId="5" xfId="0" applyNumberFormat="1" applyFont="1" applyBorder="1" applyAlignment="1">
      <alignment horizontal="right"/>
    </xf>
    <xf numFmtId="179" fontId="20" fillId="0" borderId="5" xfId="0" applyNumberFormat="1" applyFont="1" applyBorder="1" applyAlignment="1">
      <alignment horizontal="right"/>
    </xf>
    <xf numFmtId="0" fontId="20" fillId="19" borderId="2" xfId="0" applyFont="1" applyFill="1" applyBorder="1"/>
    <xf numFmtId="171" fontId="20" fillId="0" borderId="2" xfId="0" applyNumberFormat="1" applyFont="1" applyBorder="1" applyAlignment="1">
      <alignment horizontal="right"/>
    </xf>
    <xf numFmtId="179" fontId="20" fillId="0" borderId="2" xfId="0" applyNumberFormat="1" applyFont="1" applyBorder="1" applyAlignment="1">
      <alignment horizontal="right"/>
    </xf>
    <xf numFmtId="0" fontId="69" fillId="18" borderId="0" xfId="0" applyFont="1" applyFill="1" applyAlignment="1">
      <alignment horizontal="right"/>
    </xf>
    <xf numFmtId="172" fontId="20" fillId="6" borderId="0" xfId="0" applyNumberFormat="1" applyFont="1" applyFill="1" applyAlignment="1">
      <alignment horizontal="right"/>
    </xf>
    <xf numFmtId="0" fontId="70" fillId="19" borderId="0" xfId="0" applyFont="1" applyFill="1" applyAlignment="1">
      <alignment horizontal="center" wrapText="1"/>
    </xf>
    <xf numFmtId="180" fontId="9" fillId="6" borderId="0" xfId="0" applyNumberFormat="1" applyFont="1" applyFill="1"/>
    <xf numFmtId="180" fontId="9" fillId="6" borderId="0" xfId="0" applyNumberFormat="1" applyFont="1" applyFill="1" applyAlignment="1">
      <alignment horizontal="right"/>
    </xf>
    <xf numFmtId="2" fontId="9" fillId="6" borderId="0" xfId="0" applyNumberFormat="1" applyFont="1" applyFill="1"/>
    <xf numFmtId="165" fontId="19" fillId="0" borderId="4" xfId="0" applyNumberFormat="1" applyFont="1" applyBorder="1"/>
    <xf numFmtId="0" fontId="48" fillId="21" borderId="20" xfId="0" applyFont="1" applyFill="1" applyBorder="1"/>
    <xf numFmtId="0" fontId="48" fillId="21" borderId="20" xfId="0" applyFont="1" applyFill="1" applyBorder="1" applyAlignment="1">
      <alignment horizontal="right"/>
    </xf>
    <xf numFmtId="2" fontId="11" fillId="21" borderId="4" xfId="0" applyNumberFormat="1" applyFont="1" applyFill="1" applyBorder="1"/>
    <xf numFmtId="180" fontId="11" fillId="21" borderId="4" xfId="0" applyNumberFormat="1" applyFont="1" applyFill="1" applyBorder="1"/>
    <xf numFmtId="165" fontId="11" fillId="21" borderId="4" xfId="0" applyNumberFormat="1" applyFont="1" applyFill="1" applyBorder="1"/>
    <xf numFmtId="169" fontId="11" fillId="21" borderId="4" xfId="0" applyNumberFormat="1" applyFont="1" applyFill="1" applyBorder="1"/>
    <xf numFmtId="172" fontId="11" fillId="21" borderId="4" xfId="0" applyNumberFormat="1" applyFont="1" applyFill="1" applyBorder="1"/>
    <xf numFmtId="180" fontId="11" fillId="21" borderId="4" xfId="0" applyNumberFormat="1" applyFont="1" applyFill="1" applyBorder="1" applyAlignment="1">
      <alignment horizontal="right"/>
    </xf>
    <xf numFmtId="172" fontId="19" fillId="21" borderId="4" xfId="0" applyNumberFormat="1" applyFont="1" applyFill="1" applyBorder="1" applyAlignment="1">
      <alignment horizontal="right"/>
    </xf>
    <xf numFmtId="2" fontId="11" fillId="21" borderId="2" xfId="0" applyNumberFormat="1" applyFont="1" applyFill="1" applyBorder="1"/>
    <xf numFmtId="180" fontId="11" fillId="21" borderId="2" xfId="0" applyNumberFormat="1" applyFont="1" applyFill="1" applyBorder="1"/>
    <xf numFmtId="165" fontId="11" fillId="21" borderId="2" xfId="0" applyNumberFormat="1" applyFont="1" applyFill="1" applyBorder="1"/>
    <xf numFmtId="169" fontId="11" fillId="21" borderId="2" xfId="0" applyNumberFormat="1" applyFont="1" applyFill="1" applyBorder="1"/>
    <xf numFmtId="172" fontId="11" fillId="21" borderId="2" xfId="0" applyNumberFormat="1" applyFont="1" applyFill="1" applyBorder="1"/>
    <xf numFmtId="180" fontId="11" fillId="21" borderId="2" xfId="0" applyNumberFormat="1" applyFont="1" applyFill="1" applyBorder="1" applyAlignment="1">
      <alignment horizontal="right"/>
    </xf>
    <xf numFmtId="172" fontId="19" fillId="21" borderId="2" xfId="0" applyNumberFormat="1" applyFont="1" applyFill="1" applyBorder="1" applyAlignment="1">
      <alignment horizontal="right"/>
    </xf>
    <xf numFmtId="165" fontId="41" fillId="0" borderId="4" xfId="0" applyNumberFormat="1" applyFont="1" applyBorder="1"/>
    <xf numFmtId="2" fontId="21" fillId="0" borderId="2" xfId="0" applyNumberFormat="1" applyFont="1" applyBorder="1" applyAlignment="1">
      <alignment horizontal="right"/>
    </xf>
    <xf numFmtId="164" fontId="20" fillId="0" borderId="2" xfId="0" applyNumberFormat="1" applyFont="1" applyBorder="1" applyAlignment="1">
      <alignment horizontal="right"/>
    </xf>
    <xf numFmtId="0" fontId="20" fillId="19" borderId="0" xfId="0" applyFont="1" applyFill="1"/>
    <xf numFmtId="172" fontId="20" fillId="0" borderId="0" xfId="0" applyNumberFormat="1" applyFont="1" applyAlignment="1">
      <alignment horizontal="right"/>
    </xf>
    <xf numFmtId="3" fontId="21" fillId="0" borderId="0" xfId="0" applyNumberFormat="1" applyFont="1" applyAlignment="1">
      <alignment horizontal="right"/>
    </xf>
    <xf numFmtId="164" fontId="20" fillId="0" borderId="0" xfId="0" applyNumberFormat="1" applyFont="1" applyAlignment="1">
      <alignment horizontal="right"/>
    </xf>
    <xf numFmtId="171" fontId="20" fillId="0" borderId="0" xfId="0" applyNumberFormat="1" applyFont="1" applyAlignment="1">
      <alignment horizontal="right"/>
    </xf>
    <xf numFmtId="179" fontId="20" fillId="0" borderId="0" xfId="0" applyNumberFormat="1" applyFont="1" applyAlignment="1">
      <alignment horizontal="right"/>
    </xf>
    <xf numFmtId="0" fontId="63" fillId="7" borderId="0" xfId="0" applyFont="1" applyFill="1"/>
    <xf numFmtId="0" fontId="48" fillId="10" borderId="0" xfId="0" applyFont="1" applyFill="1"/>
    <xf numFmtId="0" fontId="48" fillId="0" borderId="2" xfId="0" applyFont="1" applyBorder="1"/>
    <xf numFmtId="174" fontId="11" fillId="0" borderId="2" xfId="0" applyNumberFormat="1" applyFont="1" applyBorder="1"/>
    <xf numFmtId="0" fontId="71" fillId="0" borderId="2" xfId="0" applyFont="1" applyBorder="1"/>
    <xf numFmtId="169" fontId="71" fillId="0" borderId="2" xfId="0" applyNumberFormat="1" applyFont="1" applyBorder="1"/>
    <xf numFmtId="169" fontId="11" fillId="0" borderId="2" xfId="0" applyNumberFormat="1" applyFont="1" applyBorder="1"/>
    <xf numFmtId="169" fontId="48" fillId="0" borderId="2" xfId="0" applyNumberFormat="1" applyFont="1" applyBorder="1"/>
    <xf numFmtId="174" fontId="48" fillId="0" borderId="2" xfId="0" applyNumberFormat="1" applyFont="1" applyBorder="1"/>
    <xf numFmtId="0" fontId="7" fillId="0" borderId="2" xfId="0" applyFont="1" applyBorder="1"/>
    <xf numFmtId="0" fontId="48" fillId="11" borderId="0" xfId="0" applyFont="1" applyFill="1"/>
    <xf numFmtId="174" fontId="48" fillId="11" borderId="0" xfId="0" applyNumberFormat="1" applyFont="1" applyFill="1"/>
    <xf numFmtId="175" fontId="11" fillId="0" borderId="2" xfId="0" applyNumberFormat="1" applyFont="1" applyBorder="1"/>
    <xf numFmtId="0" fontId="48" fillId="6" borderId="2" xfId="0" applyFont="1" applyFill="1" applyBorder="1"/>
    <xf numFmtId="171" fontId="48" fillId="6" borderId="2" xfId="0" applyNumberFormat="1" applyFont="1" applyFill="1" applyBorder="1"/>
    <xf numFmtId="0" fontId="63" fillId="8" borderId="0" xfId="0" applyFont="1" applyFill="1"/>
    <xf numFmtId="0" fontId="48" fillId="11" borderId="2" xfId="0" applyFont="1" applyFill="1" applyBorder="1"/>
    <xf numFmtId="174" fontId="48" fillId="11" borderId="2" xfId="0" applyNumberFormat="1" applyFont="1" applyFill="1" applyBorder="1"/>
    <xf numFmtId="171" fontId="48" fillId="6" borderId="0" xfId="0" applyNumberFormat="1" applyFont="1" applyFill="1"/>
    <xf numFmtId="0" fontId="63" fillId="9" borderId="0" xfId="0" applyFont="1" applyFill="1"/>
    <xf numFmtId="0" fontId="48" fillId="10" borderId="0" xfId="0" applyFont="1" applyFill="1" applyAlignment="1">
      <alignment horizontal="right"/>
    </xf>
    <xf numFmtId="179" fontId="10" fillId="0" borderId="2" xfId="0" applyNumberFormat="1" applyFont="1" applyBorder="1" applyAlignment="1">
      <alignment horizontal="right"/>
    </xf>
    <xf numFmtId="171" fontId="8" fillId="0" borderId="2" xfId="0" applyNumberFormat="1" applyFont="1" applyBorder="1" applyAlignment="1">
      <alignment horizontal="right"/>
    </xf>
    <xf numFmtId="171" fontId="7" fillId="0" borderId="2" xfId="0" applyNumberFormat="1" applyFont="1" applyBorder="1" applyAlignment="1">
      <alignment horizontal="right"/>
    </xf>
    <xf numFmtId="171" fontId="11" fillId="19" borderId="2" xfId="0" applyNumberFormat="1" applyFont="1" applyFill="1" applyBorder="1" applyAlignment="1">
      <alignment horizontal="right"/>
    </xf>
    <xf numFmtId="172" fontId="72" fillId="0" borderId="2" xfId="0" applyNumberFormat="1" applyFont="1" applyBorder="1" applyAlignment="1">
      <alignment horizontal="right"/>
    </xf>
    <xf numFmtId="169" fontId="9" fillId="0" borderId="0" xfId="0" applyNumberFormat="1" applyFont="1" applyAlignment="1">
      <alignment horizontal="center"/>
    </xf>
    <xf numFmtId="3" fontId="65" fillId="0" borderId="0" xfId="0" applyNumberFormat="1" applyFont="1"/>
    <xf numFmtId="3" fontId="72" fillId="0" borderId="0" xfId="0" applyNumberFormat="1" applyFont="1" applyAlignment="1">
      <alignment horizontal="right"/>
    </xf>
    <xf numFmtId="0" fontId="48" fillId="22" borderId="0" xfId="0" applyFont="1" applyFill="1" applyAlignment="1">
      <alignment horizontal="right"/>
    </xf>
    <xf numFmtId="0" fontId="48" fillId="13" borderId="1" xfId="0" applyFont="1" applyFill="1" applyBorder="1" applyAlignment="1">
      <alignment horizontal="right"/>
    </xf>
    <xf numFmtId="171" fontId="8" fillId="19" borderId="5" xfId="0" applyNumberFormat="1" applyFont="1" applyFill="1" applyBorder="1" applyAlignment="1">
      <alignment horizontal="right"/>
    </xf>
    <xf numFmtId="171" fontId="8" fillId="19" borderId="2" xfId="0" applyNumberFormat="1" applyFont="1" applyFill="1" applyBorder="1" applyAlignment="1">
      <alignment horizontal="right"/>
    </xf>
    <xf numFmtId="179" fontId="10" fillId="19" borderId="2" xfId="0" applyNumberFormat="1" applyFont="1" applyFill="1" applyBorder="1" applyAlignment="1">
      <alignment horizontal="right"/>
    </xf>
    <xf numFmtId="0" fontId="48" fillId="0" borderId="0" xfId="0" applyFont="1" applyAlignment="1">
      <alignment horizontal="center"/>
    </xf>
    <xf numFmtId="0" fontId="73" fillId="0" borderId="0" xfId="0" applyFont="1"/>
    <xf numFmtId="0" fontId="42" fillId="13" borderId="0" xfId="0" applyFont="1" applyFill="1"/>
    <xf numFmtId="178" fontId="0" fillId="0" borderId="0" xfId="0" applyNumberFormat="1"/>
    <xf numFmtId="164" fontId="9" fillId="0" borderId="2" xfId="0" applyNumberFormat="1" applyFont="1" applyBorder="1" applyAlignment="1">
      <alignment horizontal="right"/>
    </xf>
    <xf numFmtId="165" fontId="9" fillId="0" borderId="2" xfId="0" applyNumberFormat="1" applyFont="1" applyBorder="1" applyAlignment="1">
      <alignment horizontal="right"/>
    </xf>
    <xf numFmtId="0" fontId="74" fillId="0" borderId="0" xfId="0" applyFont="1"/>
    <xf numFmtId="0" fontId="75" fillId="0" borderId="0" xfId="0" applyFont="1"/>
    <xf numFmtId="0" fontId="50" fillId="0" borderId="12" xfId="0" applyFont="1" applyBorder="1" applyAlignment="1">
      <alignment horizontal="left" wrapText="1"/>
    </xf>
    <xf numFmtId="0" fontId="15" fillId="0" borderId="0" xfId="0" applyFont="1" applyAlignment="1">
      <alignment horizontal="left" vertical="center" wrapText="1"/>
    </xf>
    <xf numFmtId="0" fontId="12" fillId="0" borderId="0" xfId="0" applyFont="1" applyAlignment="1">
      <alignment horizontal="left" vertical="center" wrapText="1"/>
    </xf>
    <xf numFmtId="0" fontId="17" fillId="13" borderId="0" xfId="0" applyFont="1" applyFill="1" applyAlignment="1">
      <alignment horizontal="left" vertical="center" wrapText="1"/>
    </xf>
    <xf numFmtId="0" fontId="17" fillId="21" borderId="0" xfId="0" applyFont="1" applyFill="1" applyAlignment="1">
      <alignment horizontal="left" vertical="center" wrapText="1"/>
    </xf>
    <xf numFmtId="0" fontId="19" fillId="21" borderId="0" xfId="0" applyFont="1" applyFill="1" applyAlignment="1">
      <alignment horizontal="left" vertical="center" wrapText="1"/>
    </xf>
    <xf numFmtId="0" fontId="17" fillId="21" borderId="0" xfId="0" applyFont="1" applyFill="1" applyAlignment="1">
      <alignment vertical="center" wrapText="1"/>
    </xf>
    <xf numFmtId="0" fontId="10" fillId="0" borderId="0" xfId="0" applyFont="1" applyAlignment="1">
      <alignment horizontal="left" wrapText="1"/>
    </xf>
    <xf numFmtId="0" fontId="10" fillId="0" borderId="0" xfId="0" applyFont="1" applyAlignment="1">
      <alignment horizontal="left" vertical="center" wrapText="1"/>
    </xf>
    <xf numFmtId="0" fontId="12" fillId="20" borderId="0" xfId="0" applyFont="1" applyFill="1" applyAlignment="1">
      <alignment horizontal="left" vertical="center" wrapText="1"/>
    </xf>
    <xf numFmtId="0" fontId="19" fillId="13" borderId="19" xfId="0" applyFont="1" applyFill="1" applyBorder="1" applyAlignment="1">
      <alignment horizontal="left" vertical="center" wrapText="1"/>
    </xf>
    <xf numFmtId="0" fontId="19" fillId="13" borderId="0" xfId="0" applyFont="1" applyFill="1" applyAlignment="1">
      <alignment horizontal="left" vertical="center" wrapText="1"/>
    </xf>
    <xf numFmtId="0" fontId="63" fillId="12" borderId="0" xfId="0" applyFont="1" applyFill="1" applyAlignment="1">
      <alignment horizontal="left"/>
    </xf>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r>
              <a:rPr lang="en-US" sz="1200"/>
              <a:t>Football Field — Implied Price by Method ($/sh)</a:t>
            </a:r>
          </a:p>
        </c:rich>
      </c:tx>
      <c:layout>
        <c:manualLayout>
          <c:xMode val="edge"/>
          <c:yMode val="edge"/>
          <c:x val="0.26839183695520052"/>
          <c:y val="4.2307692307692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endParaRPr lang="en-US"/>
        </a:p>
      </c:txPr>
    </c:title>
    <c:autoTitleDeleted val="0"/>
    <c:plotArea>
      <c:layout/>
      <c:barChart>
        <c:barDir val="bar"/>
        <c:grouping val="stacked"/>
        <c:varyColors val="0"/>
        <c:ser>
          <c:idx val="0"/>
          <c:order val="0"/>
          <c:tx>
            <c:strRef>
              <c:f>'FootballField Data'!$B$5</c:f>
              <c:strCache>
                <c:ptCount val="1"/>
                <c:pt idx="0">
                  <c:v>Low</c:v>
                </c:pt>
              </c:strCache>
            </c:strRef>
          </c:tx>
          <c:spPr>
            <a:solidFill>
              <a:srgbClr val="FFFFFF"/>
            </a:solidFill>
            <a:ln>
              <a:noFill/>
            </a:ln>
            <a:effectLst/>
          </c:spPr>
          <c:invertIfNegative val="0"/>
          <c:cat>
            <c:strRef>
              <c:f>'FootballField Data'!$A$6:$A$9</c:f>
              <c:strCache>
                <c:ptCount val="4"/>
                <c:pt idx="0">
                  <c:v>DCF — Perpetuity Growth</c:v>
                </c:pt>
                <c:pt idx="1">
                  <c:v>DCF — Exit Multiple</c:v>
                </c:pt>
                <c:pt idx="2">
                  <c:v>Comps — EV/EBITDA-ex-SBC</c:v>
                </c:pt>
                <c:pt idx="3">
                  <c:v>52-Week Trading Range</c:v>
                </c:pt>
              </c:strCache>
            </c:strRef>
          </c:cat>
          <c:val>
            <c:numRef>
              <c:f>'FootballField Data'!$B$6:$B$9</c:f>
              <c:numCache>
                <c:formatCode>"$"#,##0</c:formatCode>
                <c:ptCount val="4"/>
                <c:pt idx="0">
                  <c:v>76.970575840927012</c:v>
                </c:pt>
                <c:pt idx="1">
                  <c:v>97.758499323464946</c:v>
                </c:pt>
                <c:pt idx="2">
                  <c:v>34.414681777548381</c:v>
                </c:pt>
                <c:pt idx="3">
                  <c:v>74.510000000000005</c:v>
                </c:pt>
              </c:numCache>
            </c:numRef>
          </c:val>
          <c:extLst>
            <c:ext xmlns:c16="http://schemas.microsoft.com/office/drawing/2014/chart" uri="{C3380CC4-5D6E-409C-BE32-E72D297353CC}">
              <c16:uniqueId val="{00000000-6BAE-164C-BE84-5679D14278D7}"/>
            </c:ext>
          </c:extLst>
        </c:ser>
        <c:ser>
          <c:idx val="1"/>
          <c:order val="1"/>
          <c:tx>
            <c:strRef>
              <c:f>'FootballField Data'!$C$5</c:f>
              <c:strCache>
                <c:ptCount val="1"/>
                <c:pt idx="0">
                  <c:v>Width</c:v>
                </c:pt>
              </c:strCache>
            </c:strRef>
          </c:tx>
          <c:spPr>
            <a:solidFill>
              <a:schemeClr val="accent1">
                <a:lumMod val="20000"/>
                <a:lumOff val="80000"/>
              </a:schemeClr>
            </a:solidFill>
            <a:ln>
              <a:solidFill>
                <a:srgbClr val="4472C4"/>
              </a:solidFill>
              <a:prstDash val="solid"/>
            </a:ln>
            <a:effectLst/>
          </c:spPr>
          <c:invertIfNegative val="0"/>
          <c:dLbls>
            <c:dLbl>
              <c:idx val="0"/>
              <c:tx>
                <c:strRef>
                  <c:f>'FootballField Data'!$F$6</c:f>
                  <c:strCache>
                    <c:ptCount val="1"/>
                    <c:pt idx="0">
                      <c:v>$77 – $179</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{3DC51CA2-9AF5-E149-A311-597E7052AC48}</c15:txfldGUID>
                      <c15:f>'FootballField Data'!$F$6</c15:f>
                      <c15:dlblFieldTableCache>
                        <c:ptCount val="1"/>
                        <c:pt idx="0">
                          <c:v>$77 – $179</c:v>
                        </c:pt>
                      </c15:dlblFieldTableCache>
                    </c15:dlblFTEntry>
                  </c15:dlblFieldTable>
                  <c15:showDataLabelsRange val="0"/>
                </c:ext>
                <c:ext xmlns:c16="http://schemas.microsoft.com/office/drawing/2014/chart" uri="{C3380CC4-5D6E-409C-BE32-E72D297353CC}">
                  <c16:uniqueId val="{00000002-6BAE-164C-BE84-5679D14278D7}"/>
                </c:ext>
              </c:extLst>
            </c:dLbl>
            <c:dLbl>
              <c:idx val="1"/>
              <c:tx>
                <c:strRef>
                  <c:f>'FootballField Data'!$F$7</c:f>
                  <c:strCache>
                    <c:ptCount val="1"/>
                    <c:pt idx="0">
                      <c:v>$98 – $261</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{FD3668AD-C83C-5D4A-A0B6-08D96FB391B5}</c15:txfldGUID>
                      <c15:f>'FootballField Data'!$F$7</c15:f>
                      <c15:dlblFieldTableCache>
                        <c:ptCount val="1"/>
                        <c:pt idx="0">
                          <c:v>$98 – $261</c:v>
                        </c:pt>
                      </c15:dlblFieldTableCache>
                    </c15:dlblFTEntry>
                  </c15:dlblFieldTable>
                  <c15:showDataLabelsRange val="0"/>
                </c:ext>
                <c:ext xmlns:c16="http://schemas.microsoft.com/office/drawing/2014/chart" uri="{C3380CC4-5D6E-409C-BE32-E72D297353CC}">
                  <c16:uniqueId val="{00000003-6BAE-164C-BE84-5679D14278D7}"/>
                </c:ext>
              </c:extLst>
            </c:dLbl>
            <c:dLbl>
              <c:idx val="2"/>
              <c:tx>
                <c:strRef>
                  <c:f>'FootballField Data'!$F$8</c:f>
                  <c:strCache>
                    <c:ptCount val="1"/>
                    <c:pt idx="0">
                      <c:v>$34 – $109</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{765CD4DE-0E4B-494F-9C83-2CEC2B2B1B09}</c15:txfldGUID>
                      <c15:f>'FootballField Data'!$F$8</c15:f>
                      <c15:dlblFieldTableCache>
                        <c:ptCount val="1"/>
                        <c:pt idx="0">
                          <c:v>$34 – $109</c:v>
                        </c:pt>
                      </c15:dlblFieldTableCache>
                    </c15:dlblFTEntry>
                  </c15:dlblFieldTable>
                  <c15:showDataLabelsRange val="0"/>
                </c:ext>
                <c:ext xmlns:c16="http://schemas.microsoft.com/office/drawing/2014/chart" uri="{C3380CC4-5D6E-409C-BE32-E72D297353CC}">
                  <c16:uniqueId val="{00000004-6BAE-164C-BE84-5679D14278D7}"/>
                </c:ext>
              </c:extLst>
            </c:dLbl>
            <c:dLbl>
              <c:idx val="3"/>
              <c:tx>
                <c:strRef>
                  <c:f>'FootballField Data'!$F$9</c:f>
                  <c:strCache>
                    <c:ptCount val="1"/>
                    <c:pt idx="0">
                      <c:v>$75 – $155</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{ABF1B530-3119-CA46-BF4C-3B01C76791BC}</c15:txfldGUID>
                      <c15:f>'FootballField Data'!$F$9</c15:f>
                      <c15:dlblFieldTableCache>
                        <c:ptCount val="1"/>
                        <c:pt idx="0">
                          <c:v>$75 – $155</c:v>
                        </c:pt>
                      </c15:dlblFieldTableCache>
                    </c15:dlblFTEntry>
                  </c15:dlblFieldTable>
                  <c15:showDataLabelsRange val="0"/>
                </c:ext>
                <c:ext xmlns:c16="http://schemas.microsoft.com/office/drawing/2014/chart" uri="{C3380CC4-5D6E-409C-BE32-E72D297353CC}">
                  <c16:uniqueId val="{00000005-6BAE-164C-BE84-5679D14278D7}"/>
                </c:ext>
              </c:extLst>
            </c:dLbl>
            <c:numFmt formatCode="&quot;$&quot;#,##0" sourceLinked="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'FootballField Data'!$A$6:$A$9</c:f>
              <c:strCache>
                <c:ptCount val="4"/>
                <c:pt idx="0">
                  <c:v>DCF — Perpetuity Growth</c:v>
                </c:pt>
                <c:pt idx="1">
                  <c:v>DCF — Exit Multiple</c:v>
                </c:pt>
                <c:pt idx="2">
                  <c:v>Comps — EV/EBITDA-ex-SBC</c:v>
                </c:pt>
                <c:pt idx="3">
                  <c:v>52-Week Trading Range</c:v>
                </c:pt>
              </c:strCache>
            </c:strRef>
          </c:cat>
          <c:val>
            <c:numRef>
              <c:f>'FootballField Data'!$C$6:$C$9</c:f>
              <c:numCache>
                <c:formatCode>"$"#,##0</c:formatCode>
                <c:ptCount val="4"/>
                <c:pt idx="0">
                  <c:v>102.16445862931897</c:v>
                </c:pt>
                <c:pt idx="1">
                  <c:v>163.25790922040318</c:v>
                </c:pt>
                <c:pt idx="2">
                  <c:v>74.864677555996167</c:v>
                </c:pt>
                <c:pt idx="3">
                  <c:v>80.959999999999994</c:v>
                </c:pt>
              </c:numCache>
            </c:numRef>
          </c:val>
          <c:extLst>
            <c:ext xmlns:c16="http://schemas.microsoft.com/office/drawing/2014/chart" uri="{C3380CC4-5D6E-409C-BE32-E72D297353CC}">
              <c16:uniqueId val="{00000001-6BAE-164C-BE84-5679D14278D7}"/>
            </c:ext>
          </c:extLst>
        </c:ser>
        <c:dLbls>
          <c:showLegendKey val="0"/>
          <c:showVal val="0"/>
          <c:showCatName val="0"/>
          <c:showSerName val="0"/>
          <c:showPercent val="0"/>
          <c:showBubbleSize val="0"/>
        </c:dLbls>
        <c:gapWidth val="150"/>
        <c:overlap val="100"/>
        <c:axId val="327633535"/>
        <c:axId val="327632191"/>
      </c:barChart>
      <c:scatterChart>
        <c:scatterStyle val="lineMarker"/>
        <c:varyColors val="0"/>
        <c:ser>
          <c:idx val="2"/>
          <c:order val="2"/>
          <c:tx>
            <c:v>Current Price</c:v>
          </c:tx>
          <c:spPr>
            <a:ln w="25400" cap="rnd">
              <a:solidFill>
                <a:srgbClr val="C00000"/>
              </a:solidFill>
              <a:prstDash val="lgDashDot"/>
              <a:round/>
            </a:ln>
            <a:effectLst/>
          </c:spPr>
          <c:marker>
            <c:symbol val="none"/>
          </c:marker>
          <c:xVal>
            <c:numRef>
              <c:f>'FootballField Data'!$H$6:$H$7</c:f>
              <c:numCache>
                <c:formatCode>"$"#,##0</c:formatCode>
                <c:ptCount val="2"/>
                <c:pt idx="0">
                  <c:v>80.52</c:v>
                </c:pt>
                <c:pt idx="1">
                  <c:v>80.52</c:v>
                </c:pt>
              </c:numCache>
            </c:numRef>
          </c:xVal>
          <c:yVal>
            <c:numRef>
              <c:f>'FootballField Data'!$I$6:$I$7</c:f>
              <c:numCache>
                <c:formatCode>General</c:formatCode>
                <c:ptCount val="2"/>
                <c:pt idx="0">
                  <c:v>0</c:v>
                </c:pt>
                <c:pt idx="1">
                  <c:v>1</c:v>
                </c:pt>
              </c:numCache>
            </c:numRef>
          </c:yVal>
          <c:smooth val="0"/>
          <c:extLst>
            <c:ext xmlns:c16="http://schemas.microsoft.com/office/drawing/2014/chart" uri="{C3380CC4-5D6E-409C-BE32-E72D297353CC}">
              <c16:uniqueId val="{00000006-6BAE-164C-BE84-5679D14278D7}"/>
            </c:ext>
          </c:extLst>
        </c:ser>
        <c:dLbls>
          <c:showLegendKey val="0"/>
          <c:showVal val="0"/>
          <c:showCatName val="0"/>
          <c:showSerName val="0"/>
          <c:showPercent val="0"/>
          <c:showBubbleSize val="0"/>
        </c:dLbls>
        <c:axId val="425237503"/>
        <c:axId val="425241087"/>
      </c:scatterChart>
      <c:catAx>
        <c:axId val="327633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632191"/>
        <c:crosses val="autoZero"/>
        <c:auto val="1"/>
        <c:lblAlgn val="ctr"/>
        <c:lblOffset val="100"/>
        <c:noMultiLvlLbl val="0"/>
      </c:catAx>
      <c:valAx>
        <c:axId val="327632191"/>
        <c:scaling>
          <c:orientation val="minMax"/>
          <c:max val="300"/>
          <c:min val="0"/>
        </c:scaling>
        <c:delete val="0"/>
        <c:axPos val="b"/>
        <c:numFmt formatCode="&quot;$&quot;0" sourceLinked="0"/>
        <c:majorTickMark val="none"/>
        <c:minorTickMark val="none"/>
        <c:tickLblPos val="nextTo"/>
        <c:spPr>
          <a:noFill/>
          <a:ln>
            <a:solidFill>
              <a:srgbClr val="D9D9D9"/>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633535"/>
        <c:crosses val="autoZero"/>
        <c:crossBetween val="between"/>
      </c:valAx>
      <c:valAx>
        <c:axId val="425241087"/>
        <c:scaling>
          <c:orientation val="minMax"/>
        </c:scaling>
        <c:delete val="1"/>
        <c:axPos val="r"/>
        <c:numFmt formatCode="General" sourceLinked="1"/>
        <c:majorTickMark val="out"/>
        <c:minorTickMark val="none"/>
        <c:tickLblPos val="nextTo"/>
        <c:crossAx val="425237503"/>
        <c:crosses val="max"/>
        <c:crossBetween val="midCat"/>
      </c:valAx>
      <c:valAx>
        <c:axId val="425237503"/>
        <c:scaling>
          <c:orientation val="minMax"/>
        </c:scaling>
        <c:delete val="1"/>
        <c:axPos val="b"/>
        <c:numFmt formatCode="&quot;$&quot;#,##0" sourceLinked="1"/>
        <c:majorTickMark val="out"/>
        <c:minorTickMark val="none"/>
        <c:tickLblPos val="nextTo"/>
        <c:crossAx val="42524108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723900</xdr:colOff>
      <xdr:row>6</xdr:row>
      <xdr:rowOff>12700</xdr:rowOff>
    </xdr:from>
    <xdr:to>
      <xdr:col>16</xdr:col>
      <xdr:colOff>698500</xdr:colOff>
      <xdr:row>23</xdr:row>
      <xdr:rowOff>63500</xdr:rowOff>
    </xdr:to>
    <xdr:graphicFrame macro="">
      <xdr:nvGraphicFramePr>
        <xdr:cNvPr id="2" name="FootballField">
          <a:extLst>
            <a:ext uri="{FF2B5EF4-FFF2-40B4-BE49-F238E27FC236}">
              <a16:creationId xmlns:a16="http://schemas.microsoft.com/office/drawing/2014/main" id="{F0AF8FBB-B359-A9C6-4B46-83E667A47F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C41"/>
  <sheetViews>
    <sheetView showGridLines="0" tabSelected="1" workbookViewId="0"/>
  </sheetViews>
  <sheetFormatPr baseColWidth="10" defaultRowHeight="15" x14ac:dyDescent="0.2"/>
  <cols>
    <col min="1" max="1" width="2.5" customWidth="1"/>
    <col min="2" max="2" width="43.33203125" customWidth="1"/>
    <col min="3" max="3" width="69.33203125" customWidth="1"/>
    <col min="4" max="4" width="3.33203125" customWidth="1"/>
  </cols>
  <sheetData>
    <row r="2" spans="2:3" ht="42" customHeight="1" x14ac:dyDescent="0.35">
      <c r="B2" s="386" t="s">
        <v>399</v>
      </c>
    </row>
    <row r="3" spans="2:3" ht="22" customHeight="1" x14ac:dyDescent="0.25">
      <c r="B3" s="387" t="s">
        <v>402</v>
      </c>
    </row>
    <row r="4" spans="2:3" x14ac:dyDescent="0.2">
      <c r="B4" s="126" t="s">
        <v>403</v>
      </c>
    </row>
    <row r="6" spans="2:3" s="21" customFormat="1" ht="16" customHeight="1" x14ac:dyDescent="0.2">
      <c r="B6" s="164" t="s">
        <v>56</v>
      </c>
      <c r="C6" s="53"/>
    </row>
    <row r="7" spans="2:3" s="21" customFormat="1" ht="14" customHeight="1" x14ac:dyDescent="0.2">
      <c r="B7" s="6" t="s">
        <v>57</v>
      </c>
      <c r="C7" s="6" t="s">
        <v>58</v>
      </c>
    </row>
    <row r="8" spans="2:3" s="21" customFormat="1" ht="14" customHeight="1" x14ac:dyDescent="0.2">
      <c r="B8" s="6" t="s">
        <v>59</v>
      </c>
      <c r="C8" s="6" t="s">
        <v>60</v>
      </c>
    </row>
    <row r="9" spans="2:3" s="21" customFormat="1" ht="14" customHeight="1" x14ac:dyDescent="0.2">
      <c r="B9" s="6" t="s">
        <v>61</v>
      </c>
      <c r="C9" s="6" t="s">
        <v>62</v>
      </c>
    </row>
    <row r="10" spans="2:3" s="21" customFormat="1" ht="14" customHeight="1" x14ac:dyDescent="0.2">
      <c r="B10" s="6" t="s">
        <v>63</v>
      </c>
      <c r="C10" s="6" t="s">
        <v>64</v>
      </c>
    </row>
    <row r="11" spans="2:3" s="21" customFormat="1" ht="14" customHeight="1" x14ac:dyDescent="0.2">
      <c r="B11" s="6" t="s">
        <v>65</v>
      </c>
      <c r="C11" s="6" t="s">
        <v>66</v>
      </c>
    </row>
    <row r="12" spans="2:3" s="21" customFormat="1" ht="14" customHeight="1" x14ac:dyDescent="0.2">
      <c r="B12" s="132"/>
      <c r="C12" s="65"/>
    </row>
    <row r="13" spans="2:3" ht="16" customHeight="1" x14ac:dyDescent="0.2">
      <c r="B13" s="162" t="s">
        <v>419</v>
      </c>
      <c r="C13" s="133"/>
    </row>
    <row r="14" spans="2:3" x14ac:dyDescent="0.2">
      <c r="B14" s="4" t="s">
        <v>51</v>
      </c>
      <c r="C14" s="134">
        <f>'DCF &amp; Sensitivity'!D55</f>
        <v>80.52</v>
      </c>
    </row>
    <row r="15" spans="2:3" x14ac:dyDescent="0.2">
      <c r="B15" s="135" t="s">
        <v>422</v>
      </c>
      <c r="C15" s="136">
        <f>'DCF &amp; Sensitivity'!D53</f>
        <v>124.46761990446829</v>
      </c>
    </row>
    <row r="16" spans="2:3" x14ac:dyDescent="0.2">
      <c r="B16" s="137" t="s">
        <v>423</v>
      </c>
      <c r="C16" s="138">
        <f>'DCF &amp; Sensitivity'!D54</f>
        <v>168.8143448973556</v>
      </c>
    </row>
    <row r="17" spans="2:3" x14ac:dyDescent="0.2">
      <c r="B17" s="4"/>
      <c r="C17" s="4"/>
    </row>
    <row r="18" spans="2:3" ht="19" customHeight="1" x14ac:dyDescent="0.2">
      <c r="B18" s="162" t="s">
        <v>418</v>
      </c>
      <c r="C18" s="133"/>
    </row>
    <row r="19" spans="2:3" x14ac:dyDescent="0.2">
      <c r="B19" s="4" t="s">
        <v>12</v>
      </c>
      <c r="C19" s="163">
        <f>Assumptions!D75/100</f>
        <v>9.8099999999999993E-2</v>
      </c>
    </row>
    <row r="20" spans="2:3" x14ac:dyDescent="0.2">
      <c r="B20" s="135" t="s">
        <v>31</v>
      </c>
      <c r="C20" s="139">
        <f>Assumptions!D76/100</f>
        <v>0.03</v>
      </c>
    </row>
    <row r="21" spans="2:3" x14ac:dyDescent="0.2">
      <c r="B21" s="135" t="s">
        <v>135</v>
      </c>
      <c r="C21" s="140">
        <f>Assumptions!D77</f>
        <v>20</v>
      </c>
    </row>
    <row r="22" spans="2:3" x14ac:dyDescent="0.2">
      <c r="B22" s="135" t="s">
        <v>400</v>
      </c>
      <c r="C22" s="139">
        <f>Assumptions!F11/100</f>
        <v>1.01</v>
      </c>
    </row>
    <row r="23" spans="2:3" x14ac:dyDescent="0.2">
      <c r="B23" s="135" t="s">
        <v>401</v>
      </c>
      <c r="C23" s="139">
        <f>'Income Statement'!M28/100</f>
        <v>0.35500000000000009</v>
      </c>
    </row>
    <row r="24" spans="2:3" x14ac:dyDescent="0.2">
      <c r="B24" s="135" t="s">
        <v>420</v>
      </c>
      <c r="C24" s="141">
        <f>'DCF &amp; Sensitivity'!D48</f>
        <v>-698</v>
      </c>
    </row>
    <row r="25" spans="2:3" x14ac:dyDescent="0.2">
      <c r="B25" s="137" t="s">
        <v>421</v>
      </c>
      <c r="C25" s="142">
        <f>'DCF &amp; Sensitivity'!D51</f>
        <v>36.5</v>
      </c>
    </row>
    <row r="26" spans="2:3" ht="26" customHeight="1" x14ac:dyDescent="0.2">
      <c r="B26" s="388"/>
      <c r="C26" s="388"/>
    </row>
    <row r="27" spans="2:3" ht="18" customHeight="1" x14ac:dyDescent="0.2">
      <c r="B27" s="162" t="s">
        <v>69</v>
      </c>
      <c r="C27" s="133"/>
    </row>
    <row r="28" spans="2:3" x14ac:dyDescent="0.2">
      <c r="B28" s="143" t="s">
        <v>404</v>
      </c>
      <c r="C28" s="4"/>
    </row>
    <row r="29" spans="2:3" x14ac:dyDescent="0.2">
      <c r="B29" s="4" t="s">
        <v>405</v>
      </c>
      <c r="C29" s="4"/>
    </row>
    <row r="30" spans="2:3" x14ac:dyDescent="0.2">
      <c r="B30" s="4" t="s">
        <v>406</v>
      </c>
      <c r="C30" s="4"/>
    </row>
    <row r="31" spans="2:3" x14ac:dyDescent="0.2">
      <c r="B31" s="143" t="s">
        <v>407</v>
      </c>
      <c r="C31" s="4"/>
    </row>
    <row r="32" spans="2:3" x14ac:dyDescent="0.2">
      <c r="B32" s="4" t="s">
        <v>408</v>
      </c>
      <c r="C32" s="4"/>
    </row>
    <row r="33" spans="2:3" x14ac:dyDescent="0.2">
      <c r="B33" s="4" t="s">
        <v>409</v>
      </c>
      <c r="C33" s="4"/>
    </row>
    <row r="34" spans="2:3" x14ac:dyDescent="0.2">
      <c r="B34" s="4" t="s">
        <v>410</v>
      </c>
      <c r="C34" s="4"/>
    </row>
    <row r="35" spans="2:3" x14ac:dyDescent="0.2">
      <c r="B35" s="4" t="s">
        <v>411</v>
      </c>
      <c r="C35" s="4"/>
    </row>
    <row r="36" spans="2:3" x14ac:dyDescent="0.2">
      <c r="B36" s="4" t="s">
        <v>412</v>
      </c>
      <c r="C36" s="4"/>
    </row>
    <row r="37" spans="2:3" x14ac:dyDescent="0.2">
      <c r="B37" s="4" t="s">
        <v>413</v>
      </c>
      <c r="C37" s="4"/>
    </row>
    <row r="38" spans="2:3" x14ac:dyDescent="0.2">
      <c r="B38" s="4" t="s">
        <v>414</v>
      </c>
      <c r="C38" s="4"/>
    </row>
    <row r="39" spans="2:3" x14ac:dyDescent="0.2">
      <c r="B39" s="143" t="s">
        <v>415</v>
      </c>
      <c r="C39" s="4"/>
    </row>
    <row r="40" spans="2:3" x14ac:dyDescent="0.2">
      <c r="B40" s="4" t="s">
        <v>416</v>
      </c>
      <c r="C40" s="4"/>
    </row>
    <row r="41" spans="2:3" x14ac:dyDescent="0.2">
      <c r="B41" s="4" t="s">
        <v>417</v>
      </c>
      <c r="C41" s="4"/>
    </row>
  </sheetData>
  <mergeCells count="1">
    <mergeCell ref="B26:C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dimension ref="B2:G42"/>
  <sheetViews>
    <sheetView showGridLines="0" workbookViewId="0"/>
  </sheetViews>
  <sheetFormatPr baseColWidth="10" defaultRowHeight="15" x14ac:dyDescent="0.2"/>
  <cols>
    <col min="1" max="1" width="2.5" customWidth="1"/>
    <col min="2" max="2" width="28.33203125" customWidth="1"/>
    <col min="3" max="3" width="6.6640625" customWidth="1"/>
    <col min="4" max="4" width="16" customWidth="1"/>
    <col min="5" max="5" width="15.1640625" customWidth="1"/>
    <col min="6" max="6" width="16.33203125" customWidth="1"/>
    <col min="7" max="7" width="15.6640625" customWidth="1"/>
  </cols>
  <sheetData>
    <row r="2" spans="2:7" ht="26" customHeight="1" x14ac:dyDescent="0.2">
      <c r="B2" s="165" t="s">
        <v>355</v>
      </c>
      <c r="C2" s="165"/>
    </row>
    <row r="3" spans="2:7" x14ac:dyDescent="0.2">
      <c r="B3" s="5" t="s">
        <v>402</v>
      </c>
      <c r="C3" s="5"/>
    </row>
    <row r="4" spans="2:7" x14ac:dyDescent="0.2">
      <c r="B4" s="166" t="s">
        <v>510</v>
      </c>
      <c r="C4" s="166"/>
    </row>
    <row r="5" spans="2:7" x14ac:dyDescent="0.2">
      <c r="B5" s="167" t="s">
        <v>432</v>
      </c>
      <c r="C5" s="167"/>
      <c r="D5" s="4"/>
      <c r="E5" s="4"/>
      <c r="F5" s="4"/>
      <c r="G5" s="4"/>
    </row>
    <row r="6" spans="2:7" x14ac:dyDescent="0.2">
      <c r="B6" s="4"/>
      <c r="C6" s="4"/>
      <c r="D6" s="4"/>
      <c r="E6" s="4"/>
      <c r="F6" s="4"/>
      <c r="G6" s="4"/>
    </row>
    <row r="7" spans="2:7" ht="16" thickBot="1" x14ac:dyDescent="0.25">
      <c r="B7" s="172" t="s">
        <v>434</v>
      </c>
      <c r="C7" s="172" t="s">
        <v>13</v>
      </c>
      <c r="D7" s="173" t="s">
        <v>67</v>
      </c>
      <c r="E7" s="174" t="s">
        <v>85</v>
      </c>
      <c r="F7" s="175" t="s">
        <v>68</v>
      </c>
      <c r="G7" s="376" t="s">
        <v>436</v>
      </c>
    </row>
    <row r="8" spans="2:7" x14ac:dyDescent="0.2">
      <c r="B8" s="144" t="s">
        <v>392</v>
      </c>
      <c r="C8" s="144" t="s">
        <v>49</v>
      </c>
      <c r="D8" s="153">
        <f>'Shadow DCF'!D39</f>
        <v>76.970575840927012</v>
      </c>
      <c r="E8" s="153">
        <f>'Shadow DCF'!D75</f>
        <v>128.28403076238854</v>
      </c>
      <c r="F8" s="153">
        <f>'Shadow DCF'!D111</f>
        <v>179.13503447024598</v>
      </c>
      <c r="G8" s="377">
        <f>F8-D8</f>
        <v>102.16445862931897</v>
      </c>
    </row>
    <row r="9" spans="2:7" x14ac:dyDescent="0.2">
      <c r="B9" s="6" t="s">
        <v>393</v>
      </c>
      <c r="C9" s="6" t="s">
        <v>49</v>
      </c>
      <c r="D9" s="154">
        <f>'Shadow DCF'!D40</f>
        <v>97.758499323464946</v>
      </c>
      <c r="E9" s="154">
        <f>'Shadow DCF'!D76</f>
        <v>170.01880298559846</v>
      </c>
      <c r="F9" s="154">
        <f>'Shadow DCF'!D112</f>
        <v>261.01640854386812</v>
      </c>
      <c r="G9" s="378">
        <f>F9-D9</f>
        <v>163.25790922040318</v>
      </c>
    </row>
    <row r="10" spans="2:7" x14ac:dyDescent="0.2">
      <c r="B10" s="6" t="s">
        <v>356</v>
      </c>
      <c r="C10" s="6" t="s">
        <v>49</v>
      </c>
      <c r="D10" s="369">
        <f>AVERAGE(D8:D9)</f>
        <v>87.364537582195979</v>
      </c>
      <c r="E10" s="369">
        <f>AVERAGE(E8:E9)</f>
        <v>149.1514168739935</v>
      </c>
      <c r="F10" s="369">
        <f>AVERAGE(F8:F9)</f>
        <v>220.07572150705704</v>
      </c>
      <c r="G10" s="369">
        <f>F10-D10</f>
        <v>132.71118392486107</v>
      </c>
    </row>
    <row r="11" spans="2:7" x14ac:dyDescent="0.2">
      <c r="B11" s="6" t="s">
        <v>51</v>
      </c>
      <c r="C11" s="6" t="s">
        <v>49</v>
      </c>
      <c r="D11" s="368">
        <f>'DCF &amp; Sensitivity'!$D$55</f>
        <v>80.52</v>
      </c>
      <c r="E11" s="368">
        <f>'DCF &amp; Sensitivity'!$D$55</f>
        <v>80.52</v>
      </c>
      <c r="F11" s="368">
        <f>'DCF &amp; Sensitivity'!$D$55</f>
        <v>80.52</v>
      </c>
      <c r="G11" s="370" t="s">
        <v>509</v>
      </c>
    </row>
    <row r="12" spans="2:7" x14ac:dyDescent="0.2">
      <c r="B12" s="155" t="s">
        <v>357</v>
      </c>
      <c r="C12" s="6" t="s">
        <v>3</v>
      </c>
      <c r="D12" s="367">
        <f>D10/D11-1</f>
        <v>8.5004192526030531E-2</v>
      </c>
      <c r="E12" s="367">
        <f>E10/E11-1</f>
        <v>0.85235242019366009</v>
      </c>
      <c r="F12" s="367">
        <f>F10/F11-1</f>
        <v>1.7331808433563967</v>
      </c>
      <c r="G12" s="379">
        <f>F12-D12</f>
        <v>1.6481766508303661</v>
      </c>
    </row>
    <row r="13" spans="2:7" x14ac:dyDescent="0.2">
      <c r="B13" s="4"/>
      <c r="C13" s="4"/>
      <c r="D13" s="151"/>
      <c r="E13" s="151"/>
      <c r="F13" s="151"/>
      <c r="G13" s="152"/>
    </row>
    <row r="14" spans="2:7" x14ac:dyDescent="0.2">
      <c r="B14" s="168" t="s">
        <v>435</v>
      </c>
      <c r="C14" s="168" t="s">
        <v>13</v>
      </c>
      <c r="D14" s="169" t="s">
        <v>67</v>
      </c>
      <c r="E14" s="170" t="s">
        <v>85</v>
      </c>
      <c r="F14" s="171" t="s">
        <v>68</v>
      </c>
      <c r="G14" s="375" t="s">
        <v>439</v>
      </c>
    </row>
    <row r="15" spans="2:7" x14ac:dyDescent="0.2">
      <c r="B15" s="155" t="s">
        <v>87</v>
      </c>
      <c r="C15" s="155" t="s">
        <v>3</v>
      </c>
      <c r="D15" s="159">
        <f>Assumptions!E11</f>
        <v>95</v>
      </c>
      <c r="E15" s="159">
        <f>Assumptions!F11</f>
        <v>101</v>
      </c>
      <c r="F15" s="159">
        <f>Assumptions!G11</f>
        <v>105</v>
      </c>
      <c r="G15" s="159">
        <f>Assumptions!D11</f>
        <v>103</v>
      </c>
    </row>
    <row r="16" spans="2:7" x14ac:dyDescent="0.2">
      <c r="B16" s="6" t="s">
        <v>88</v>
      </c>
      <c r="C16" s="6" t="s">
        <v>27</v>
      </c>
      <c r="D16" s="157">
        <f>Assumptions!E12</f>
        <v>800</v>
      </c>
      <c r="E16" s="157">
        <f>Assumptions!F12</f>
        <v>1300</v>
      </c>
      <c r="F16" s="157">
        <f>Assumptions!G12</f>
        <v>1600</v>
      </c>
      <c r="G16" s="157">
        <f>Assumptions!D12</f>
        <v>1300</v>
      </c>
    </row>
    <row r="17" spans="2:7" x14ac:dyDescent="0.2">
      <c r="B17" s="6" t="s">
        <v>358</v>
      </c>
      <c r="C17" s="6" t="s">
        <v>90</v>
      </c>
      <c r="D17" s="384">
        <f>Assumptions!E13</f>
        <v>30</v>
      </c>
      <c r="E17" s="384">
        <f>Assumptions!F13</f>
        <v>35</v>
      </c>
      <c r="F17" s="384">
        <f>Assumptions!G13</f>
        <v>40</v>
      </c>
      <c r="G17" s="384">
        <f>Assumptions!D13</f>
        <v>35</v>
      </c>
    </row>
    <row r="18" spans="2:7" x14ac:dyDescent="0.2">
      <c r="B18" s="155" t="s">
        <v>91</v>
      </c>
      <c r="C18" s="155" t="s">
        <v>3</v>
      </c>
      <c r="D18" s="159">
        <f>Assumptions!E15</f>
        <v>81</v>
      </c>
      <c r="E18" s="159">
        <f>Assumptions!F15</f>
        <v>84.5</v>
      </c>
      <c r="F18" s="159">
        <f>Assumptions!G15</f>
        <v>86</v>
      </c>
      <c r="G18" s="159">
        <f>'Income Statement'!H15</f>
        <v>82.842624420863856</v>
      </c>
    </row>
    <row r="19" spans="2:7" x14ac:dyDescent="0.2">
      <c r="B19" s="155" t="s">
        <v>92</v>
      </c>
      <c r="C19" s="155" t="s">
        <v>3</v>
      </c>
      <c r="D19" s="159">
        <f>Assumptions!E16</f>
        <v>19.5</v>
      </c>
      <c r="E19" s="159">
        <f>Assumptions!F16</f>
        <v>17.5</v>
      </c>
      <c r="F19" s="159">
        <f>Assumptions!G16</f>
        <v>15.5</v>
      </c>
      <c r="G19" s="159">
        <f>'Income Statement'!H19</f>
        <v>17.531011806904797</v>
      </c>
    </row>
    <row r="20" spans="2:7" x14ac:dyDescent="0.2">
      <c r="B20" s="155" t="s">
        <v>93</v>
      </c>
      <c r="C20" s="155" t="s">
        <v>3</v>
      </c>
      <c r="D20" s="159">
        <f>Assumptions!E17</f>
        <v>25</v>
      </c>
      <c r="E20" s="159">
        <f>Assumptions!F17</f>
        <v>21.5</v>
      </c>
      <c r="F20" s="159">
        <f>Assumptions!G17</f>
        <v>18</v>
      </c>
      <c r="G20" s="159">
        <f>'Income Statement'!H21</f>
        <v>21.44671947392019</v>
      </c>
    </row>
    <row r="21" spans="2:7" x14ac:dyDescent="0.2">
      <c r="B21" s="155" t="s">
        <v>31</v>
      </c>
      <c r="C21" s="155" t="s">
        <v>3</v>
      </c>
      <c r="D21" s="159">
        <f>Assumptions!E19</f>
        <v>2</v>
      </c>
      <c r="E21" s="159">
        <f>Assumptions!F19</f>
        <v>3</v>
      </c>
      <c r="F21" s="159">
        <f>Assumptions!G19</f>
        <v>3.5</v>
      </c>
      <c r="G21" s="159" t="s">
        <v>509</v>
      </c>
    </row>
    <row r="22" spans="2:7" x14ac:dyDescent="0.2">
      <c r="B22" s="6" t="s">
        <v>94</v>
      </c>
      <c r="C22" s="6" t="s">
        <v>5</v>
      </c>
      <c r="D22" s="160">
        <f>Assumptions!E20</f>
        <v>15</v>
      </c>
      <c r="E22" s="160">
        <f>Assumptions!F20</f>
        <v>20</v>
      </c>
      <c r="F22" s="160">
        <f>Assumptions!G20</f>
        <v>25</v>
      </c>
      <c r="G22" s="371" t="s">
        <v>509</v>
      </c>
    </row>
    <row r="23" spans="2:7" x14ac:dyDescent="0.2">
      <c r="B23" s="155" t="s">
        <v>508</v>
      </c>
      <c r="C23" s="155" t="s">
        <v>3</v>
      </c>
      <c r="D23" s="159">
        <f>Assumptions!E22</f>
        <v>60</v>
      </c>
      <c r="E23" s="159">
        <f>Assumptions!F22</f>
        <v>80</v>
      </c>
      <c r="F23" s="159">
        <f>Assumptions!G22</f>
        <v>95</v>
      </c>
      <c r="G23" s="159">
        <f>Assumptions!H61</f>
        <v>60.24967148488831</v>
      </c>
    </row>
    <row r="24" spans="2:7" x14ac:dyDescent="0.2">
      <c r="B24" s="4"/>
      <c r="C24" s="4"/>
      <c r="D24" s="151"/>
      <c r="E24" s="151"/>
      <c r="F24" s="151"/>
      <c r="G24" s="152"/>
    </row>
    <row r="25" spans="2:7" x14ac:dyDescent="0.2">
      <c r="B25" s="168" t="s">
        <v>440</v>
      </c>
      <c r="C25" s="168" t="s">
        <v>13</v>
      </c>
      <c r="D25" s="169" t="s">
        <v>67</v>
      </c>
      <c r="E25" s="170" t="s">
        <v>85</v>
      </c>
      <c r="F25" s="171" t="s">
        <v>68</v>
      </c>
      <c r="G25" s="380"/>
    </row>
    <row r="26" spans="2:7" x14ac:dyDescent="0.2">
      <c r="B26" s="6" t="s">
        <v>256</v>
      </c>
      <c r="C26" s="6" t="s">
        <v>25</v>
      </c>
      <c r="D26" s="384">
        <f>'Shadow DCF'!J9</f>
        <v>796.0183964142999</v>
      </c>
      <c r="E26" s="384">
        <f>'Shadow DCF'!J45</f>
        <v>973.09488863072499</v>
      </c>
      <c r="F26" s="384">
        <f>'Shadow DCF'!J81</f>
        <v>1110.2976164977001</v>
      </c>
      <c r="G26" s="158"/>
    </row>
    <row r="27" spans="2:7" x14ac:dyDescent="0.2">
      <c r="B27" s="155" t="s">
        <v>359</v>
      </c>
      <c r="C27" s="155" t="s">
        <v>3</v>
      </c>
      <c r="D27" s="156">
        <f>(D26/669.1)^(1/5)-1</f>
        <v>3.5348157460127094E-2</v>
      </c>
      <c r="E27" s="156">
        <f>(E26/669.1)^(1/5)-1</f>
        <v>7.7786730374734381E-2</v>
      </c>
      <c r="F27" s="156">
        <f>(F26/669.1)^(1/5)-1</f>
        <v>0.10659747654335661</v>
      </c>
      <c r="G27" s="161"/>
    </row>
    <row r="28" spans="2:7" x14ac:dyDescent="0.2">
      <c r="B28" s="155" t="s">
        <v>113</v>
      </c>
      <c r="C28" s="155" t="s">
        <v>3</v>
      </c>
      <c r="D28" s="156">
        <f>D18/100-D19/100-D20/100-0.105</f>
        <v>0.26</v>
      </c>
      <c r="E28" s="156">
        <f>E18/100-E19/100-E20/100-0.1</f>
        <v>0.35499999999999998</v>
      </c>
      <c r="F28" s="156">
        <f>F18/100-F19/100-F20/100-0.1</f>
        <v>0.42499999999999993</v>
      </c>
      <c r="G28" s="372"/>
    </row>
    <row r="29" spans="2:7" x14ac:dyDescent="0.2">
      <c r="B29" s="6" t="s">
        <v>360</v>
      </c>
      <c r="C29" s="6" t="s">
        <v>25</v>
      </c>
      <c r="D29" s="384">
        <f>'Shadow DCF'!J18</f>
        <v>219.70107741034678</v>
      </c>
      <c r="E29" s="384">
        <f>'Shadow DCF'!J54</f>
        <v>356.15272923884532</v>
      </c>
      <c r="F29" s="384">
        <f>'Shadow DCF'!J90</f>
        <v>484.0897607929972</v>
      </c>
      <c r="G29" s="158"/>
    </row>
    <row r="30" spans="2:7" x14ac:dyDescent="0.2">
      <c r="B30" s="6" t="s">
        <v>361</v>
      </c>
      <c r="C30" s="6" t="s">
        <v>25</v>
      </c>
      <c r="D30" s="384">
        <f>'Shadow DCF'!J23</f>
        <v>159.57239012842587</v>
      </c>
      <c r="E30" s="384">
        <f>'Shadow DCF'!J59</f>
        <v>310.14250794469166</v>
      </c>
      <c r="F30" s="384">
        <f>'Shadow DCF'!J95</f>
        <v>446.90570483993582</v>
      </c>
      <c r="G30" s="373"/>
    </row>
    <row r="31" spans="2:7" x14ac:dyDescent="0.2">
      <c r="B31" s="6" t="s">
        <v>437</v>
      </c>
      <c r="C31" s="6" t="s">
        <v>25</v>
      </c>
      <c r="D31" s="385">
        <f>'Shadow DCF'!D34</f>
        <v>2111.4260181938357</v>
      </c>
      <c r="E31" s="385">
        <f>'Shadow DCF'!D70</f>
        <v>3984.3671228271814</v>
      </c>
      <c r="F31" s="385">
        <f>'Shadow DCF'!D106</f>
        <v>5840.4287581639783</v>
      </c>
      <c r="G31" s="374"/>
    </row>
    <row r="32" spans="2:7" x14ac:dyDescent="0.2">
      <c r="B32" s="6" t="s">
        <v>438</v>
      </c>
      <c r="C32" s="6" t="s">
        <v>25</v>
      </c>
      <c r="D32" s="385">
        <f>'Shadow DCF'!D35</f>
        <v>2870.1852253064708</v>
      </c>
      <c r="E32" s="385">
        <f>'Shadow DCF'!D71</f>
        <v>5507.6863089743438</v>
      </c>
      <c r="F32" s="385">
        <f>'Shadow DCF'!D107</f>
        <v>8829.0989118511861</v>
      </c>
      <c r="G32" s="374"/>
    </row>
    <row r="33" spans="2:7" x14ac:dyDescent="0.2">
      <c r="B33" s="4"/>
      <c r="C33" s="4"/>
      <c r="D33" s="4"/>
      <c r="E33" s="4"/>
      <c r="F33" s="4"/>
      <c r="G33" s="4"/>
    </row>
    <row r="34" spans="2:7" x14ac:dyDescent="0.2">
      <c r="B34" s="162" t="s">
        <v>433</v>
      </c>
      <c r="C34" s="162"/>
      <c r="D34" s="162"/>
      <c r="E34" s="162"/>
      <c r="F34" s="162"/>
      <c r="G34" s="162"/>
    </row>
    <row r="35" spans="2:7" x14ac:dyDescent="0.2">
      <c r="B35" s="389" t="s">
        <v>536</v>
      </c>
      <c r="C35" s="390"/>
      <c r="D35" s="390"/>
      <c r="E35" s="390"/>
      <c r="F35" s="390"/>
      <c r="G35" s="390"/>
    </row>
    <row r="36" spans="2:7" ht="27" customHeight="1" x14ac:dyDescent="0.2">
      <c r="B36" s="390"/>
      <c r="C36" s="390"/>
      <c r="D36" s="390"/>
      <c r="E36" s="390"/>
      <c r="F36" s="390"/>
      <c r="G36" s="390"/>
    </row>
    <row r="37" spans="2:7" x14ac:dyDescent="0.2">
      <c r="B37" s="390"/>
      <c r="C37" s="390"/>
      <c r="D37" s="390"/>
      <c r="E37" s="390"/>
      <c r="F37" s="390"/>
      <c r="G37" s="390"/>
    </row>
    <row r="38" spans="2:7" x14ac:dyDescent="0.2">
      <c r="B38" s="390"/>
      <c r="C38" s="390"/>
      <c r="D38" s="390"/>
      <c r="E38" s="390"/>
      <c r="F38" s="390"/>
      <c r="G38" s="390"/>
    </row>
    <row r="39" spans="2:7" x14ac:dyDescent="0.2">
      <c r="B39" s="390"/>
      <c r="C39" s="390"/>
      <c r="D39" s="390"/>
      <c r="E39" s="390"/>
      <c r="F39" s="390"/>
      <c r="G39" s="390"/>
    </row>
    <row r="40" spans="2:7" x14ac:dyDescent="0.2">
      <c r="B40" s="390"/>
      <c r="C40" s="390"/>
      <c r="D40" s="390"/>
      <c r="E40" s="390"/>
      <c r="F40" s="390"/>
      <c r="G40" s="390"/>
    </row>
    <row r="41" spans="2:7" x14ac:dyDescent="0.2">
      <c r="B41" s="390"/>
      <c r="C41" s="390"/>
      <c r="D41" s="390"/>
      <c r="E41" s="390"/>
      <c r="F41" s="390"/>
      <c r="G41" s="390"/>
    </row>
    <row r="42" spans="2:7" ht="84" customHeight="1" x14ac:dyDescent="0.2">
      <c r="B42" s="390"/>
      <c r="C42" s="390"/>
      <c r="D42" s="390"/>
      <c r="E42" s="390"/>
      <c r="F42" s="390"/>
      <c r="G42" s="390"/>
    </row>
  </sheetData>
  <mergeCells count="1">
    <mergeCell ref="B35:G4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30"/>
  <sheetViews>
    <sheetView showGridLines="0" workbookViewId="0">
      <selection activeCell="C18" sqref="C18"/>
    </sheetView>
  </sheetViews>
  <sheetFormatPr baseColWidth="10" defaultColWidth="8.83203125" defaultRowHeight="14" x14ac:dyDescent="0.2"/>
  <cols>
    <col min="1" max="1" width="2.33203125" style="21" customWidth="1"/>
    <col min="2" max="8" width="8.83203125" style="21" customWidth="1"/>
    <col min="9" max="9" width="81.1640625" style="21" customWidth="1"/>
    <col min="10" max="11" width="8.83203125" style="21" customWidth="1"/>
    <col min="12" max="16384" width="8.83203125" style="21"/>
  </cols>
  <sheetData>
    <row r="2" spans="2:9" ht="19" customHeight="1" x14ac:dyDescent="0.2">
      <c r="B2" s="69" t="s">
        <v>75</v>
      </c>
    </row>
    <row r="3" spans="2:9" x14ac:dyDescent="0.2">
      <c r="B3" s="65" t="s">
        <v>0</v>
      </c>
    </row>
    <row r="5" spans="2:9" x14ac:dyDescent="0.2">
      <c r="B5" s="66" t="s">
        <v>76</v>
      </c>
      <c r="C5" s="53"/>
      <c r="D5" s="53"/>
      <c r="E5" s="53"/>
      <c r="F5" s="53"/>
      <c r="G5" s="53"/>
      <c r="H5" s="53"/>
      <c r="I5" s="53"/>
    </row>
    <row r="6" spans="2:9" x14ac:dyDescent="0.2">
      <c r="B6" s="67">
        <v>1</v>
      </c>
      <c r="C6" s="68" t="s">
        <v>316</v>
      </c>
      <c r="D6" s="43"/>
      <c r="E6" s="43"/>
      <c r="F6" s="43"/>
      <c r="G6" s="43"/>
      <c r="H6" s="43"/>
      <c r="I6" s="43"/>
    </row>
    <row r="7" spans="2:9" x14ac:dyDescent="0.2">
      <c r="B7" s="67">
        <v>2</v>
      </c>
      <c r="C7" s="68" t="s">
        <v>317</v>
      </c>
      <c r="D7" s="43"/>
      <c r="E7" s="43"/>
      <c r="F7" s="43"/>
      <c r="G7" s="43"/>
      <c r="H7" s="43"/>
      <c r="I7" s="43"/>
    </row>
    <row r="8" spans="2:9" x14ac:dyDescent="0.2">
      <c r="B8" s="67">
        <v>3</v>
      </c>
      <c r="C8" s="68" t="s">
        <v>77</v>
      </c>
      <c r="D8" s="43"/>
      <c r="E8" s="43"/>
      <c r="F8" s="43"/>
      <c r="G8" s="43"/>
      <c r="H8" s="43"/>
      <c r="I8" s="43"/>
    </row>
    <row r="9" spans="2:9" x14ac:dyDescent="0.2">
      <c r="B9" s="67">
        <v>4</v>
      </c>
      <c r="C9" s="68" t="s">
        <v>318</v>
      </c>
      <c r="D9" s="43"/>
      <c r="E9" s="43"/>
      <c r="F9" s="43"/>
      <c r="G9" s="43"/>
      <c r="H9" s="43"/>
      <c r="I9" s="43"/>
    </row>
    <row r="10" spans="2:9" x14ac:dyDescent="0.2">
      <c r="B10" s="67">
        <v>5</v>
      </c>
      <c r="C10" s="68" t="s">
        <v>78</v>
      </c>
      <c r="D10" s="43"/>
      <c r="E10" s="43"/>
      <c r="F10" s="43"/>
      <c r="G10" s="43"/>
      <c r="H10" s="43"/>
      <c r="I10" s="43"/>
    </row>
    <row r="11" spans="2:9" x14ac:dyDescent="0.2">
      <c r="B11" s="122">
        <v>6</v>
      </c>
      <c r="C11" s="65" t="s">
        <v>325</v>
      </c>
    </row>
    <row r="12" spans="2:9" x14ac:dyDescent="0.2">
      <c r="B12" s="122">
        <v>7</v>
      </c>
      <c r="C12" s="68" t="s">
        <v>323</v>
      </c>
    </row>
    <row r="14" spans="2:9" x14ac:dyDescent="0.2">
      <c r="B14" s="66" t="s">
        <v>79</v>
      </c>
      <c r="C14" s="53"/>
      <c r="D14" s="53"/>
      <c r="E14" s="53"/>
      <c r="F14" s="53"/>
      <c r="G14" s="53"/>
      <c r="H14" s="53"/>
      <c r="I14" s="53"/>
    </row>
    <row r="15" spans="2:9" x14ac:dyDescent="0.2">
      <c r="B15" s="67">
        <v>1</v>
      </c>
      <c r="C15" s="68" t="s">
        <v>319</v>
      </c>
      <c r="D15" s="43"/>
      <c r="E15" s="43"/>
      <c r="F15" s="43"/>
      <c r="G15" s="43"/>
      <c r="H15" s="43"/>
      <c r="I15" s="43"/>
    </row>
    <row r="16" spans="2:9" x14ac:dyDescent="0.2">
      <c r="B16" s="67">
        <v>2</v>
      </c>
      <c r="C16" s="68" t="s">
        <v>80</v>
      </c>
      <c r="D16" s="43"/>
      <c r="E16" s="43"/>
      <c r="F16" s="43"/>
      <c r="G16" s="43"/>
      <c r="H16" s="43"/>
      <c r="I16" s="43"/>
    </row>
    <row r="17" spans="2:9" x14ac:dyDescent="0.2">
      <c r="B17" s="67">
        <v>3</v>
      </c>
      <c r="C17" s="68" t="s">
        <v>535</v>
      </c>
      <c r="D17" s="43"/>
      <c r="E17" s="43"/>
      <c r="F17" s="43"/>
      <c r="G17" s="43"/>
      <c r="H17" s="43"/>
      <c r="I17" s="43"/>
    </row>
    <row r="18" spans="2:9" x14ac:dyDescent="0.2">
      <c r="B18" s="67">
        <v>4</v>
      </c>
      <c r="C18" s="68" t="s">
        <v>326</v>
      </c>
      <c r="D18" s="43"/>
      <c r="E18" s="43"/>
      <c r="F18" s="43"/>
      <c r="G18" s="43"/>
      <c r="H18" s="43"/>
      <c r="I18" s="43"/>
    </row>
    <row r="20" spans="2:9" x14ac:dyDescent="0.2">
      <c r="B20" s="66" t="s">
        <v>81</v>
      </c>
      <c r="C20" s="53"/>
      <c r="D20" s="53"/>
      <c r="E20" s="53"/>
      <c r="F20" s="53"/>
      <c r="G20" s="53"/>
      <c r="H20" s="53"/>
      <c r="I20" s="53"/>
    </row>
    <row r="21" spans="2:9" x14ac:dyDescent="0.2">
      <c r="B21" s="67">
        <v>1</v>
      </c>
      <c r="C21" s="68" t="s">
        <v>320</v>
      </c>
      <c r="D21" s="43"/>
      <c r="E21" s="43"/>
      <c r="F21" s="43"/>
      <c r="G21" s="43"/>
      <c r="H21" s="43"/>
      <c r="I21" s="43"/>
    </row>
    <row r="22" spans="2:9" x14ac:dyDescent="0.2">
      <c r="B22" s="67">
        <v>2</v>
      </c>
      <c r="C22" s="68" t="s">
        <v>321</v>
      </c>
      <c r="D22" s="43"/>
      <c r="E22" s="43"/>
      <c r="F22" s="43"/>
      <c r="G22" s="43"/>
      <c r="H22" s="43"/>
      <c r="I22" s="43"/>
    </row>
    <row r="23" spans="2:9" x14ac:dyDescent="0.2">
      <c r="B23" s="67">
        <v>3</v>
      </c>
      <c r="C23" s="68" t="s">
        <v>322</v>
      </c>
      <c r="D23" s="43"/>
      <c r="E23" s="43"/>
      <c r="F23" s="43"/>
      <c r="G23" s="43"/>
      <c r="H23" s="43"/>
      <c r="I23" s="43"/>
    </row>
    <row r="24" spans="2:9" x14ac:dyDescent="0.2">
      <c r="B24" s="67">
        <v>4</v>
      </c>
      <c r="C24" s="68" t="s">
        <v>327</v>
      </c>
      <c r="D24" s="43"/>
      <c r="E24" s="43"/>
      <c r="F24" s="43"/>
      <c r="G24" s="43"/>
      <c r="H24" s="43"/>
      <c r="I24" s="43"/>
    </row>
    <row r="26" spans="2:9" x14ac:dyDescent="0.2">
      <c r="B26" s="66" t="s">
        <v>82</v>
      </c>
      <c r="C26" s="53"/>
      <c r="D26" s="53"/>
      <c r="E26" s="53"/>
      <c r="F26" s="53"/>
      <c r="G26" s="53"/>
      <c r="H26" s="53"/>
      <c r="I26" s="53"/>
    </row>
    <row r="27" spans="2:9" x14ac:dyDescent="0.2">
      <c r="B27" s="67">
        <v>1</v>
      </c>
      <c r="C27" s="68" t="s">
        <v>324</v>
      </c>
      <c r="D27" s="43"/>
      <c r="E27" s="43"/>
      <c r="F27" s="43"/>
      <c r="G27" s="43"/>
      <c r="H27" s="43"/>
      <c r="I27" s="43"/>
    </row>
    <row r="28" spans="2:9" x14ac:dyDescent="0.2">
      <c r="B28" s="67">
        <v>2</v>
      </c>
      <c r="C28" s="68" t="s">
        <v>329</v>
      </c>
      <c r="D28" s="43"/>
      <c r="E28" s="43"/>
      <c r="F28" s="43"/>
      <c r="G28" s="43"/>
      <c r="H28" s="43"/>
      <c r="I28" s="43"/>
    </row>
    <row r="29" spans="2:9" x14ac:dyDescent="0.2">
      <c r="B29" s="67">
        <v>3</v>
      </c>
      <c r="C29" s="68" t="s">
        <v>328</v>
      </c>
      <c r="D29" s="43"/>
      <c r="E29" s="43"/>
      <c r="F29" s="43"/>
      <c r="G29" s="43"/>
      <c r="H29" s="43"/>
      <c r="I29" s="43"/>
    </row>
    <row r="30" spans="2:9" x14ac:dyDescent="0.2">
      <c r="B30" s="67">
        <v>4</v>
      </c>
      <c r="C30" s="68" t="s">
        <v>330</v>
      </c>
      <c r="D30" s="43"/>
      <c r="E30" s="43"/>
      <c r="F30" s="43"/>
      <c r="G30" s="43"/>
      <c r="H30" s="43"/>
      <c r="I30" s="43"/>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128" t="s">
        <v>395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O82"/>
  <sheetViews>
    <sheetView showGridLines="0" workbookViewId="0"/>
  </sheetViews>
  <sheetFormatPr baseColWidth="10" defaultColWidth="8.83203125" defaultRowHeight="14" outlineLevelRow="1" x14ac:dyDescent="0.2"/>
  <cols>
    <col min="1" max="1" width="2.6640625" style="21" customWidth="1"/>
    <col min="2" max="2" width="22.83203125" style="21" customWidth="1"/>
    <col min="3" max="3" width="8" style="21" customWidth="1"/>
    <col min="4" max="13" width="12" style="21" customWidth="1"/>
    <col min="14" max="14" width="4" style="21" customWidth="1"/>
    <col min="15" max="15" width="50" style="21" customWidth="1"/>
    <col min="16" max="20" width="8.83203125" style="21" customWidth="1"/>
    <col min="21" max="16384" width="8.83203125" style="21"/>
  </cols>
  <sheetData>
    <row r="2" spans="2:8" ht="19" customHeight="1" x14ac:dyDescent="0.2">
      <c r="B2" s="36" t="s">
        <v>70</v>
      </c>
    </row>
    <row r="3" spans="2:8" x14ac:dyDescent="0.2">
      <c r="B3" s="16" t="s">
        <v>0</v>
      </c>
    </row>
    <row r="4" spans="2:8" x14ac:dyDescent="0.2">
      <c r="B4" s="16" t="s">
        <v>1</v>
      </c>
    </row>
    <row r="5" spans="2:8" x14ac:dyDescent="0.2">
      <c r="B5" s="16"/>
    </row>
    <row r="6" spans="2:8" x14ac:dyDescent="0.2">
      <c r="B6" s="16"/>
    </row>
    <row r="7" spans="2:8" ht="15" customHeight="1" x14ac:dyDescent="0.2">
      <c r="B7" s="96" t="s">
        <v>297</v>
      </c>
      <c r="C7" s="53"/>
      <c r="D7" s="53"/>
    </row>
    <row r="8" spans="2:8" ht="15" customHeight="1" x14ac:dyDescent="0.2">
      <c r="B8" s="176" t="s">
        <v>353</v>
      </c>
      <c r="C8" s="98"/>
      <c r="D8" s="98"/>
      <c r="E8" s="98"/>
      <c r="F8" s="98"/>
      <c r="G8" s="98"/>
    </row>
    <row r="9" spans="2:8" ht="15" customHeight="1" x14ac:dyDescent="0.2">
      <c r="B9" s="107" t="s">
        <v>83</v>
      </c>
      <c r="C9" s="233" t="s">
        <v>13</v>
      </c>
      <c r="D9" s="108" t="s">
        <v>84</v>
      </c>
      <c r="E9" s="108" t="s">
        <v>67</v>
      </c>
      <c r="F9" s="108" t="s">
        <v>85</v>
      </c>
      <c r="G9" s="108" t="s">
        <v>68</v>
      </c>
      <c r="H9" s="109" t="s">
        <v>86</v>
      </c>
    </row>
    <row r="10" spans="2:8" ht="15" customHeight="1" x14ac:dyDescent="0.2">
      <c r="B10" s="177" t="s">
        <v>152</v>
      </c>
      <c r="C10" s="234"/>
      <c r="D10" s="100"/>
      <c r="E10" s="100"/>
      <c r="F10" s="100"/>
      <c r="G10" s="100"/>
      <c r="H10" s="105"/>
    </row>
    <row r="11" spans="2:8" ht="15" customHeight="1" outlineLevel="1" x14ac:dyDescent="0.2">
      <c r="B11" s="215" t="s">
        <v>87</v>
      </c>
      <c r="C11" s="235" t="s">
        <v>3</v>
      </c>
      <c r="D11" s="216">
        <v>103</v>
      </c>
      <c r="E11" s="216">
        <v>95</v>
      </c>
      <c r="F11" s="216">
        <v>101</v>
      </c>
      <c r="G11" s="216">
        <v>105</v>
      </c>
      <c r="H11" s="106" t="s">
        <v>85</v>
      </c>
    </row>
    <row r="12" spans="2:8" ht="15" customHeight="1" outlineLevel="1" x14ac:dyDescent="0.2">
      <c r="B12" s="99" t="s">
        <v>88</v>
      </c>
      <c r="C12" s="234" t="s">
        <v>27</v>
      </c>
      <c r="D12" s="100">
        <v>1300</v>
      </c>
      <c r="E12" s="100">
        <v>800</v>
      </c>
      <c r="F12" s="100">
        <v>1300</v>
      </c>
      <c r="G12" s="100">
        <v>1600</v>
      </c>
      <c r="H12" s="105" t="s">
        <v>85</v>
      </c>
    </row>
    <row r="13" spans="2:8" ht="15" customHeight="1" outlineLevel="1" x14ac:dyDescent="0.2">
      <c r="B13" s="99" t="s">
        <v>89</v>
      </c>
      <c r="C13" s="234" t="s">
        <v>90</v>
      </c>
      <c r="D13" s="100">
        <v>35</v>
      </c>
      <c r="E13" s="100">
        <v>30</v>
      </c>
      <c r="F13" s="100">
        <v>35</v>
      </c>
      <c r="G13" s="100">
        <v>40</v>
      </c>
      <c r="H13" s="105" t="s">
        <v>85</v>
      </c>
    </row>
    <row r="14" spans="2:8" ht="15" customHeight="1" x14ac:dyDescent="0.2">
      <c r="B14" s="177" t="s">
        <v>441</v>
      </c>
      <c r="C14" s="234"/>
      <c r="D14" s="100"/>
      <c r="E14" s="100"/>
      <c r="F14" s="100"/>
      <c r="G14" s="100"/>
      <c r="H14" s="105"/>
    </row>
    <row r="15" spans="2:8" ht="15" customHeight="1" outlineLevel="1" x14ac:dyDescent="0.2">
      <c r="B15" s="99" t="s">
        <v>91</v>
      </c>
      <c r="C15" s="234" t="s">
        <v>3</v>
      </c>
      <c r="D15" s="100">
        <v>83</v>
      </c>
      <c r="E15" s="100">
        <v>81</v>
      </c>
      <c r="F15" s="100">
        <v>84.5</v>
      </c>
      <c r="G15" s="100">
        <v>86</v>
      </c>
      <c r="H15" s="105" t="s">
        <v>85</v>
      </c>
    </row>
    <row r="16" spans="2:8" outlineLevel="1" x14ac:dyDescent="0.2">
      <c r="B16" s="208" t="s">
        <v>92</v>
      </c>
      <c r="C16" s="236" t="s">
        <v>3</v>
      </c>
      <c r="D16" s="209">
        <v>17.5</v>
      </c>
      <c r="E16" s="209">
        <v>19.5</v>
      </c>
      <c r="F16" s="209">
        <v>17.5</v>
      </c>
      <c r="G16" s="209">
        <v>15.5</v>
      </c>
      <c r="H16" s="105" t="s">
        <v>85</v>
      </c>
    </row>
    <row r="17" spans="1:15" outlineLevel="1" x14ac:dyDescent="0.2">
      <c r="B17" s="208" t="s">
        <v>93</v>
      </c>
      <c r="C17" s="236" t="s">
        <v>3</v>
      </c>
      <c r="D17" s="209">
        <v>21</v>
      </c>
      <c r="E17" s="209">
        <v>25</v>
      </c>
      <c r="F17" s="209">
        <v>21.5</v>
      </c>
      <c r="G17" s="209">
        <v>18</v>
      </c>
      <c r="H17" s="105" t="s">
        <v>85</v>
      </c>
    </row>
    <row r="18" spans="1:15" x14ac:dyDescent="0.2">
      <c r="B18" s="177" t="s">
        <v>442</v>
      </c>
      <c r="C18" s="234"/>
      <c r="D18" s="100"/>
      <c r="E18" s="100"/>
      <c r="F18" s="100"/>
      <c r="G18" s="100"/>
      <c r="H18" s="105"/>
    </row>
    <row r="19" spans="1:15" outlineLevel="1" x14ac:dyDescent="0.2">
      <c r="B19" s="208" t="s">
        <v>31</v>
      </c>
      <c r="C19" s="236" t="s">
        <v>3</v>
      </c>
      <c r="D19" s="210" t="s">
        <v>300</v>
      </c>
      <c r="E19" s="211">
        <v>2</v>
      </c>
      <c r="F19" s="211">
        <v>3</v>
      </c>
      <c r="G19" s="209">
        <v>3.5</v>
      </c>
      <c r="H19" s="105" t="s">
        <v>85</v>
      </c>
    </row>
    <row r="20" spans="1:15" outlineLevel="1" x14ac:dyDescent="0.2">
      <c r="B20" s="99" t="s">
        <v>94</v>
      </c>
      <c r="C20" s="234" t="s">
        <v>5</v>
      </c>
      <c r="D20" s="110" t="s">
        <v>300</v>
      </c>
      <c r="E20" s="104">
        <v>15</v>
      </c>
      <c r="F20" s="104">
        <v>20</v>
      </c>
      <c r="G20" s="104">
        <v>25</v>
      </c>
      <c r="H20" s="105" t="s">
        <v>85</v>
      </c>
    </row>
    <row r="21" spans="1:15" x14ac:dyDescent="0.2">
      <c r="B21" s="204" t="s">
        <v>128</v>
      </c>
      <c r="C21" s="237"/>
      <c r="D21" s="205"/>
      <c r="E21" s="205"/>
      <c r="F21" s="205"/>
      <c r="G21" s="205"/>
      <c r="H21" s="206"/>
    </row>
    <row r="22" spans="1:15" outlineLevel="1" x14ac:dyDescent="0.2">
      <c r="B22" s="212" t="s">
        <v>463</v>
      </c>
      <c r="C22" s="238" t="s">
        <v>3</v>
      </c>
      <c r="D22" s="213">
        <v>60</v>
      </c>
      <c r="E22" s="214">
        <v>60</v>
      </c>
      <c r="F22" s="214">
        <v>80</v>
      </c>
      <c r="G22" s="214">
        <v>95</v>
      </c>
      <c r="H22" s="182" t="s">
        <v>85</v>
      </c>
    </row>
    <row r="23" spans="1:15" x14ac:dyDescent="0.2">
      <c r="B23" s="201"/>
      <c r="C23" s="201"/>
      <c r="D23" s="202"/>
      <c r="E23" s="203"/>
      <c r="F23" s="203"/>
      <c r="G23" s="203"/>
      <c r="H23" s="207"/>
    </row>
    <row r="24" spans="1:15" x14ac:dyDescent="0.2">
      <c r="B24" s="201"/>
      <c r="C24" s="201"/>
      <c r="D24" s="202"/>
      <c r="E24" s="203"/>
      <c r="F24" s="203"/>
      <c r="G24" s="203"/>
      <c r="H24" s="207"/>
    </row>
    <row r="25" spans="1:15" ht="15" customHeight="1" thickBot="1" x14ac:dyDescent="0.25">
      <c r="B25" s="178" t="s">
        <v>282</v>
      </c>
      <c r="C25" s="179" t="s">
        <v>13</v>
      </c>
      <c r="D25" s="180" t="s">
        <v>443</v>
      </c>
      <c r="E25" s="180" t="s">
        <v>444</v>
      </c>
      <c r="F25" s="180" t="s">
        <v>445</v>
      </c>
      <c r="G25" s="180" t="s">
        <v>446</v>
      </c>
      <c r="H25" s="180" t="s">
        <v>439</v>
      </c>
      <c r="I25" s="181" t="s">
        <v>447</v>
      </c>
      <c r="J25" s="181" t="s">
        <v>448</v>
      </c>
      <c r="K25" s="181" t="s">
        <v>449</v>
      </c>
      <c r="L25" s="181" t="s">
        <v>450</v>
      </c>
      <c r="M25" s="181" t="s">
        <v>451</v>
      </c>
      <c r="O25" s="15" t="s">
        <v>95</v>
      </c>
    </row>
    <row r="26" spans="1:15" x14ac:dyDescent="0.2">
      <c r="B26" s="23" t="s">
        <v>96</v>
      </c>
      <c r="C26" s="220" t="s">
        <v>25</v>
      </c>
      <c r="D26" s="24">
        <f>'Revenue Build'!D32</f>
        <v>411.2</v>
      </c>
      <c r="E26" s="24">
        <f>'Revenue Build'!E32</f>
        <v>489.7</v>
      </c>
      <c r="F26" s="24">
        <f>'Revenue Build'!F32</f>
        <v>554.5</v>
      </c>
      <c r="G26" s="24">
        <f>'Revenue Build'!G32</f>
        <v>607.6</v>
      </c>
      <c r="H26" s="24">
        <f>'Revenue Build'!H32</f>
        <v>669.1</v>
      </c>
      <c r="I26" s="24">
        <f>'Revenue Build'!I32</f>
        <v>734.673</v>
      </c>
      <c r="J26" s="24">
        <f>'Revenue Build'!J32</f>
        <v>798.53982499999995</v>
      </c>
      <c r="K26" s="24">
        <f>'Revenue Build'!K32</f>
        <v>860.01062149999996</v>
      </c>
      <c r="L26" s="24">
        <f>'Revenue Build'!L32</f>
        <v>918.41078082249999</v>
      </c>
      <c r="M26" s="24">
        <f>'Revenue Build'!M32</f>
        <v>973.09488863072499</v>
      </c>
      <c r="O26" s="16"/>
    </row>
    <row r="27" spans="1:15" x14ac:dyDescent="0.2">
      <c r="B27" s="25" t="s">
        <v>97</v>
      </c>
      <c r="C27" s="221" t="s">
        <v>3</v>
      </c>
      <c r="D27" s="41"/>
      <c r="E27" s="27">
        <f t="shared" ref="E27:M27" si="0">(E26/D26-1)*100</f>
        <v>19.090466926070036</v>
      </c>
      <c r="F27" s="27">
        <f t="shared" si="0"/>
        <v>13.232591382479075</v>
      </c>
      <c r="G27" s="27">
        <f t="shared" si="0"/>
        <v>9.5761947700631289</v>
      </c>
      <c r="H27" s="27">
        <f>(H26/G26-1)*100</f>
        <v>10.121790651744567</v>
      </c>
      <c r="I27" s="27">
        <f>(I26/H26-1)*100</f>
        <v>9.800179345389326</v>
      </c>
      <c r="J27" s="27">
        <f t="shared" si="0"/>
        <v>8.6932315465519938</v>
      </c>
      <c r="K27" s="27">
        <f t="shared" si="0"/>
        <v>7.6978999137582216</v>
      </c>
      <c r="L27" s="27">
        <f t="shared" si="0"/>
        <v>6.7906323320333639</v>
      </c>
      <c r="M27" s="27">
        <f t="shared" si="0"/>
        <v>5.9542101366941269</v>
      </c>
      <c r="O27" s="16"/>
    </row>
    <row r="28" spans="1:15" x14ac:dyDescent="0.2">
      <c r="B28" s="25" t="s">
        <v>87</v>
      </c>
      <c r="C28" s="221" t="s">
        <v>3</v>
      </c>
      <c r="D28" s="41"/>
      <c r="E28" s="35">
        <f>'Revenue Build'!E21</f>
        <v>109</v>
      </c>
      <c r="F28" s="35">
        <f>'Revenue Build'!F21</f>
        <v>105</v>
      </c>
      <c r="G28" s="35">
        <f>'Revenue Build'!G21</f>
        <v>103</v>
      </c>
      <c r="H28" s="35">
        <f>'Revenue Build'!H21</f>
        <v>103</v>
      </c>
      <c r="I28" s="35">
        <f>'Revenue Build'!I21</f>
        <v>103</v>
      </c>
      <c r="J28" s="35">
        <f>'Revenue Build'!J21</f>
        <v>102.5</v>
      </c>
      <c r="K28" s="35">
        <f>'Revenue Build'!K21</f>
        <v>102</v>
      </c>
      <c r="L28" s="35">
        <f>'Revenue Build'!L21</f>
        <v>101.5</v>
      </c>
      <c r="M28" s="35">
        <f>'Revenue Build'!M21</f>
        <v>101</v>
      </c>
      <c r="O28" s="16"/>
    </row>
    <row r="29" spans="1:15" x14ac:dyDescent="0.2">
      <c r="B29" s="29" t="s">
        <v>98</v>
      </c>
      <c r="C29" s="222" t="s">
        <v>27</v>
      </c>
      <c r="D29" s="55">
        <f>'Revenue Build'!D42</f>
        <v>10000</v>
      </c>
      <c r="E29" s="55">
        <f>'Revenue Build'!E42</f>
        <v>10000</v>
      </c>
      <c r="F29" s="55">
        <f>'Revenue Build'!F42</f>
        <v>10000</v>
      </c>
      <c r="G29" s="55">
        <f>'Revenue Build'!G42</f>
        <v>10000</v>
      </c>
      <c r="H29" s="55">
        <f>'Revenue Build'!H42</f>
        <v>10000</v>
      </c>
      <c r="I29" s="55">
        <f>'Revenue Build'!I42</f>
        <v>10000</v>
      </c>
      <c r="J29" s="55">
        <f>'Revenue Build'!J42</f>
        <v>10000</v>
      </c>
      <c r="K29" s="55">
        <f>'Revenue Build'!K42</f>
        <v>10000</v>
      </c>
      <c r="L29" s="55">
        <f>'Revenue Build'!L42</f>
        <v>10000</v>
      </c>
      <c r="M29" s="55">
        <f>'Revenue Build'!M42</f>
        <v>10000</v>
      </c>
      <c r="O29" s="16"/>
    </row>
    <row r="30" spans="1:15" x14ac:dyDescent="0.2">
      <c r="B30" s="29" t="s">
        <v>99</v>
      </c>
      <c r="C30" s="222" t="s">
        <v>90</v>
      </c>
      <c r="D30" s="32">
        <f>'Revenue Build'!D43</f>
        <v>41.12</v>
      </c>
      <c r="E30" s="32">
        <f>'Revenue Build'!E43</f>
        <v>48.97</v>
      </c>
      <c r="F30" s="32">
        <f>'Revenue Build'!F43</f>
        <v>55.45</v>
      </c>
      <c r="G30" s="32">
        <f>'Revenue Build'!G43</f>
        <v>60.76</v>
      </c>
      <c r="H30" s="32">
        <f>'Revenue Build'!H43</f>
        <v>66.91</v>
      </c>
      <c r="I30" s="32">
        <f>'Revenue Build'!I43</f>
        <v>73.467299999999994</v>
      </c>
      <c r="J30" s="32">
        <f>'Revenue Build'!J43</f>
        <v>79.853982499999987</v>
      </c>
      <c r="K30" s="32">
        <f>'Revenue Build'!K43</f>
        <v>86.001062149999996</v>
      </c>
      <c r="L30" s="32">
        <f>'Revenue Build'!L43</f>
        <v>91.841078082250007</v>
      </c>
      <c r="M30" s="32">
        <f>'Revenue Build'!M43</f>
        <v>97.309488863072502</v>
      </c>
      <c r="O30" s="16"/>
    </row>
    <row r="31" spans="1:15" x14ac:dyDescent="0.2">
      <c r="A31" s="56"/>
      <c r="B31" s="56"/>
      <c r="C31" s="223"/>
      <c r="D31" s="56"/>
      <c r="E31" s="56"/>
      <c r="F31" s="56"/>
      <c r="G31" s="56"/>
      <c r="H31" s="56"/>
      <c r="I31" s="56"/>
      <c r="J31" s="56"/>
      <c r="K31" s="56"/>
      <c r="L31" s="56"/>
      <c r="M31" s="56"/>
      <c r="N31" s="56"/>
      <c r="O31" s="56"/>
    </row>
    <row r="32" spans="1:15" ht="15" customHeight="1" thickBot="1" x14ac:dyDescent="0.25">
      <c r="B32" s="217" t="s">
        <v>100</v>
      </c>
      <c r="C32" s="218"/>
      <c r="D32" s="219"/>
      <c r="E32" s="219"/>
      <c r="F32" s="219"/>
      <c r="G32" s="219"/>
      <c r="H32" s="219"/>
      <c r="I32" s="219"/>
      <c r="J32" s="219"/>
      <c r="K32" s="219"/>
      <c r="L32" s="219"/>
      <c r="M32" s="219"/>
      <c r="O32" s="14"/>
    </row>
    <row r="33" spans="2:15" x14ac:dyDescent="0.2">
      <c r="B33" s="57" t="s">
        <v>101</v>
      </c>
      <c r="C33" s="224" t="s">
        <v>3</v>
      </c>
      <c r="D33" s="58">
        <v>61</v>
      </c>
      <c r="E33" s="58">
        <v>60</v>
      </c>
      <c r="F33" s="58">
        <v>60</v>
      </c>
      <c r="G33" s="58">
        <v>58</v>
      </c>
      <c r="H33" s="58">
        <v>56</v>
      </c>
      <c r="I33" s="58">
        <v>54.5</v>
      </c>
      <c r="J33" s="58">
        <v>53</v>
      </c>
      <c r="K33" s="58">
        <v>51.5</v>
      </c>
      <c r="L33" s="58">
        <v>50</v>
      </c>
      <c r="M33" s="58">
        <v>50</v>
      </c>
      <c r="O33" s="16"/>
    </row>
    <row r="34" spans="2:15" x14ac:dyDescent="0.2">
      <c r="B34" s="25" t="s">
        <v>102</v>
      </c>
      <c r="C34" s="221" t="s">
        <v>3</v>
      </c>
      <c r="D34" s="25">
        <f t="shared" ref="D34:M34" si="1">100-D33</f>
        <v>39</v>
      </c>
      <c r="E34" s="25">
        <f t="shared" si="1"/>
        <v>40</v>
      </c>
      <c r="F34" s="25">
        <f t="shared" si="1"/>
        <v>40</v>
      </c>
      <c r="G34" s="25">
        <f t="shared" si="1"/>
        <v>42</v>
      </c>
      <c r="H34" s="25">
        <f t="shared" si="1"/>
        <v>44</v>
      </c>
      <c r="I34" s="25">
        <f t="shared" si="1"/>
        <v>45.5</v>
      </c>
      <c r="J34" s="25">
        <f t="shared" si="1"/>
        <v>47</v>
      </c>
      <c r="K34" s="25">
        <f t="shared" si="1"/>
        <v>48.5</v>
      </c>
      <c r="L34" s="25">
        <f t="shared" si="1"/>
        <v>50</v>
      </c>
      <c r="M34" s="25">
        <f t="shared" si="1"/>
        <v>50</v>
      </c>
    </row>
    <row r="35" spans="2:15" x14ac:dyDescent="0.2">
      <c r="B35" s="29" t="s">
        <v>103</v>
      </c>
      <c r="C35" s="222" t="s">
        <v>25</v>
      </c>
      <c r="D35" s="59">
        <f t="shared" ref="D35:M35" si="2">D26*D33/100</f>
        <v>250.83199999999999</v>
      </c>
      <c r="E35" s="59">
        <f t="shared" si="2"/>
        <v>293.82</v>
      </c>
      <c r="F35" s="59">
        <f t="shared" si="2"/>
        <v>332.7</v>
      </c>
      <c r="G35" s="59">
        <f t="shared" si="2"/>
        <v>352.40800000000002</v>
      </c>
      <c r="H35" s="59">
        <f t="shared" si="2"/>
        <v>374.69599999999997</v>
      </c>
      <c r="I35" s="59">
        <f t="shared" si="2"/>
        <v>400.39678500000002</v>
      </c>
      <c r="J35" s="59">
        <f t="shared" si="2"/>
        <v>423.22610724999998</v>
      </c>
      <c r="K35" s="59">
        <f t="shared" si="2"/>
        <v>442.90547007249995</v>
      </c>
      <c r="L35" s="59">
        <f t="shared" si="2"/>
        <v>459.20539041124999</v>
      </c>
      <c r="M35" s="59">
        <f t="shared" si="2"/>
        <v>486.5474443153625</v>
      </c>
      <c r="O35" s="16"/>
    </row>
    <row r="36" spans="2:15" x14ac:dyDescent="0.2">
      <c r="B36" s="29" t="s">
        <v>104</v>
      </c>
      <c r="C36" s="222" t="s">
        <v>25</v>
      </c>
      <c r="D36" s="59">
        <f t="shared" ref="D36:M36" si="3">D26*D34/100</f>
        <v>160.36799999999999</v>
      </c>
      <c r="E36" s="59">
        <f t="shared" si="3"/>
        <v>195.88</v>
      </c>
      <c r="F36" s="59">
        <f t="shared" si="3"/>
        <v>221.8</v>
      </c>
      <c r="G36" s="59">
        <f t="shared" si="3"/>
        <v>255.19200000000001</v>
      </c>
      <c r="H36" s="59">
        <f t="shared" si="3"/>
        <v>294.404</v>
      </c>
      <c r="I36" s="59">
        <f t="shared" si="3"/>
        <v>334.27621500000004</v>
      </c>
      <c r="J36" s="59">
        <f t="shared" si="3"/>
        <v>375.31371775000002</v>
      </c>
      <c r="K36" s="59">
        <f t="shared" si="3"/>
        <v>417.10515142749995</v>
      </c>
      <c r="L36" s="59">
        <f t="shared" si="3"/>
        <v>459.20539041124999</v>
      </c>
      <c r="M36" s="59">
        <f t="shared" si="3"/>
        <v>486.5474443153625</v>
      </c>
    </row>
    <row r="37" spans="2:15" x14ac:dyDescent="0.2">
      <c r="C37" s="225"/>
    </row>
    <row r="38" spans="2:15" ht="15" customHeight="1" thickBot="1" x14ac:dyDescent="0.25">
      <c r="B38" s="217" t="s">
        <v>105</v>
      </c>
      <c r="C38" s="218"/>
      <c r="D38" s="219"/>
      <c r="E38" s="219"/>
      <c r="F38" s="219"/>
      <c r="G38" s="219"/>
      <c r="H38" s="219"/>
      <c r="I38" s="219"/>
      <c r="J38" s="219"/>
      <c r="K38" s="219"/>
      <c r="L38" s="219"/>
      <c r="M38" s="219"/>
      <c r="O38" s="14"/>
    </row>
    <row r="39" spans="2:15" x14ac:dyDescent="0.2">
      <c r="B39" s="23" t="s">
        <v>106</v>
      </c>
      <c r="C39" s="220" t="s">
        <v>3</v>
      </c>
      <c r="D39" s="39">
        <v>59</v>
      </c>
      <c r="E39" s="39">
        <v>58</v>
      </c>
      <c r="F39" s="39">
        <v>57</v>
      </c>
      <c r="G39" s="39">
        <v>54</v>
      </c>
      <c r="H39" s="39">
        <v>51</v>
      </c>
      <c r="I39" s="39">
        <v>50</v>
      </c>
      <c r="J39" s="39">
        <v>49</v>
      </c>
      <c r="K39" s="39">
        <v>48</v>
      </c>
      <c r="L39" s="39">
        <v>47</v>
      </c>
      <c r="M39" s="39">
        <v>46</v>
      </c>
      <c r="O39" s="16"/>
    </row>
    <row r="40" spans="2:15" x14ac:dyDescent="0.2">
      <c r="B40" s="29" t="s">
        <v>107</v>
      </c>
      <c r="C40" s="222" t="s">
        <v>3</v>
      </c>
      <c r="D40" s="29">
        <f t="shared" ref="D40:M40" si="4">100-D39</f>
        <v>41</v>
      </c>
      <c r="E40" s="29">
        <f t="shared" si="4"/>
        <v>42</v>
      </c>
      <c r="F40" s="29">
        <f t="shared" si="4"/>
        <v>43</v>
      </c>
      <c r="G40" s="29">
        <f t="shared" si="4"/>
        <v>46</v>
      </c>
      <c r="H40" s="29">
        <f t="shared" si="4"/>
        <v>49</v>
      </c>
      <c r="I40" s="29">
        <f t="shared" si="4"/>
        <v>50</v>
      </c>
      <c r="J40" s="29">
        <f t="shared" si="4"/>
        <v>51</v>
      </c>
      <c r="K40" s="29">
        <f t="shared" si="4"/>
        <v>52</v>
      </c>
      <c r="L40" s="29">
        <f t="shared" si="4"/>
        <v>53</v>
      </c>
      <c r="M40" s="29">
        <f t="shared" si="4"/>
        <v>54</v>
      </c>
      <c r="O40" s="16"/>
    </row>
    <row r="41" spans="2:15" x14ac:dyDescent="0.2">
      <c r="C41" s="225"/>
    </row>
    <row r="42" spans="2:15" ht="15" customHeight="1" thickBot="1" x14ac:dyDescent="0.25">
      <c r="B42" s="217" t="s">
        <v>464</v>
      </c>
      <c r="C42" s="218"/>
      <c r="D42" s="219"/>
      <c r="E42" s="219"/>
      <c r="F42" s="219"/>
      <c r="G42" s="219"/>
      <c r="H42" s="219"/>
      <c r="I42" s="219"/>
      <c r="J42" s="219"/>
      <c r="K42" s="219"/>
      <c r="L42" s="219"/>
      <c r="M42" s="219"/>
    </row>
    <row r="43" spans="2:15" x14ac:dyDescent="0.2">
      <c r="B43" s="57" t="s">
        <v>91</v>
      </c>
      <c r="C43" s="224" t="s">
        <v>3</v>
      </c>
      <c r="D43" s="60">
        <f>'Income Statement'!D15</f>
        <v>78.258754863813223</v>
      </c>
      <c r="E43" s="60">
        <f>'Income Statement'!E15</f>
        <v>79.00755564631406</v>
      </c>
      <c r="F43" s="60">
        <f>'Income Statement'!F15</f>
        <v>80.613165013525702</v>
      </c>
      <c r="G43" s="60">
        <f>'Income Statement'!G15</f>
        <v>81.64911125740619</v>
      </c>
      <c r="H43" s="60">
        <f>'Income Statement'!H15</f>
        <v>82.842624420863856</v>
      </c>
      <c r="I43" s="95">
        <f>$D$15</f>
        <v>83</v>
      </c>
      <c r="J43" s="95">
        <f>$D$15+(INDEX($E$15:$G$15,MATCH($H$15,$E$9:$G$9,0))-$D$15)*1/4</f>
        <v>83.375</v>
      </c>
      <c r="K43" s="95">
        <f>$D$15+(INDEX($E$15:$G$15,MATCH($H$15,$E$9:$G$9,0))-$D$15)*2/4</f>
        <v>83.75</v>
      </c>
      <c r="L43" s="95">
        <f>$D$15+(INDEX($E$15:$G$15,MATCH($H$15,$E$9:$G$9,0))-$D$15)*3/4</f>
        <v>84.125</v>
      </c>
      <c r="M43" s="95">
        <f>$D$15+(INDEX($E$15:$G$15,MATCH($H$15,$E$9:$G$9,0))-$D$15)*4/4</f>
        <v>84.5</v>
      </c>
      <c r="O43" s="16" t="s">
        <v>108</v>
      </c>
    </row>
    <row r="44" spans="2:15" x14ac:dyDescent="0.2">
      <c r="B44" s="93" t="s">
        <v>92</v>
      </c>
      <c r="C44" s="221" t="s">
        <v>3</v>
      </c>
      <c r="D44" s="35">
        <f>'Income Statement'!D19</f>
        <v>19.771400778210115</v>
      </c>
      <c r="E44" s="35">
        <f>'Income Statement'!E19</f>
        <v>20.665713702266693</v>
      </c>
      <c r="F44" s="35">
        <f>'Income Statement'!F19</f>
        <v>19.927862939585211</v>
      </c>
      <c r="G44" s="35">
        <f>'Income Statement'!G19</f>
        <v>18.416721527320608</v>
      </c>
      <c r="H44" s="35">
        <f>'Income Statement'!H19</f>
        <v>17.531011806904797</v>
      </c>
      <c r="I44" s="101">
        <f>$D$16</f>
        <v>17.5</v>
      </c>
      <c r="J44" s="101">
        <f>$D$16+(INDEX($E$16:$G$16,MATCH($H$16,$E$9:$G$9,0))-$D$16)*1/4</f>
        <v>17.5</v>
      </c>
      <c r="K44" s="101">
        <f>$D$16+(INDEX($E$16:$G$16,MATCH($H$16,$E$9:$G$9,0))-$D$16)*2/4</f>
        <v>17.5</v>
      </c>
      <c r="L44" s="101">
        <f>$D$16+(INDEX($E$16:$G$16,MATCH($H$16,$E$9:$G$9,0))-$D$16)*3/4</f>
        <v>17.5</v>
      </c>
      <c r="M44" s="101">
        <f>$D$16+(INDEX($E$16:$G$16,MATCH($H$16,$E$9:$G$9,0))-$D$16)*4/4</f>
        <v>17.5</v>
      </c>
      <c r="O44" s="16" t="s">
        <v>109</v>
      </c>
    </row>
    <row r="45" spans="2:15" x14ac:dyDescent="0.2">
      <c r="B45" s="25" t="s">
        <v>110</v>
      </c>
      <c r="C45" s="221" t="s">
        <v>3</v>
      </c>
      <c r="D45" s="35">
        <f>'Income Statement'!D21</f>
        <v>18.604085603112843</v>
      </c>
      <c r="E45" s="35">
        <f>'Income Statement'!E21</f>
        <v>19.848887073718604</v>
      </c>
      <c r="F45" s="35">
        <f>'Income Statement'!F21</f>
        <v>20.144274120829579</v>
      </c>
      <c r="G45" s="35">
        <f>'Income Statement'!G21</f>
        <v>21.115865701119159</v>
      </c>
      <c r="H45" s="35">
        <f>'Income Statement'!H21</f>
        <v>21.44671947392019</v>
      </c>
      <c r="I45" s="101">
        <f>$D$17</f>
        <v>21</v>
      </c>
      <c r="J45" s="101">
        <f>$D$17+(INDEX($E$17:$G$17,MATCH($H$17,$E$9:$G$9,0))-$D$17)*1/4</f>
        <v>21.125</v>
      </c>
      <c r="K45" s="101">
        <f>$D$17+(INDEX($E$17:$G$17,MATCH($H$17,$E$9:$G$9,0))-$D$17)*2/4</f>
        <v>21.25</v>
      </c>
      <c r="L45" s="101">
        <f>$D$17+(INDEX($E$17:$G$17,MATCH($H$17,$E$9:$G$9,0))-$D$17)*3/4</f>
        <v>21.375</v>
      </c>
      <c r="M45" s="101">
        <f>$D$17+(INDEX($E$17:$G$17,MATCH($H$17,$E$9:$G$9,0))-$D$17)*4/4</f>
        <v>21.5</v>
      </c>
      <c r="O45" s="16" t="s">
        <v>332</v>
      </c>
    </row>
    <row r="46" spans="2:15" x14ac:dyDescent="0.2">
      <c r="B46" s="93" t="s">
        <v>111</v>
      </c>
      <c r="C46" s="221" t="s">
        <v>3</v>
      </c>
      <c r="D46" s="35">
        <f>'Income Statement'!D23</f>
        <v>18.555447470817121</v>
      </c>
      <c r="E46" s="35">
        <f>'Income Statement'!E23</f>
        <v>11.843986113947315</v>
      </c>
      <c r="F46" s="35">
        <f>'Income Statement'!F23</f>
        <v>11.127141568981065</v>
      </c>
      <c r="G46" s="35">
        <f>'Income Statement'!G23</f>
        <v>11.306780776826859</v>
      </c>
      <c r="H46" s="35">
        <f>'Income Statement'!H23</f>
        <v>10.700941563293975</v>
      </c>
      <c r="I46" s="31">
        <v>10.5</v>
      </c>
      <c r="J46" s="31">
        <v>10.5</v>
      </c>
      <c r="K46" s="31">
        <v>10</v>
      </c>
      <c r="L46" s="31">
        <v>10</v>
      </c>
      <c r="M46" s="31">
        <v>10</v>
      </c>
      <c r="O46" s="16" t="s">
        <v>112</v>
      </c>
    </row>
    <row r="47" spans="2:15" x14ac:dyDescent="0.2">
      <c r="B47" s="25" t="s">
        <v>113</v>
      </c>
      <c r="C47" s="221" t="s">
        <v>3</v>
      </c>
      <c r="D47" s="27">
        <f>D43-D44-D45-D46</f>
        <v>21.327821011673144</v>
      </c>
      <c r="E47" s="27">
        <f t="shared" ref="E47:M47" si="5">E43-E44-E45-E46</f>
        <v>26.648968756381443</v>
      </c>
      <c r="F47" s="27">
        <f t="shared" si="5"/>
        <v>29.413886384129846</v>
      </c>
      <c r="G47" s="27">
        <f t="shared" si="5"/>
        <v>30.809743252139565</v>
      </c>
      <c r="H47" s="27">
        <f t="shared" si="5"/>
        <v>33.163951576744893</v>
      </c>
      <c r="I47" s="27">
        <f t="shared" si="5"/>
        <v>34</v>
      </c>
      <c r="J47" s="27">
        <f t="shared" si="5"/>
        <v>34.25</v>
      </c>
      <c r="K47" s="27">
        <f t="shared" si="5"/>
        <v>35</v>
      </c>
      <c r="L47" s="27">
        <f t="shared" si="5"/>
        <v>35.25</v>
      </c>
      <c r="M47" s="27">
        <f t="shared" si="5"/>
        <v>35.5</v>
      </c>
      <c r="O47" s="16"/>
    </row>
    <row r="48" spans="2:15" x14ac:dyDescent="0.2">
      <c r="B48" s="25" t="s">
        <v>114</v>
      </c>
      <c r="C48" s="221" t="s">
        <v>3</v>
      </c>
      <c r="D48" s="42">
        <v>20.6</v>
      </c>
      <c r="E48" s="42">
        <v>19.2</v>
      </c>
      <c r="F48" s="42">
        <v>15.2</v>
      </c>
      <c r="G48" s="42">
        <v>17.2</v>
      </c>
      <c r="H48" s="42">
        <v>19.7</v>
      </c>
      <c r="I48" s="42">
        <v>20</v>
      </c>
      <c r="J48" s="42">
        <v>20</v>
      </c>
      <c r="K48" s="42">
        <v>20</v>
      </c>
      <c r="L48" s="42">
        <v>20</v>
      </c>
      <c r="M48" s="42">
        <v>20</v>
      </c>
      <c r="O48" s="16" t="s">
        <v>115</v>
      </c>
    </row>
    <row r="49" spans="1:15" outlineLevel="1" x14ac:dyDescent="0.2">
      <c r="B49" s="16" t="s">
        <v>116</v>
      </c>
      <c r="C49" s="226"/>
      <c r="D49" s="61">
        <f>'Income Statement'!D28-D47</f>
        <v>0</v>
      </c>
      <c r="E49" s="61">
        <f>'Income Statement'!E28-E47</f>
        <v>0</v>
      </c>
      <c r="F49" s="61">
        <f>'Income Statement'!F28-F47</f>
        <v>0</v>
      </c>
      <c r="G49" s="61">
        <f>'Income Statement'!G28-G47</f>
        <v>0</v>
      </c>
      <c r="H49" s="61">
        <f>'Income Statement'!H28-H47</f>
        <v>0</v>
      </c>
      <c r="I49" s="61">
        <f>'Income Statement'!I28-I47</f>
        <v>0</v>
      </c>
      <c r="J49" s="61">
        <f>'Income Statement'!J28-J47</f>
        <v>0</v>
      </c>
      <c r="K49" s="61">
        <f>'Income Statement'!K28-K47</f>
        <v>0</v>
      </c>
      <c r="L49" s="61">
        <f>'Income Statement'!L28-L47</f>
        <v>0</v>
      </c>
      <c r="M49" s="61">
        <f>'Income Statement'!M28-M47</f>
        <v>0</v>
      </c>
      <c r="O49" s="16"/>
    </row>
    <row r="50" spans="1:15" x14ac:dyDescent="0.2">
      <c r="B50" s="16"/>
      <c r="C50" s="226"/>
      <c r="D50" s="61"/>
      <c r="E50" s="61"/>
      <c r="F50" s="61"/>
      <c r="G50" s="61"/>
      <c r="H50" s="61"/>
      <c r="I50" s="61"/>
      <c r="J50" s="61"/>
      <c r="K50" s="61"/>
      <c r="L50" s="61"/>
      <c r="M50" s="61"/>
      <c r="O50" s="16"/>
    </row>
    <row r="51" spans="1:15" ht="15" customHeight="1" thickBot="1" x14ac:dyDescent="0.25">
      <c r="B51" s="217" t="s">
        <v>117</v>
      </c>
      <c r="C51" s="218"/>
      <c r="D51" s="219"/>
      <c r="E51" s="219"/>
      <c r="F51" s="219"/>
      <c r="G51" s="219"/>
      <c r="H51" s="219"/>
      <c r="I51" s="219"/>
      <c r="J51" s="219"/>
      <c r="K51" s="219"/>
      <c r="L51" s="219"/>
      <c r="M51" s="219"/>
    </row>
    <row r="52" spans="1:15" x14ac:dyDescent="0.2">
      <c r="B52" s="23" t="s">
        <v>118</v>
      </c>
      <c r="C52" s="220" t="s">
        <v>119</v>
      </c>
      <c r="D52" s="62"/>
      <c r="E52" s="63">
        <f>'Balance Sheet'!E11/'Income Statement'!E9*365</f>
        <v>90.784153563406178</v>
      </c>
      <c r="F52" s="63">
        <f>'Balance Sheet'!F11/'Income Statement'!F9*365</f>
        <v>96.236248872858425</v>
      </c>
      <c r="G52" s="63">
        <f>'Balance Sheet'!G11/'Income Statement'!G9*365</f>
        <v>98.879196840026324</v>
      </c>
      <c r="H52" s="63">
        <f>'Balance Sheet'!H11/'Income Statement'!H9*365</f>
        <v>93.282020624719777</v>
      </c>
      <c r="I52" s="64">
        <v>93</v>
      </c>
      <c r="J52" s="64">
        <v>93</v>
      </c>
      <c r="K52" s="64">
        <v>93</v>
      </c>
      <c r="L52" s="64">
        <v>93</v>
      </c>
      <c r="M52" s="64">
        <v>93</v>
      </c>
      <c r="O52" s="16" t="s">
        <v>354</v>
      </c>
    </row>
    <row r="53" spans="1:15" x14ac:dyDescent="0.2">
      <c r="B53" s="29" t="s">
        <v>120</v>
      </c>
      <c r="C53" s="222" t="s">
        <v>3</v>
      </c>
      <c r="D53" s="26"/>
      <c r="E53" s="35">
        <f>('Balance Sheet'!E25+'Balance Sheet'!E30)/'Income Statement'!E9*100</f>
        <v>64.774351643863596</v>
      </c>
      <c r="F53" s="35">
        <f>('Balance Sheet'!F25+'Balance Sheet'!F30)/'Income Statement'!F9*100</f>
        <v>65.825067628494139</v>
      </c>
      <c r="G53" s="35">
        <f>('Balance Sheet'!G25+'Balance Sheet'!G30)/'Income Statement'!G9*100</f>
        <v>65.141540487162615</v>
      </c>
      <c r="H53" s="35">
        <f>('Balance Sheet'!H25+'Balance Sheet'!H30)/'Income Statement'!H9*100</f>
        <v>62.382304588252879</v>
      </c>
      <c r="I53" s="42">
        <v>60</v>
      </c>
      <c r="J53" s="42">
        <v>60</v>
      </c>
      <c r="K53" s="42">
        <v>60</v>
      </c>
      <c r="L53" s="42">
        <v>60</v>
      </c>
      <c r="M53" s="42">
        <v>60</v>
      </c>
      <c r="O53" s="16" t="s">
        <v>121</v>
      </c>
    </row>
    <row r="54" spans="1:15" x14ac:dyDescent="0.2">
      <c r="B54" s="29" t="s">
        <v>122</v>
      </c>
      <c r="C54" s="222" t="s">
        <v>3</v>
      </c>
      <c r="D54" s="35">
        <f>-'Cash Flow'!D18/'Income Statement'!D9*100</f>
        <v>5.9338521400778204</v>
      </c>
      <c r="E54" s="35">
        <f>-'Cash Flow'!E18/'Income Statement'!E9*100</f>
        <v>3.1447825199101489</v>
      </c>
      <c r="F54" s="35">
        <f>-'Cash Flow'!F18/'Income Statement'!F9*100</f>
        <v>1.5870153291253384</v>
      </c>
      <c r="G54" s="35">
        <f>-'Cash Flow'!G18/'Income Statement'!G9*100</f>
        <v>2.0243581303489138</v>
      </c>
      <c r="H54" s="35">
        <f>-'Cash Flow'!H18/'Income Statement'!H9*100</f>
        <v>0.74727245553728883</v>
      </c>
      <c r="I54" s="42">
        <v>1.2</v>
      </c>
      <c r="J54" s="42">
        <v>1.2</v>
      </c>
      <c r="K54" s="42">
        <v>1</v>
      </c>
      <c r="L54" s="42">
        <v>1</v>
      </c>
      <c r="M54" s="42">
        <v>1</v>
      </c>
      <c r="O54" s="16" t="s">
        <v>123</v>
      </c>
    </row>
    <row r="55" spans="1:15" x14ac:dyDescent="0.2">
      <c r="B55" s="29" t="s">
        <v>124</v>
      </c>
      <c r="C55" s="222" t="s">
        <v>3</v>
      </c>
      <c r="D55" s="35">
        <f>'Income Statement'!D45/'Income Statement'!D9*100</f>
        <v>8.7305447470817121</v>
      </c>
      <c r="E55" s="35">
        <f>'Income Statement'!E45/'Income Statement'!E9*100</f>
        <v>7.0655503369409844</v>
      </c>
      <c r="F55" s="35">
        <f>'Income Statement'!F45/'Income Statement'!F9*100</f>
        <v>4.8692515779981971</v>
      </c>
      <c r="G55" s="35">
        <f>'Income Statement'!G45/'Income Statement'!G9*100</f>
        <v>3.0447662936142197</v>
      </c>
      <c r="H55" s="35">
        <f>'Income Statement'!H45/'Income Statement'!H9*100</f>
        <v>2.1670901210581377</v>
      </c>
      <c r="I55" s="42">
        <v>1.8</v>
      </c>
      <c r="J55" s="42">
        <v>1.5</v>
      </c>
      <c r="K55" s="42">
        <v>1.3</v>
      </c>
      <c r="L55" s="42">
        <v>1.2</v>
      </c>
      <c r="M55" s="42">
        <v>1.1000000000000001</v>
      </c>
      <c r="O55" s="16" t="s">
        <v>125</v>
      </c>
    </row>
    <row r="56" spans="1:15" x14ac:dyDescent="0.2">
      <c r="B56" s="29" t="s">
        <v>126</v>
      </c>
      <c r="C56" s="222" t="s">
        <v>3</v>
      </c>
      <c r="D56" s="32">
        <f>'Income Statement'!D48/'Income Statement'!D9*100</f>
        <v>16.439688715953306</v>
      </c>
      <c r="E56" s="32">
        <f>'Income Statement'!E48/'Income Statement'!E9*100</f>
        <v>10.904635491117011</v>
      </c>
      <c r="F56" s="32">
        <f>'Income Statement'!F48/'Income Statement'!F9*100</f>
        <v>12.461677186654644</v>
      </c>
      <c r="G56" s="32">
        <f>'Income Statement'!G48/'Income Statement'!G9*100</f>
        <v>12.689269256089531</v>
      </c>
      <c r="H56" s="32">
        <f>'Income Statement'!H48/'Income Statement'!H9*100</f>
        <v>11.507995815274247</v>
      </c>
      <c r="I56" s="31">
        <v>11.5</v>
      </c>
      <c r="J56" s="31">
        <v>11</v>
      </c>
      <c r="K56" s="31">
        <v>10.5</v>
      </c>
      <c r="L56" s="31">
        <v>10</v>
      </c>
      <c r="M56" s="31">
        <v>10</v>
      </c>
      <c r="O56" s="16" t="s">
        <v>127</v>
      </c>
    </row>
    <row r="57" spans="1:15" x14ac:dyDescent="0.2">
      <c r="B57" s="14" t="s">
        <v>396</v>
      </c>
      <c r="C57" s="227" t="s">
        <v>3</v>
      </c>
      <c r="D57" s="131"/>
      <c r="E57" s="35">
        <f>('Balance Sheet'!E25/('Balance Sheet'!E25+'Balance Sheet'!E30))*100</f>
        <v>92.591424968474143</v>
      </c>
      <c r="F57" s="35">
        <f>('Balance Sheet'!F25/('Balance Sheet'!F25+'Balance Sheet'!F30))*100</f>
        <v>91.31506849315069</v>
      </c>
      <c r="G57" s="35">
        <f>('Balance Sheet'!G25/('Balance Sheet'!G25+'Balance Sheet'!G30))*100</f>
        <v>93.860535624052559</v>
      </c>
      <c r="H57" s="35">
        <f>('Balance Sheet'!H25/('Balance Sheet'!H25+'Balance Sheet'!H30))*100</f>
        <v>96.094873023478684</v>
      </c>
      <c r="I57" s="42">
        <v>96</v>
      </c>
      <c r="J57" s="42">
        <v>96</v>
      </c>
      <c r="K57" s="42">
        <v>96</v>
      </c>
      <c r="L57" s="42">
        <v>96</v>
      </c>
      <c r="M57" s="42">
        <v>96</v>
      </c>
    </row>
    <row r="58" spans="1:15" x14ac:dyDescent="0.2">
      <c r="B58" s="121"/>
      <c r="C58" s="225"/>
      <c r="D58" s="129"/>
      <c r="E58" s="129"/>
      <c r="F58" s="129"/>
      <c r="G58" s="129"/>
      <c r="H58" s="129"/>
      <c r="I58" s="130"/>
      <c r="J58" s="130"/>
      <c r="K58" s="130"/>
      <c r="L58" s="130"/>
      <c r="M58" s="130"/>
    </row>
    <row r="59" spans="1:15" ht="15" customHeight="1" thickBot="1" x14ac:dyDescent="0.25">
      <c r="B59" s="217" t="s">
        <v>128</v>
      </c>
      <c r="C59" s="218"/>
      <c r="D59" s="219"/>
      <c r="E59" s="219"/>
      <c r="F59" s="219"/>
      <c r="G59" s="219"/>
      <c r="H59" s="219"/>
      <c r="I59" s="219"/>
      <c r="J59" s="219"/>
      <c r="K59" s="219"/>
      <c r="L59" s="219"/>
      <c r="M59" s="219"/>
      <c r="O59" s="14" t="s">
        <v>458</v>
      </c>
    </row>
    <row r="60" spans="1:15" x14ac:dyDescent="0.2">
      <c r="B60" s="185" t="s">
        <v>452</v>
      </c>
      <c r="C60" s="228" t="s">
        <v>453</v>
      </c>
      <c r="D60" s="186">
        <v>138</v>
      </c>
      <c r="E60" s="186">
        <v>112</v>
      </c>
      <c r="F60" s="186">
        <v>188</v>
      </c>
      <c r="G60" s="186">
        <v>141</v>
      </c>
      <c r="H60" s="186">
        <v>140</v>
      </c>
      <c r="I60" s="187">
        <f>'DCF &amp; Sensitivity'!D55</f>
        <v>80.52</v>
      </c>
      <c r="J60" s="188">
        <f>I60</f>
        <v>80.52</v>
      </c>
      <c r="K60" s="188">
        <f>J60</f>
        <v>80.52</v>
      </c>
      <c r="L60" s="188">
        <f>K60</f>
        <v>80.52</v>
      </c>
      <c r="M60" s="188">
        <f>L60</f>
        <v>80.52</v>
      </c>
      <c r="O60" s="16" t="s">
        <v>459</v>
      </c>
    </row>
    <row r="61" spans="1:15" x14ac:dyDescent="0.2">
      <c r="A61" s="20"/>
      <c r="B61" s="189" t="s">
        <v>454</v>
      </c>
      <c r="C61" s="229" t="s">
        <v>3</v>
      </c>
      <c r="D61" s="190">
        <f>IFERROR(-'Cash Flow'!D24/'Cash Flow'!D38,0)*100</f>
        <v>73.779795686719638</v>
      </c>
      <c r="E61" s="190">
        <f>IFERROR(-'Cash Flow'!E24/'Cash Flow'!E38,0)*100</f>
        <v>172.91553133514986</v>
      </c>
      <c r="F61" s="190">
        <f>IFERROR(-'Cash Flow'!F24/'Cash Flow'!F38,0)*100</f>
        <v>72.434266327396116</v>
      </c>
      <c r="G61" s="190">
        <f>IFERROR(-'Cash Flow'!G24/'Cash Flow'!G38,0)*100</f>
        <v>60.353753235547892</v>
      </c>
      <c r="H61" s="190">
        <f>IFERROR(-'Cash Flow'!H24/'Cash Flow'!H38,0)*100</f>
        <v>60.24967148488831</v>
      </c>
      <c r="I61" s="191">
        <f>D22</f>
        <v>60</v>
      </c>
      <c r="J61" s="191">
        <f>I61+(INDEX($E$22:$G$22,MATCH($H$22,$E$9:$G$9,0))-I61)*1/4</f>
        <v>65</v>
      </c>
      <c r="K61" s="191">
        <f>I61+(INDEX($E$22:$G$22,MATCH($H$22,$E$9:$G$9,0))-I61)*2/4</f>
        <v>70</v>
      </c>
      <c r="L61" s="191">
        <f>I61+(INDEX($E$22:$G$22,MATCH($H$22,$E$9:$G$9,0))-I61)*3/4</f>
        <v>75</v>
      </c>
      <c r="M61" s="191">
        <f>INDEX($E$22:$G$22,MATCH($H$22,$E$9:$G$9,0))</f>
        <v>80</v>
      </c>
      <c r="O61" s="16" t="s">
        <v>460</v>
      </c>
    </row>
    <row r="62" spans="1:15" x14ac:dyDescent="0.2">
      <c r="A62" s="56"/>
      <c r="B62" s="189" t="s">
        <v>455</v>
      </c>
      <c r="C62" s="229" t="s">
        <v>25</v>
      </c>
      <c r="D62" s="192">
        <f>-'Cash Flow'!D24</f>
        <v>130</v>
      </c>
      <c r="E62" s="192">
        <f>-'Cash Flow'!E24</f>
        <v>317.3</v>
      </c>
      <c r="F62" s="192">
        <f>-'Cash Flow'!F24</f>
        <v>170.8</v>
      </c>
      <c r="G62" s="192">
        <f>-'Cash Flow'!G24</f>
        <v>139.9</v>
      </c>
      <c r="H62" s="192">
        <f>-'Cash Flow'!H24</f>
        <v>183.4</v>
      </c>
      <c r="I62" s="193">
        <f>I61/100*'Cash Flow'!I38</f>
        <v>184.19574252328769</v>
      </c>
      <c r="J62" s="193">
        <f>J61/100*'Cash Flow'!J38</f>
        <v>221.19284978063357</v>
      </c>
      <c r="K62" s="193">
        <f>K61/100*'Cash Flow'!K38</f>
        <v>253.61284949355752</v>
      </c>
      <c r="L62" s="193">
        <f>L61/100*'Cash Flow'!L38</f>
        <v>283.83426526996129</v>
      </c>
      <c r="M62" s="193">
        <f>M61/100*'Cash Flow'!M38</f>
        <v>317.91026951269441</v>
      </c>
      <c r="O62" s="16" t="s">
        <v>528</v>
      </c>
    </row>
    <row r="63" spans="1:15" x14ac:dyDescent="0.2">
      <c r="A63" s="56"/>
      <c r="B63" s="194" t="s">
        <v>129</v>
      </c>
      <c r="C63" s="229" t="s">
        <v>25</v>
      </c>
      <c r="D63" s="192">
        <f>-'Cash Flow'!D25</f>
        <v>0</v>
      </c>
      <c r="E63" s="192">
        <f>-'Cash Flow'!E25</f>
        <v>0</v>
      </c>
      <c r="F63" s="192">
        <f>-'Cash Flow'!F25</f>
        <v>0</v>
      </c>
      <c r="G63" s="192">
        <f>-'Cash Flow'!G25</f>
        <v>0</v>
      </c>
      <c r="H63" s="192">
        <f>-'Cash Flow'!H25</f>
        <v>0</v>
      </c>
      <c r="I63" s="195">
        <v>0</v>
      </c>
      <c r="J63" s="195">
        <v>0</v>
      </c>
      <c r="K63" s="195">
        <v>0</v>
      </c>
      <c r="L63" s="195">
        <v>0</v>
      </c>
      <c r="M63" s="195">
        <v>0</v>
      </c>
      <c r="O63" s="16" t="s">
        <v>130</v>
      </c>
    </row>
    <row r="64" spans="1:15" ht="15" customHeight="1" x14ac:dyDescent="0.2">
      <c r="A64" s="56"/>
      <c r="B64" s="189" t="s">
        <v>456</v>
      </c>
      <c r="C64" s="229" t="s">
        <v>47</v>
      </c>
      <c r="D64" s="195">
        <v>40.1</v>
      </c>
      <c r="E64" s="195">
        <v>39.299999999999997</v>
      </c>
      <c r="F64" s="195">
        <v>37.6</v>
      </c>
      <c r="G64" s="195">
        <v>37.4</v>
      </c>
      <c r="H64" s="195">
        <v>36.5</v>
      </c>
      <c r="I64" s="193">
        <f>H64-I62/I60+'Income Statement'!I48/I60</f>
        <v>35.261694640793749</v>
      </c>
      <c r="J64" s="193">
        <f>I64-J62/J60+'Income Statement'!J48/J60</f>
        <v>33.605541274789857</v>
      </c>
      <c r="K64" s="193">
        <f>J64-K62/K60+'Income Statement'!K48/K60</f>
        <v>31.577327983234248</v>
      </c>
      <c r="L64" s="193">
        <f>K64-L62/L60+'Income Statement'!L48/L60</f>
        <v>29.192911848265158</v>
      </c>
      <c r="M64" s="193">
        <f>L64-M62/M60+'Income Statement'!M48/M60</f>
        <v>26.453210151175963</v>
      </c>
      <c r="N64" s="56"/>
      <c r="O64" s="14" t="s">
        <v>461</v>
      </c>
    </row>
    <row r="65" spans="1:15" x14ac:dyDescent="0.2">
      <c r="A65" s="56"/>
      <c r="B65" s="196" t="s">
        <v>457</v>
      </c>
      <c r="C65" s="230" t="s">
        <v>3</v>
      </c>
      <c r="D65" s="199">
        <f>IFERROR((D62+D63)/'Cash Flow'!D38,0)*100</f>
        <v>73.779795686719638</v>
      </c>
      <c r="E65" s="199">
        <f>IFERROR((E62+E63)/'Cash Flow'!E38,0)*100</f>
        <v>172.91553133514986</v>
      </c>
      <c r="F65" s="199">
        <f>IFERROR((F62+F63)/'Cash Flow'!F38,0)*100</f>
        <v>72.434266327396116</v>
      </c>
      <c r="G65" s="199">
        <f>IFERROR((G62+G63)/'Cash Flow'!G38,0)*100</f>
        <v>60.353753235547892</v>
      </c>
      <c r="H65" s="199">
        <f>IFERROR((H62+H63)/'Cash Flow'!H38,0)*100</f>
        <v>60.24967148488831</v>
      </c>
      <c r="I65" s="199">
        <f>IFERROR((I62+I63)/'Cash Flow'!I38,0)*100</f>
        <v>60</v>
      </c>
      <c r="J65" s="199">
        <f>IFERROR((J62+J63)/'Cash Flow'!J38,0)*100</f>
        <v>65</v>
      </c>
      <c r="K65" s="199">
        <f>IFERROR((K62+K63)/'Cash Flow'!K38,0)*100</f>
        <v>70</v>
      </c>
      <c r="L65" s="199">
        <f>IFERROR((L62+L63)/'Cash Flow'!L38,0)*100</f>
        <v>75.000000000000014</v>
      </c>
      <c r="M65" s="199">
        <f>IFERROR((M62+M63)/'Cash Flow'!M38,0)*100</f>
        <v>80</v>
      </c>
      <c r="N65" s="56"/>
      <c r="O65" s="16" t="s">
        <v>462</v>
      </c>
    </row>
    <row r="66" spans="1:15" x14ac:dyDescent="0.2">
      <c r="A66" s="56"/>
      <c r="B66" s="16"/>
      <c r="C66" s="223"/>
      <c r="D66" s="197"/>
      <c r="E66" s="197"/>
      <c r="F66" s="197"/>
      <c r="G66" s="197"/>
      <c r="H66" s="197"/>
      <c r="I66" s="197"/>
      <c r="J66" s="197"/>
      <c r="K66" s="197"/>
      <c r="L66" s="197"/>
      <c r="M66" s="197"/>
      <c r="N66" s="56"/>
      <c r="O66" s="16"/>
    </row>
    <row r="67" spans="1:15" ht="15" thickBot="1" x14ac:dyDescent="0.25">
      <c r="A67" s="56"/>
      <c r="B67" s="217" t="s">
        <v>133</v>
      </c>
      <c r="C67" s="218"/>
      <c r="D67" s="219"/>
      <c r="E67" s="56"/>
      <c r="F67" s="16"/>
    </row>
    <row r="68" spans="1:15" x14ac:dyDescent="0.2">
      <c r="A68" s="56"/>
      <c r="B68" s="198" t="s">
        <v>2</v>
      </c>
      <c r="C68" s="231" t="s">
        <v>3</v>
      </c>
      <c r="D68" s="200">
        <v>4.3099999999999996</v>
      </c>
      <c r="E68" s="56"/>
      <c r="F68" s="16"/>
    </row>
    <row r="69" spans="1:15" x14ac:dyDescent="0.2">
      <c r="A69" s="56"/>
      <c r="B69" s="183" t="s">
        <v>4</v>
      </c>
      <c r="C69" s="232" t="s">
        <v>3</v>
      </c>
      <c r="D69" s="184">
        <v>5.5</v>
      </c>
      <c r="E69" s="56"/>
      <c r="F69" s="16"/>
    </row>
    <row r="70" spans="1:15" x14ac:dyDescent="0.2">
      <c r="A70" s="56"/>
      <c r="B70" s="29" t="s">
        <v>426</v>
      </c>
      <c r="C70" s="222" t="s">
        <v>5</v>
      </c>
      <c r="D70" s="54">
        <v>0.61</v>
      </c>
      <c r="E70" s="56"/>
      <c r="F70" s="16"/>
    </row>
    <row r="71" spans="1:15" x14ac:dyDescent="0.2">
      <c r="A71" s="56"/>
      <c r="B71" s="29" t="s">
        <v>465</v>
      </c>
      <c r="C71" s="222"/>
      <c r="D71" s="150">
        <v>1</v>
      </c>
      <c r="E71" s="56"/>
      <c r="F71" s="16"/>
    </row>
    <row r="72" spans="1:15" x14ac:dyDescent="0.2">
      <c r="A72" s="56"/>
      <c r="B72" s="29" t="s">
        <v>134</v>
      </c>
      <c r="C72" s="222" t="s">
        <v>3</v>
      </c>
      <c r="D72" s="146">
        <f>D68+D71*D69</f>
        <v>9.8099999999999987</v>
      </c>
      <c r="E72" s="56"/>
      <c r="F72" s="16"/>
    </row>
    <row r="73" spans="1:15" x14ac:dyDescent="0.2">
      <c r="A73" s="56"/>
      <c r="B73" s="29" t="s">
        <v>7</v>
      </c>
      <c r="C73" s="222" t="s">
        <v>3</v>
      </c>
      <c r="D73" s="54">
        <v>0</v>
      </c>
      <c r="E73" s="56"/>
      <c r="F73" s="16"/>
    </row>
    <row r="74" spans="1:15" x14ac:dyDescent="0.2">
      <c r="A74" s="56"/>
      <c r="B74" s="29" t="s">
        <v>10</v>
      </c>
      <c r="C74" s="222" t="s">
        <v>3</v>
      </c>
      <c r="D74" s="54">
        <v>0</v>
      </c>
      <c r="E74" s="56"/>
      <c r="F74" s="16"/>
    </row>
    <row r="75" spans="1:15" x14ac:dyDescent="0.2">
      <c r="B75" s="29" t="s">
        <v>12</v>
      </c>
      <c r="C75" s="222" t="s">
        <v>3</v>
      </c>
      <c r="D75" s="30">
        <f>D72*(1-D74/100)+D73*(1-H48/100)*(D74/100)</f>
        <v>9.8099999999999987</v>
      </c>
      <c r="F75" s="16"/>
    </row>
    <row r="76" spans="1:15" x14ac:dyDescent="0.2">
      <c r="B76" s="29" t="s">
        <v>31</v>
      </c>
      <c r="C76" s="222" t="s">
        <v>3</v>
      </c>
      <c r="D76" s="54">
        <f>INDEX($E$19:$G$19,MATCH($H$19,$E$9:$G$9,0))</f>
        <v>3</v>
      </c>
      <c r="F76" s="16"/>
    </row>
    <row r="77" spans="1:15" x14ac:dyDescent="0.2">
      <c r="B77" s="29" t="s">
        <v>135</v>
      </c>
      <c r="C77" s="222" t="s">
        <v>5</v>
      </c>
      <c r="D77" s="6">
        <f>INDEX($E$20:$G$20,MATCH($H$20,$E$9:$G$9,0))</f>
        <v>20</v>
      </c>
      <c r="F77" s="16"/>
    </row>
    <row r="78" spans="1:15" x14ac:dyDescent="0.2">
      <c r="B78" s="65"/>
      <c r="C78" s="65"/>
      <c r="D78" s="65"/>
      <c r="F78" s="65"/>
    </row>
    <row r="79" spans="1:15" x14ac:dyDescent="0.2">
      <c r="B79" s="65"/>
      <c r="C79" s="65"/>
      <c r="D79" s="65"/>
      <c r="E79" s="65"/>
      <c r="F79" s="65"/>
      <c r="O79" s="65"/>
    </row>
    <row r="80" spans="1:15" x14ac:dyDescent="0.2">
      <c r="B80" s="65"/>
      <c r="C80" s="65"/>
      <c r="D80" s="65"/>
      <c r="E80" s="65"/>
      <c r="F80" s="65"/>
      <c r="O80" s="65"/>
    </row>
    <row r="81" spans="2:15" x14ac:dyDescent="0.2">
      <c r="B81" s="65"/>
      <c r="C81" s="65"/>
      <c r="D81" s="65"/>
      <c r="E81" s="65"/>
      <c r="F81" s="65"/>
      <c r="O81" s="65"/>
    </row>
    <row r="82" spans="2:15" x14ac:dyDescent="0.2">
      <c r="B82" s="65"/>
      <c r="C82" s="65"/>
      <c r="D82" s="65"/>
      <c r="E82" s="65"/>
      <c r="F82" s="65"/>
      <c r="O82" s="65"/>
    </row>
  </sheetData>
  <dataValidations count="2">
    <dataValidation type="list" sqref="H10:H21" xr:uid="{00000000-0002-0000-0200-000000000000}">
      <formula1>"Bear,Base,Bull"</formula1>
    </dataValidation>
    <dataValidation type="list" allowBlank="1" sqref="H22:H24" xr:uid="{EDDE9EFB-40D8-0742-9CA1-322DA86A3FFB}">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44"/>
  <sheetViews>
    <sheetView showGridLines="0" zoomScaleNormal="100" workbookViewId="0"/>
  </sheetViews>
  <sheetFormatPr baseColWidth="10" defaultColWidth="8.83203125" defaultRowHeight="14" x14ac:dyDescent="0.2"/>
  <cols>
    <col min="1" max="1" width="2" style="21" customWidth="1"/>
    <col min="2" max="2" width="23.33203125" style="21" customWidth="1"/>
    <col min="3" max="3" width="7" style="21" customWidth="1"/>
    <col min="4" max="13" width="12" style="21" customWidth="1"/>
    <col min="14" max="14" width="3" style="21" customWidth="1"/>
    <col min="15" max="15" width="60" style="21" customWidth="1"/>
    <col min="16" max="17" width="8.83203125" style="21" customWidth="1"/>
    <col min="18" max="16384" width="8.83203125" style="21"/>
  </cols>
  <sheetData>
    <row r="2" spans="2:13" ht="19" customHeight="1" x14ac:dyDescent="0.2">
      <c r="B2" s="36" t="s">
        <v>71</v>
      </c>
    </row>
    <row r="3" spans="2:13" x14ac:dyDescent="0.2">
      <c r="B3" s="16" t="s">
        <v>0</v>
      </c>
    </row>
    <row r="4" spans="2:13" x14ac:dyDescent="0.2">
      <c r="B4" s="16" t="s">
        <v>1</v>
      </c>
    </row>
    <row r="5" spans="2:13" x14ac:dyDescent="0.2">
      <c r="B5" s="16"/>
    </row>
    <row r="6" spans="2:13" ht="14" customHeight="1" x14ac:dyDescent="0.2">
      <c r="B6" s="391" t="s">
        <v>529</v>
      </c>
      <c r="C6" s="391"/>
      <c r="D6" s="391"/>
      <c r="E6" s="391"/>
      <c r="F6" s="391"/>
      <c r="G6" s="391"/>
      <c r="H6" s="391"/>
      <c r="I6" s="391"/>
      <c r="J6" s="391"/>
      <c r="K6" s="391"/>
      <c r="L6" s="391"/>
      <c r="M6" s="391"/>
    </row>
    <row r="7" spans="2:13" x14ac:dyDescent="0.2">
      <c r="B7" s="391"/>
      <c r="C7" s="391"/>
      <c r="D7" s="391"/>
      <c r="E7" s="391"/>
      <c r="F7" s="391"/>
      <c r="G7" s="391"/>
      <c r="H7" s="391"/>
      <c r="I7" s="391"/>
      <c r="J7" s="391"/>
      <c r="K7" s="391"/>
      <c r="L7" s="391"/>
      <c r="M7" s="391"/>
    </row>
    <row r="8" spans="2:13" x14ac:dyDescent="0.2">
      <c r="B8" s="391"/>
      <c r="C8" s="391"/>
      <c r="D8" s="391"/>
      <c r="E8" s="391"/>
      <c r="F8" s="391"/>
      <c r="G8" s="391"/>
      <c r="H8" s="391"/>
      <c r="I8" s="391"/>
      <c r="J8" s="391"/>
      <c r="K8" s="391"/>
      <c r="L8" s="391"/>
      <c r="M8" s="391"/>
    </row>
    <row r="9" spans="2:13" x14ac:dyDescent="0.2">
      <c r="B9" s="391"/>
      <c r="C9" s="391"/>
      <c r="D9" s="391"/>
      <c r="E9" s="391"/>
      <c r="F9" s="391"/>
      <c r="G9" s="391"/>
      <c r="H9" s="391"/>
      <c r="I9" s="391"/>
      <c r="J9" s="391"/>
      <c r="K9" s="391"/>
      <c r="L9" s="391"/>
      <c r="M9" s="391"/>
    </row>
    <row r="10" spans="2:13" x14ac:dyDescent="0.2">
      <c r="B10" s="391"/>
      <c r="C10" s="391"/>
      <c r="D10" s="391"/>
      <c r="E10" s="391"/>
      <c r="F10" s="391"/>
      <c r="G10" s="391"/>
      <c r="H10" s="391"/>
      <c r="I10" s="391"/>
      <c r="J10" s="391"/>
      <c r="K10" s="391"/>
      <c r="L10" s="391"/>
      <c r="M10" s="391"/>
    </row>
    <row r="11" spans="2:13" x14ac:dyDescent="0.2">
      <c r="B11" s="391"/>
      <c r="C11" s="391"/>
      <c r="D11" s="391"/>
      <c r="E11" s="391"/>
      <c r="F11" s="391"/>
      <c r="G11" s="391"/>
      <c r="H11" s="391"/>
      <c r="I11" s="391"/>
      <c r="J11" s="391"/>
      <c r="K11" s="391"/>
      <c r="L11" s="391"/>
      <c r="M11" s="391"/>
    </row>
    <row r="12" spans="2:13" x14ac:dyDescent="0.2">
      <c r="B12" s="391"/>
      <c r="C12" s="391"/>
      <c r="D12" s="391"/>
      <c r="E12" s="391"/>
      <c r="F12" s="391"/>
      <c r="G12" s="391"/>
      <c r="H12" s="391"/>
      <c r="I12" s="391"/>
      <c r="J12" s="391"/>
      <c r="K12" s="391"/>
      <c r="L12" s="391"/>
      <c r="M12" s="391"/>
    </row>
    <row r="13" spans="2:13" x14ac:dyDescent="0.2">
      <c r="B13" s="391"/>
      <c r="C13" s="391"/>
      <c r="D13" s="391"/>
      <c r="E13" s="391"/>
      <c r="F13" s="391"/>
      <c r="G13" s="391"/>
      <c r="H13" s="391"/>
      <c r="I13" s="391"/>
      <c r="J13" s="391"/>
      <c r="K13" s="391"/>
      <c r="L13" s="391"/>
      <c r="M13" s="391"/>
    </row>
    <row r="14" spans="2:13" x14ac:dyDescent="0.2">
      <c r="B14" s="391"/>
      <c r="C14" s="391"/>
      <c r="D14" s="391"/>
      <c r="E14" s="391"/>
      <c r="F14" s="391"/>
      <c r="G14" s="391"/>
      <c r="H14" s="391"/>
      <c r="I14" s="391"/>
      <c r="J14" s="391"/>
      <c r="K14" s="391"/>
      <c r="L14" s="391"/>
      <c r="M14" s="391"/>
    </row>
    <row r="15" spans="2:13" x14ac:dyDescent="0.2">
      <c r="B15" s="391"/>
      <c r="C15" s="391"/>
      <c r="D15" s="391"/>
      <c r="E15" s="391"/>
      <c r="F15" s="391"/>
      <c r="G15" s="391"/>
      <c r="H15" s="391"/>
      <c r="I15" s="391"/>
      <c r="J15" s="391"/>
      <c r="K15" s="391"/>
      <c r="L15" s="391"/>
      <c r="M15" s="391"/>
    </row>
    <row r="16" spans="2:13" x14ac:dyDescent="0.2">
      <c r="B16" s="37"/>
    </row>
    <row r="17" spans="2:15" ht="16" customHeight="1" x14ac:dyDescent="0.2">
      <c r="C17" s="239" t="s">
        <v>13</v>
      </c>
      <c r="D17" s="240" t="s">
        <v>14</v>
      </c>
      <c r="E17" s="240" t="s">
        <v>15</v>
      </c>
      <c r="F17" s="240" t="s">
        <v>16</v>
      </c>
      <c r="G17" s="240" t="s">
        <v>17</v>
      </c>
      <c r="H17" s="240" t="s">
        <v>18</v>
      </c>
      <c r="I17" s="241" t="s">
        <v>19</v>
      </c>
      <c r="J17" s="241" t="s">
        <v>20</v>
      </c>
      <c r="K17" s="241" t="s">
        <v>21</v>
      </c>
      <c r="L17" s="241" t="s">
        <v>22</v>
      </c>
      <c r="M17" s="241" t="s">
        <v>23</v>
      </c>
      <c r="N17"/>
      <c r="O17" s="15" t="s">
        <v>95</v>
      </c>
    </row>
    <row r="19" spans="2:15" ht="16" customHeight="1" thickBot="1" x14ac:dyDescent="0.25">
      <c r="B19" s="242" t="s">
        <v>137</v>
      </c>
      <c r="C19" s="242"/>
      <c r="D19" s="242"/>
      <c r="E19" s="242"/>
      <c r="F19" s="242"/>
      <c r="G19" s="242"/>
      <c r="H19" s="242"/>
      <c r="I19" s="242"/>
      <c r="J19" s="242"/>
      <c r="K19" s="242"/>
      <c r="L19" s="242"/>
      <c r="M19" s="242"/>
    </row>
    <row r="20" spans="2:15" x14ac:dyDescent="0.2">
      <c r="B20" s="23" t="s">
        <v>136</v>
      </c>
      <c r="C20" s="23" t="s">
        <v>25</v>
      </c>
      <c r="D20" s="38"/>
      <c r="E20" s="39">
        <v>411.2</v>
      </c>
      <c r="F20" s="39">
        <v>489.7</v>
      </c>
      <c r="G20" s="39">
        <v>554.5</v>
      </c>
      <c r="H20" s="39">
        <v>607.6</v>
      </c>
      <c r="I20" s="33">
        <f>H32</f>
        <v>669.1</v>
      </c>
      <c r="J20" s="40">
        <f>I32</f>
        <v>734.673</v>
      </c>
      <c r="K20" s="40">
        <f>J32</f>
        <v>798.53982499999995</v>
      </c>
      <c r="L20" s="40">
        <f>K32</f>
        <v>860.01062149999996</v>
      </c>
      <c r="M20" s="40">
        <f>L32</f>
        <v>918.41078082249999</v>
      </c>
      <c r="O20" s="37"/>
    </row>
    <row r="21" spans="2:15" x14ac:dyDescent="0.2">
      <c r="B21" s="25" t="s">
        <v>87</v>
      </c>
      <c r="C21" s="25" t="s">
        <v>3</v>
      </c>
      <c r="D21" s="41"/>
      <c r="E21" s="42">
        <v>109</v>
      </c>
      <c r="F21" s="42">
        <v>105</v>
      </c>
      <c r="G21" s="42">
        <v>103</v>
      </c>
      <c r="H21" s="42">
        <v>103</v>
      </c>
      <c r="I21" s="102">
        <f>Assumptions!$D$11</f>
        <v>103</v>
      </c>
      <c r="J21" s="102">
        <f>Assumptions!$D$11+(INDEX(Assumptions!$E$11:$G$11,MATCH(Assumptions!$H$11,Assumptions!$E$9:$G$9,0))-Assumptions!$D$11)*1/4</f>
        <v>102.5</v>
      </c>
      <c r="K21" s="102">
        <f>Assumptions!$D$11+(INDEX(Assumptions!$E$11:$G$11,MATCH(Assumptions!$H$11,Assumptions!$E$9:$G$9,0))-Assumptions!$D$11)*2/4</f>
        <v>102</v>
      </c>
      <c r="L21" s="102">
        <f>Assumptions!$D$11+(INDEX(Assumptions!$E$11:$G$11,MATCH(Assumptions!$H$11,Assumptions!$E$9:$G$9,0))-Assumptions!$D$11)*3/4</f>
        <v>101.5</v>
      </c>
      <c r="M21" s="102">
        <f>Assumptions!$D$11+(INDEX(Assumptions!$E$11:$G$11,MATCH(Assumptions!$H$11,Assumptions!$E$9:$G$9,0))-Assumptions!$D$11)*4/4</f>
        <v>101</v>
      </c>
      <c r="O21" s="16" t="s">
        <v>348</v>
      </c>
    </row>
    <row r="22" spans="2:15" x14ac:dyDescent="0.2">
      <c r="B22" s="29" t="s">
        <v>137</v>
      </c>
      <c r="C22" s="29" t="s">
        <v>25</v>
      </c>
      <c r="D22" s="43"/>
      <c r="E22" s="44">
        <f t="shared" ref="E22:M22" si="0">E20*E21/100</f>
        <v>448.20799999999997</v>
      </c>
      <c r="F22" s="44">
        <f t="shared" si="0"/>
        <v>514.18499999999995</v>
      </c>
      <c r="G22" s="44">
        <f t="shared" si="0"/>
        <v>571.13499999999999</v>
      </c>
      <c r="H22" s="44">
        <f t="shared" si="0"/>
        <v>625.82799999999997</v>
      </c>
      <c r="I22" s="44">
        <f t="shared" si="0"/>
        <v>689.173</v>
      </c>
      <c r="J22" s="44">
        <f t="shared" si="0"/>
        <v>753.03982499999995</v>
      </c>
      <c r="K22" s="44">
        <f t="shared" si="0"/>
        <v>814.51062149999996</v>
      </c>
      <c r="L22" s="44">
        <f t="shared" si="0"/>
        <v>872.91078082249999</v>
      </c>
      <c r="M22" s="44">
        <f t="shared" si="0"/>
        <v>927.59488863072499</v>
      </c>
      <c r="O22" s="37"/>
    </row>
    <row r="23" spans="2:15" x14ac:dyDescent="0.2">
      <c r="B23" s="25" t="s">
        <v>138</v>
      </c>
      <c r="C23" s="25" t="s">
        <v>3</v>
      </c>
      <c r="D23" s="41"/>
      <c r="E23" s="45">
        <f>IF(E32=0,"",E22/E32*100)</f>
        <v>91.527057382070652</v>
      </c>
      <c r="F23" s="45">
        <f>IF(F32=0,"",F22/F32*100)</f>
        <v>92.729486023444537</v>
      </c>
      <c r="G23" s="45">
        <f>IF(G32=0,"",G22/G32*100)</f>
        <v>93.998518762343636</v>
      </c>
      <c r="H23" s="45">
        <f>IF(H32=0,"",H22/H32*100)</f>
        <v>93.532805260798085</v>
      </c>
      <c r="I23" s="45">
        <f>I22/I32*100</f>
        <v>93.806768453448001</v>
      </c>
      <c r="J23" s="45">
        <f>J22/J32*100</f>
        <v>94.302100086241779</v>
      </c>
      <c r="K23" s="45">
        <f>K22/K32*100</f>
        <v>94.709367667966646</v>
      </c>
      <c r="L23" s="45">
        <f>L22/L32*100</f>
        <v>95.04578986330587</v>
      </c>
      <c r="M23" s="45">
        <f>M22/M32*100</f>
        <v>95.324196999531608</v>
      </c>
      <c r="O23" s="14" t="s">
        <v>349</v>
      </c>
    </row>
    <row r="25" spans="2:15" ht="16" customHeight="1" thickBot="1" x14ac:dyDescent="0.25">
      <c r="B25" s="242" t="s">
        <v>141</v>
      </c>
      <c r="C25" s="242"/>
      <c r="D25" s="242"/>
      <c r="E25" s="242"/>
      <c r="F25" s="242"/>
      <c r="G25" s="242"/>
      <c r="H25" s="242"/>
      <c r="I25" s="242"/>
      <c r="J25" s="242"/>
      <c r="K25" s="242"/>
      <c r="L25" s="242"/>
      <c r="M25" s="242"/>
    </row>
    <row r="26" spans="2:15" x14ac:dyDescent="0.2">
      <c r="B26" s="23" t="s">
        <v>88</v>
      </c>
      <c r="C26" s="23" t="s">
        <v>27</v>
      </c>
      <c r="D26" s="38"/>
      <c r="E26" s="39">
        <v>1200</v>
      </c>
      <c r="F26" s="39">
        <v>1100</v>
      </c>
      <c r="G26" s="39">
        <v>1300</v>
      </c>
      <c r="H26" s="39">
        <v>1300</v>
      </c>
      <c r="I26" s="97">
        <f>Assumptions!$D$12</f>
        <v>1300</v>
      </c>
      <c r="J26" s="97">
        <f>Assumptions!$D$12+(INDEX(Assumptions!$E$12:$G$12,MATCH(Assumptions!$H$12,Assumptions!$E$9:$G$9,0))-Assumptions!$D$12)*1/4</f>
        <v>1300</v>
      </c>
      <c r="K26" s="97">
        <f>Assumptions!$D$12+(INDEX(Assumptions!$E$12:$G$12,MATCH(Assumptions!$H$12,Assumptions!$E$9:$G$9,0))-Assumptions!$D$12)*2/4</f>
        <v>1300</v>
      </c>
      <c r="L26" s="97">
        <f>Assumptions!$D$12+(INDEX(Assumptions!$E$12:$G$12,MATCH(Assumptions!$H$12,Assumptions!$E$9:$G$9,0))-Assumptions!$D$12)*3/4</f>
        <v>1300</v>
      </c>
      <c r="M26" s="97">
        <f>Assumptions!$D$12+(INDEX(Assumptions!$E$12:$G$12,MATCH(Assumptions!$H$12,Assumptions!$E$9:$G$9,0))-Assumptions!$D$12)*4/4</f>
        <v>1300</v>
      </c>
      <c r="O26" s="16" t="s">
        <v>139</v>
      </c>
    </row>
    <row r="27" spans="2:15" x14ac:dyDescent="0.2">
      <c r="B27" s="29" t="s">
        <v>89</v>
      </c>
      <c r="C27" s="29" t="s">
        <v>90</v>
      </c>
      <c r="D27" s="43"/>
      <c r="E27" s="44">
        <f>IF(E26=0,"",(E32-E22)/E26*1000)</f>
        <v>34.576666666666682</v>
      </c>
      <c r="F27" s="44">
        <f>IF(F26=0,"",(F32-F22)/F26*1000)</f>
        <v>36.650000000000048</v>
      </c>
      <c r="G27" s="44">
        <f>IF(G26=0,"",(G32-G22)/G26*1000)</f>
        <v>28.050000000000022</v>
      </c>
      <c r="H27" s="44">
        <f>IF(H26=0,"",(H32-H22)/H26*1000)</f>
        <v>33.28615384615388</v>
      </c>
      <c r="I27" s="103">
        <f>Assumptions!$D$13</f>
        <v>35</v>
      </c>
      <c r="J27" s="103">
        <f>Assumptions!$D$13+(INDEX(Assumptions!$E$13:$G$13,MATCH(Assumptions!$H$13,Assumptions!$E$9:$G$9,0))-Assumptions!$D$13)*1/4</f>
        <v>35</v>
      </c>
      <c r="K27" s="103">
        <f>Assumptions!$D$13+(INDEX(Assumptions!$E$13:$G$13,MATCH(Assumptions!$H$13,Assumptions!$E$9:$G$9,0))-Assumptions!$D$13)*2/4</f>
        <v>35</v>
      </c>
      <c r="L27" s="103">
        <f>Assumptions!$D$13+(INDEX(Assumptions!$E$13:$G$13,MATCH(Assumptions!$H$13,Assumptions!$E$9:$G$9,0))-Assumptions!$D$13)*3/4</f>
        <v>35</v>
      </c>
      <c r="M27" s="103">
        <f>Assumptions!$D$13+(INDEX(Assumptions!$E$13:$G$13,MATCH(Assumptions!$H$13,Assumptions!$E$9:$G$9,0))-Assumptions!$D$13)*4/4</f>
        <v>35</v>
      </c>
      <c r="O27" s="16" t="s">
        <v>140</v>
      </c>
    </row>
    <row r="28" spans="2:15" x14ac:dyDescent="0.2">
      <c r="B28" s="29" t="s">
        <v>141</v>
      </c>
      <c r="C28" s="29" t="s">
        <v>25</v>
      </c>
      <c r="D28" s="43"/>
      <c r="E28" s="44">
        <f>E32-E22</f>
        <v>41.492000000000019</v>
      </c>
      <c r="F28" s="44">
        <f>F32-F22</f>
        <v>40.315000000000055</v>
      </c>
      <c r="G28" s="44">
        <f>G32-G22</f>
        <v>36.465000000000032</v>
      </c>
      <c r="H28" s="44">
        <f>H32-H22</f>
        <v>43.272000000000048</v>
      </c>
      <c r="I28" s="44">
        <f>I26*I27/1000</f>
        <v>45.5</v>
      </c>
      <c r="J28" s="44">
        <f>J26*J27/1000</f>
        <v>45.5</v>
      </c>
      <c r="K28" s="44">
        <f>K26*K27/1000</f>
        <v>45.5</v>
      </c>
      <c r="L28" s="44">
        <f>L26*L27/1000</f>
        <v>45.5</v>
      </c>
      <c r="M28" s="44">
        <f>M26*M27/1000</f>
        <v>45.5</v>
      </c>
      <c r="O28" s="16" t="s">
        <v>142</v>
      </c>
    </row>
    <row r="29" spans="2:15" x14ac:dyDescent="0.2">
      <c r="B29" s="25" t="s">
        <v>143</v>
      </c>
      <c r="C29" s="25" t="s">
        <v>3</v>
      </c>
      <c r="D29" s="43"/>
      <c r="E29" s="45">
        <f>IF(E32=0,"",E28/E32*100)</f>
        <v>8.4729426179293483</v>
      </c>
      <c r="F29" s="45">
        <f>IF(F32=0,"",F28/F32*100)</f>
        <v>7.2705139765554652</v>
      </c>
      <c r="G29" s="45">
        <f>IF(G32=0,"",G28/G32*100)</f>
        <v>6.0014812376563578</v>
      </c>
      <c r="H29" s="45">
        <f>IF(H32=0,"",H28/H32*100)</f>
        <v>6.4671947392019202</v>
      </c>
      <c r="I29" s="45">
        <f>I28/I32*100</f>
        <v>6.1932315465520036</v>
      </c>
      <c r="J29" s="45">
        <f>J28/J32*100</f>
        <v>5.6978999137582154</v>
      </c>
      <c r="K29" s="45">
        <f>K28/K32*100</f>
        <v>5.290632332033355</v>
      </c>
      <c r="L29" s="45">
        <f>L28/L32*100</f>
        <v>4.9542101366941296</v>
      </c>
      <c r="M29" s="45">
        <f>M28/M32*100</f>
        <v>4.6758030004683926</v>
      </c>
    </row>
    <row r="31" spans="2:15" ht="16" customHeight="1" thickBot="1" x14ac:dyDescent="0.25">
      <c r="B31" s="242" t="s">
        <v>96</v>
      </c>
      <c r="C31" s="242"/>
      <c r="D31" s="242"/>
      <c r="E31" s="242"/>
      <c r="F31" s="242"/>
      <c r="G31" s="242"/>
      <c r="H31" s="242"/>
      <c r="I31" s="242"/>
      <c r="J31" s="242"/>
      <c r="K31" s="242"/>
      <c r="L31" s="242"/>
      <c r="M31" s="242"/>
    </row>
    <row r="32" spans="2:15" x14ac:dyDescent="0.2">
      <c r="B32" s="46" t="s">
        <v>96</v>
      </c>
      <c r="C32" s="23" t="s">
        <v>25</v>
      </c>
      <c r="D32" s="28">
        <v>411.2</v>
      </c>
      <c r="E32" s="28">
        <v>489.7</v>
      </c>
      <c r="F32" s="28">
        <v>554.5</v>
      </c>
      <c r="G32" s="28">
        <v>607.6</v>
      </c>
      <c r="H32" s="28">
        <v>669.1</v>
      </c>
      <c r="I32" s="47">
        <f>I22+I28</f>
        <v>734.673</v>
      </c>
      <c r="J32" s="47">
        <f>J22+J28</f>
        <v>798.53982499999995</v>
      </c>
      <c r="K32" s="47">
        <f>K22+K28</f>
        <v>860.01062149999996</v>
      </c>
      <c r="L32" s="47">
        <f>L22+L28</f>
        <v>918.41078082249999</v>
      </c>
      <c r="M32" s="47">
        <f>M22+M28</f>
        <v>973.09488863072499</v>
      </c>
      <c r="O32" s="37"/>
    </row>
    <row r="33" spans="2:15" x14ac:dyDescent="0.2">
      <c r="B33" s="25" t="s">
        <v>97</v>
      </c>
      <c r="C33" s="25" t="s">
        <v>3</v>
      </c>
      <c r="D33" s="41"/>
      <c r="E33" s="27">
        <f t="shared" ref="E33:M33" si="1">(E32/D32-1)*100</f>
        <v>19.090466926070036</v>
      </c>
      <c r="F33" s="27">
        <f t="shared" si="1"/>
        <v>13.232591382479075</v>
      </c>
      <c r="G33" s="27">
        <f t="shared" si="1"/>
        <v>9.5761947700631289</v>
      </c>
      <c r="H33" s="27">
        <f t="shared" si="1"/>
        <v>10.121790651744567</v>
      </c>
      <c r="I33" s="27">
        <f t="shared" si="1"/>
        <v>9.800179345389326</v>
      </c>
      <c r="J33" s="27">
        <f t="shared" si="1"/>
        <v>8.6932315465519938</v>
      </c>
      <c r="K33" s="27">
        <f t="shared" si="1"/>
        <v>7.6978999137582216</v>
      </c>
      <c r="L33" s="27">
        <f t="shared" si="1"/>
        <v>6.7906323320333639</v>
      </c>
      <c r="M33" s="27">
        <f t="shared" si="1"/>
        <v>5.9542101366941269</v>
      </c>
      <c r="O33" s="37"/>
    </row>
    <row r="34" spans="2:15" x14ac:dyDescent="0.2">
      <c r="B34" s="25" t="s">
        <v>144</v>
      </c>
      <c r="C34" s="25" t="s">
        <v>3</v>
      </c>
      <c r="D34" s="41"/>
      <c r="E34" s="45">
        <f t="shared" ref="E34:M34" si="2">(E22-E20)/D32*100</f>
        <v>8.9999999999999947</v>
      </c>
      <c r="F34" s="45">
        <f t="shared" si="2"/>
        <v>4.9999999999999911</v>
      </c>
      <c r="G34" s="45">
        <f t="shared" si="2"/>
        <v>2.9999999999999987</v>
      </c>
      <c r="H34" s="45">
        <f t="shared" si="2"/>
        <v>2.999999999999992</v>
      </c>
      <c r="I34" s="45">
        <f t="shared" si="2"/>
        <v>2.9999999999999969</v>
      </c>
      <c r="J34" s="45">
        <f t="shared" si="2"/>
        <v>2.4999999999999933</v>
      </c>
      <c r="K34" s="45">
        <f t="shared" si="2"/>
        <v>2.0000000000000009</v>
      </c>
      <c r="L34" s="45">
        <f t="shared" si="2"/>
        <v>1.5000000000000036</v>
      </c>
      <c r="M34" s="45">
        <f t="shared" si="2"/>
        <v>1.0000000000000009</v>
      </c>
      <c r="O34" s="37"/>
    </row>
    <row r="35" spans="2:15" x14ac:dyDescent="0.2">
      <c r="B35" s="25" t="s">
        <v>145</v>
      </c>
      <c r="C35" s="25" t="s">
        <v>3</v>
      </c>
      <c r="D35" s="41"/>
      <c r="E35" s="45">
        <f t="shared" ref="E35:M35" si="3">E28/D32*100</f>
        <v>10.090466926070043</v>
      </c>
      <c r="F35" s="45">
        <f t="shared" si="3"/>
        <v>8.2325913824790806</v>
      </c>
      <c r="G35" s="45">
        <f t="shared" si="3"/>
        <v>6.5761947700631262</v>
      </c>
      <c r="H35" s="45">
        <f t="shared" si="3"/>
        <v>7.1217906517445764</v>
      </c>
      <c r="I35" s="45">
        <f t="shared" si="3"/>
        <v>6.8001793453893287</v>
      </c>
      <c r="J35" s="45">
        <f t="shared" si="3"/>
        <v>6.1932315465520036</v>
      </c>
      <c r="K35" s="45">
        <f t="shared" si="3"/>
        <v>5.6978999137582154</v>
      </c>
      <c r="L35" s="45">
        <f t="shared" si="3"/>
        <v>5.290632332033355</v>
      </c>
      <c r="M35" s="45">
        <f t="shared" si="3"/>
        <v>4.9542101366941296</v>
      </c>
      <c r="O35" s="37"/>
    </row>
    <row r="37" spans="2:15" ht="16" customHeight="1" thickBot="1" x14ac:dyDescent="0.25">
      <c r="B37" s="242" t="s">
        <v>466</v>
      </c>
      <c r="C37" s="242"/>
      <c r="D37" s="242"/>
      <c r="E37" s="242"/>
      <c r="F37" s="242"/>
      <c r="G37" s="242"/>
      <c r="H37" s="242"/>
      <c r="I37" s="242"/>
      <c r="J37" s="242"/>
      <c r="K37" s="242"/>
      <c r="L37" s="242"/>
      <c r="M37" s="242"/>
    </row>
    <row r="38" spans="2:15" x14ac:dyDescent="0.2">
      <c r="B38" s="23" t="s">
        <v>467</v>
      </c>
      <c r="C38" s="23" t="s">
        <v>27</v>
      </c>
      <c r="D38" s="48">
        <v>10000</v>
      </c>
      <c r="E38" s="49">
        <f t="shared" ref="E38:M38" si="4">D42</f>
        <v>10000</v>
      </c>
      <c r="F38" s="49">
        <f t="shared" si="4"/>
        <v>10000</v>
      </c>
      <c r="G38" s="49">
        <f t="shared" si="4"/>
        <v>10000</v>
      </c>
      <c r="H38" s="49">
        <f t="shared" si="4"/>
        <v>10000</v>
      </c>
      <c r="I38" s="49">
        <f t="shared" si="4"/>
        <v>10000</v>
      </c>
      <c r="J38" s="49">
        <f t="shared" si="4"/>
        <v>10000</v>
      </c>
      <c r="K38" s="49">
        <f t="shared" si="4"/>
        <v>10000</v>
      </c>
      <c r="L38" s="49">
        <f t="shared" si="4"/>
        <v>10000</v>
      </c>
      <c r="M38" s="49">
        <f t="shared" si="4"/>
        <v>10000</v>
      </c>
      <c r="O38" s="16" t="s">
        <v>351</v>
      </c>
    </row>
    <row r="39" spans="2:15" x14ac:dyDescent="0.2">
      <c r="B39" s="29" t="s">
        <v>146</v>
      </c>
      <c r="C39" s="29" t="s">
        <v>27</v>
      </c>
      <c r="D39" s="43"/>
      <c r="E39" s="50">
        <f t="shared" ref="E39:M39" si="5">E26</f>
        <v>1200</v>
      </c>
      <c r="F39" s="50">
        <f t="shared" si="5"/>
        <v>1100</v>
      </c>
      <c r="G39" s="50">
        <f t="shared" si="5"/>
        <v>1300</v>
      </c>
      <c r="H39" s="50">
        <f t="shared" si="5"/>
        <v>1300</v>
      </c>
      <c r="I39" s="50">
        <f t="shared" si="5"/>
        <v>1300</v>
      </c>
      <c r="J39" s="50">
        <f t="shared" si="5"/>
        <v>1300</v>
      </c>
      <c r="K39" s="50">
        <f t="shared" si="5"/>
        <v>1300</v>
      </c>
      <c r="L39" s="50">
        <f t="shared" si="5"/>
        <v>1300</v>
      </c>
      <c r="M39" s="50">
        <f t="shared" si="5"/>
        <v>1300</v>
      </c>
      <c r="O39" s="14" t="s">
        <v>352</v>
      </c>
    </row>
    <row r="40" spans="2:15" x14ac:dyDescent="0.2">
      <c r="B40" s="29" t="s">
        <v>147</v>
      </c>
      <c r="C40" s="29" t="s">
        <v>27</v>
      </c>
      <c r="D40" s="43"/>
      <c r="E40" s="50">
        <f t="shared" ref="E40:M40" si="6">E42-E38-E39</f>
        <v>-1200</v>
      </c>
      <c r="F40" s="50">
        <f t="shared" si="6"/>
        <v>-1100</v>
      </c>
      <c r="G40" s="50">
        <f t="shared" si="6"/>
        <v>-1300</v>
      </c>
      <c r="H40" s="50">
        <f t="shared" si="6"/>
        <v>-1300</v>
      </c>
      <c r="I40" s="50">
        <f t="shared" si="6"/>
        <v>-1300</v>
      </c>
      <c r="J40" s="50">
        <f t="shared" si="6"/>
        <v>-1300</v>
      </c>
      <c r="K40" s="50">
        <f t="shared" si="6"/>
        <v>-1300</v>
      </c>
      <c r="L40" s="50">
        <f t="shared" si="6"/>
        <v>-1300</v>
      </c>
      <c r="M40" s="50">
        <f t="shared" si="6"/>
        <v>-1300</v>
      </c>
      <c r="O40" s="37"/>
    </row>
    <row r="41" spans="2:15" x14ac:dyDescent="0.2">
      <c r="B41" s="25" t="s">
        <v>148</v>
      </c>
      <c r="C41" s="25" t="s">
        <v>3</v>
      </c>
      <c r="D41" s="41"/>
      <c r="E41" s="27">
        <f t="shared" ref="E41:M41" si="7">IF(E38=0,"",ABS(E40)/E38*100)</f>
        <v>12</v>
      </c>
      <c r="F41" s="27">
        <f t="shared" si="7"/>
        <v>11</v>
      </c>
      <c r="G41" s="27">
        <f t="shared" si="7"/>
        <v>13</v>
      </c>
      <c r="H41" s="27">
        <f t="shared" si="7"/>
        <v>13</v>
      </c>
      <c r="I41" s="27">
        <f t="shared" si="7"/>
        <v>13</v>
      </c>
      <c r="J41" s="27">
        <f t="shared" si="7"/>
        <v>13</v>
      </c>
      <c r="K41" s="27">
        <f t="shared" si="7"/>
        <v>13</v>
      </c>
      <c r="L41" s="27">
        <f t="shared" si="7"/>
        <v>13</v>
      </c>
      <c r="M41" s="27">
        <f t="shared" si="7"/>
        <v>13</v>
      </c>
      <c r="O41" s="14" t="s">
        <v>350</v>
      </c>
    </row>
    <row r="42" spans="2:15" x14ac:dyDescent="0.2">
      <c r="B42" s="29" t="s">
        <v>468</v>
      </c>
      <c r="C42" s="29" t="s">
        <v>27</v>
      </c>
      <c r="D42" s="51">
        <v>10000</v>
      </c>
      <c r="E42" s="51">
        <v>10000</v>
      </c>
      <c r="F42" s="51">
        <v>10000</v>
      </c>
      <c r="G42" s="51">
        <v>10000</v>
      </c>
      <c r="H42" s="51">
        <v>10000</v>
      </c>
      <c r="I42" s="51">
        <v>10000</v>
      </c>
      <c r="J42" s="51">
        <v>10000</v>
      </c>
      <c r="K42" s="51">
        <v>10000</v>
      </c>
      <c r="L42" s="51">
        <v>10000</v>
      </c>
      <c r="M42" s="51">
        <v>10000</v>
      </c>
      <c r="O42" s="16" t="s">
        <v>149</v>
      </c>
    </row>
    <row r="43" spans="2:15" x14ac:dyDescent="0.2">
      <c r="B43" s="29" t="s">
        <v>99</v>
      </c>
      <c r="C43" s="29" t="s">
        <v>90</v>
      </c>
      <c r="D43" s="44">
        <f t="shared" ref="D43:M43" si="8">D32/D42*1000</f>
        <v>41.12</v>
      </c>
      <c r="E43" s="44">
        <f>E32/E42*1000</f>
        <v>48.97</v>
      </c>
      <c r="F43" s="44">
        <f t="shared" si="8"/>
        <v>55.45</v>
      </c>
      <c r="G43" s="44">
        <f t="shared" si="8"/>
        <v>60.76</v>
      </c>
      <c r="H43" s="44">
        <f t="shared" si="8"/>
        <v>66.91</v>
      </c>
      <c r="I43" s="44">
        <f t="shared" si="8"/>
        <v>73.467299999999994</v>
      </c>
      <c r="J43" s="44">
        <f t="shared" si="8"/>
        <v>79.853982499999987</v>
      </c>
      <c r="K43" s="44">
        <f t="shared" si="8"/>
        <v>86.001062149999996</v>
      </c>
      <c r="L43" s="44">
        <f t="shared" si="8"/>
        <v>91.841078082250007</v>
      </c>
      <c r="M43" s="44">
        <f t="shared" si="8"/>
        <v>97.309488863072502</v>
      </c>
    </row>
    <row r="44" spans="2:15" x14ac:dyDescent="0.2">
      <c r="B44" s="45" t="s">
        <v>150</v>
      </c>
      <c r="C44" s="45" t="s">
        <v>3</v>
      </c>
      <c r="D44" s="52"/>
      <c r="E44" s="45">
        <f t="shared" ref="E44:M44" si="9">(E43/D43-1)*100</f>
        <v>19.090466926070036</v>
      </c>
      <c r="F44" s="45">
        <f t="shared" si="9"/>
        <v>13.232591382479075</v>
      </c>
      <c r="G44" s="45">
        <f t="shared" si="9"/>
        <v>9.5761947700631076</v>
      </c>
      <c r="H44" s="45">
        <f t="shared" si="9"/>
        <v>10.121790651744567</v>
      </c>
      <c r="I44" s="45">
        <f t="shared" si="9"/>
        <v>9.800179345389326</v>
      </c>
      <c r="J44" s="45">
        <f t="shared" si="9"/>
        <v>8.6932315465519938</v>
      </c>
      <c r="K44" s="45">
        <f t="shared" si="9"/>
        <v>7.6978999137582216</v>
      </c>
      <c r="L44" s="45">
        <f t="shared" si="9"/>
        <v>6.7906323320333639</v>
      </c>
      <c r="M44" s="45">
        <f t="shared" si="9"/>
        <v>5.9542101366941269</v>
      </c>
      <c r="O44" s="16" t="s">
        <v>151</v>
      </c>
    </row>
  </sheetData>
  <mergeCells count="1">
    <mergeCell ref="B6:M15"/>
  </mergeCells>
  <pageMargins left="0.75" right="0.75" top="1" bottom="1" header="0.5" footer="0.5"/>
  <pageSetup orientation="portrait" horizontalDpi="0" verticalDpi="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2"/>
  <sheetViews>
    <sheetView showGridLines="0" workbookViewId="0"/>
  </sheetViews>
  <sheetFormatPr baseColWidth="10" defaultColWidth="8.83203125" defaultRowHeight="14" x14ac:dyDescent="0.2"/>
  <cols>
    <col min="1" max="1" width="1.6640625" style="21" customWidth="1"/>
    <col min="2" max="2" width="35" style="21" customWidth="1"/>
    <col min="3" max="3" width="8" style="21" customWidth="1"/>
    <col min="4" max="13" width="12" style="22" customWidth="1"/>
    <col min="14" max="14" width="3.1640625" style="21" customWidth="1"/>
    <col min="15" max="15" width="50" style="21" customWidth="1"/>
    <col min="16" max="17" width="8.83203125" style="21" customWidth="1"/>
    <col min="18" max="16384" width="8.83203125" style="21"/>
  </cols>
  <sheetData>
    <row r="2" spans="2:15" ht="19" customHeight="1" x14ac:dyDescent="0.2">
      <c r="B2" s="36" t="s">
        <v>72</v>
      </c>
    </row>
    <row r="3" spans="2:15" x14ac:dyDescent="0.2">
      <c r="B3" s="16" t="s">
        <v>0</v>
      </c>
    </row>
    <row r="4" spans="2:15" x14ac:dyDescent="0.2">
      <c r="B4" s="16" t="s">
        <v>1</v>
      </c>
    </row>
    <row r="6" spans="2:15" ht="15" x14ac:dyDescent="0.2">
      <c r="C6" s="239" t="s">
        <v>13</v>
      </c>
      <c r="D6" s="240" t="s">
        <v>443</v>
      </c>
      <c r="E6" s="240" t="s">
        <v>444</v>
      </c>
      <c r="F6" s="240" t="s">
        <v>445</v>
      </c>
      <c r="G6" s="240" t="s">
        <v>446</v>
      </c>
      <c r="H6" s="240" t="s">
        <v>439</v>
      </c>
      <c r="I6" s="241" t="s">
        <v>447</v>
      </c>
      <c r="J6" s="241" t="s">
        <v>448</v>
      </c>
      <c r="K6" s="241" t="s">
        <v>449</v>
      </c>
      <c r="L6" s="241" t="s">
        <v>450</v>
      </c>
      <c r="M6" s="241" t="s">
        <v>451</v>
      </c>
      <c r="O6" s="15" t="s">
        <v>95</v>
      </c>
    </row>
    <row r="8" spans="2:15" ht="16" customHeight="1" thickBot="1" x14ac:dyDescent="0.25">
      <c r="B8" s="178" t="s">
        <v>366</v>
      </c>
      <c r="C8" s="243"/>
      <c r="D8" s="244"/>
      <c r="E8" s="244"/>
      <c r="F8" s="244"/>
      <c r="G8" s="244"/>
      <c r="H8" s="244"/>
      <c r="I8" s="244"/>
      <c r="J8" s="244"/>
      <c r="K8" s="244"/>
      <c r="L8" s="244"/>
      <c r="M8" s="244"/>
    </row>
    <row r="9" spans="2:15" x14ac:dyDescent="0.2">
      <c r="B9" s="23" t="s">
        <v>96</v>
      </c>
      <c r="C9" s="23" t="s">
        <v>25</v>
      </c>
      <c r="D9" s="24">
        <f>Assumptions!D26</f>
        <v>411.2</v>
      </c>
      <c r="E9" s="24">
        <f>Assumptions!E26</f>
        <v>489.7</v>
      </c>
      <c r="F9" s="24">
        <f>Assumptions!F26</f>
        <v>554.5</v>
      </c>
      <c r="G9" s="24">
        <f>Assumptions!G26</f>
        <v>607.6</v>
      </c>
      <c r="H9" s="24">
        <f>Assumptions!H26</f>
        <v>669.1</v>
      </c>
      <c r="I9" s="24">
        <f>Assumptions!I26</f>
        <v>734.673</v>
      </c>
      <c r="J9" s="24">
        <f>Assumptions!J26</f>
        <v>798.53982499999995</v>
      </c>
      <c r="K9" s="24">
        <f>Assumptions!K26</f>
        <v>860.01062149999996</v>
      </c>
      <c r="L9" s="24">
        <f>Assumptions!L26</f>
        <v>918.41078082249999</v>
      </c>
      <c r="M9" s="24">
        <f>Assumptions!M26</f>
        <v>973.09488863072499</v>
      </c>
      <c r="O9" s="390" t="s">
        <v>347</v>
      </c>
    </row>
    <row r="10" spans="2:15" s="14" customFormat="1" x14ac:dyDescent="0.2">
      <c r="B10" s="25" t="s">
        <v>97</v>
      </c>
      <c r="C10" s="25" t="s">
        <v>3</v>
      </c>
      <c r="D10" s="26"/>
      <c r="E10" s="27">
        <f t="shared" ref="E10:M10" si="0">(E9/D9-1)*100</f>
        <v>19.090466926070036</v>
      </c>
      <c r="F10" s="27">
        <f t="shared" si="0"/>
        <v>13.232591382479075</v>
      </c>
      <c r="G10" s="27">
        <f t="shared" si="0"/>
        <v>9.5761947700631289</v>
      </c>
      <c r="H10" s="27">
        <f t="shared" si="0"/>
        <v>10.121790651744567</v>
      </c>
      <c r="I10" s="27">
        <f t="shared" si="0"/>
        <v>9.800179345389326</v>
      </c>
      <c r="J10" s="27">
        <f t="shared" si="0"/>
        <v>8.6932315465519938</v>
      </c>
      <c r="K10" s="27">
        <f t="shared" si="0"/>
        <v>7.6978999137582216</v>
      </c>
      <c r="L10" s="27">
        <f t="shared" si="0"/>
        <v>6.7906323320333639</v>
      </c>
      <c r="M10" s="27">
        <f t="shared" si="0"/>
        <v>5.9542101366941269</v>
      </c>
      <c r="O10" s="390"/>
    </row>
    <row r="12" spans="2:15" ht="16" customHeight="1" thickBot="1" x14ac:dyDescent="0.25">
      <c r="B12" s="178" t="s">
        <v>153</v>
      </c>
      <c r="C12" s="243"/>
      <c r="D12" s="244"/>
      <c r="E12" s="244"/>
      <c r="F12" s="244"/>
      <c r="G12" s="244"/>
      <c r="H12" s="244"/>
      <c r="I12" s="244"/>
      <c r="J12" s="244"/>
      <c r="K12" s="244"/>
      <c r="L12" s="244"/>
      <c r="M12" s="244"/>
    </row>
    <row r="13" spans="2:15" x14ac:dyDescent="0.2">
      <c r="B13" s="23" t="s">
        <v>153</v>
      </c>
      <c r="C13" s="23" t="s">
        <v>25</v>
      </c>
      <c r="D13" s="28">
        <v>89.4</v>
      </c>
      <c r="E13" s="28">
        <v>102.8</v>
      </c>
      <c r="F13" s="28">
        <v>107.5</v>
      </c>
      <c r="G13" s="28">
        <v>111.5</v>
      </c>
      <c r="H13" s="28">
        <v>114.8</v>
      </c>
      <c r="I13" s="24">
        <f>I9*(100-Assumptions!I43)/100</f>
        <v>124.89441000000001</v>
      </c>
      <c r="J13" s="24">
        <f>J9*(100-Assumptions!J43)/100</f>
        <v>132.75724590624998</v>
      </c>
      <c r="K13" s="24">
        <f>K9*(100-Assumptions!K43)/100</f>
        <v>139.75172599375</v>
      </c>
      <c r="L13" s="24">
        <f>L9*(100-Assumptions!L43)/100</f>
        <v>145.79771145557189</v>
      </c>
      <c r="M13" s="24">
        <f>M9*(100-Assumptions!M43)/100</f>
        <v>150.82970773776239</v>
      </c>
      <c r="O13" s="392" t="s">
        <v>531</v>
      </c>
    </row>
    <row r="14" spans="2:15" x14ac:dyDescent="0.2">
      <c r="B14" s="29" t="s">
        <v>154</v>
      </c>
      <c r="C14" s="29" t="s">
        <v>25</v>
      </c>
      <c r="D14" s="30">
        <f t="shared" ref="D14:M14" si="1">D9-D13</f>
        <v>321.79999999999995</v>
      </c>
      <c r="E14" s="30">
        <f t="shared" si="1"/>
        <v>386.9</v>
      </c>
      <c r="F14" s="30">
        <f t="shared" si="1"/>
        <v>447</v>
      </c>
      <c r="G14" s="30">
        <f t="shared" si="1"/>
        <v>496.1</v>
      </c>
      <c r="H14" s="30">
        <f t="shared" si="1"/>
        <v>554.30000000000007</v>
      </c>
      <c r="I14" s="30">
        <f t="shared" si="1"/>
        <v>609.77859000000001</v>
      </c>
      <c r="J14" s="30">
        <f t="shared" si="1"/>
        <v>665.78257909374997</v>
      </c>
      <c r="K14" s="30">
        <f t="shared" si="1"/>
        <v>720.25889550624993</v>
      </c>
      <c r="L14" s="30">
        <f t="shared" si="1"/>
        <v>772.61306936692813</v>
      </c>
      <c r="M14" s="30">
        <f t="shared" si="1"/>
        <v>822.26518089296258</v>
      </c>
      <c r="O14" s="392"/>
    </row>
    <row r="15" spans="2:15" x14ac:dyDescent="0.2">
      <c r="B15" s="29" t="s">
        <v>91</v>
      </c>
      <c r="C15" s="29" t="s">
        <v>3</v>
      </c>
      <c r="D15" s="30">
        <f t="shared" ref="D15:M15" si="2">D14/D9*100</f>
        <v>78.258754863813223</v>
      </c>
      <c r="E15" s="30">
        <f t="shared" si="2"/>
        <v>79.00755564631406</v>
      </c>
      <c r="F15" s="30">
        <f t="shared" si="2"/>
        <v>80.613165013525702</v>
      </c>
      <c r="G15" s="30">
        <f t="shared" si="2"/>
        <v>81.64911125740619</v>
      </c>
      <c r="H15" s="30">
        <f t="shared" si="2"/>
        <v>82.842624420863856</v>
      </c>
      <c r="I15" s="30">
        <f t="shared" si="2"/>
        <v>83</v>
      </c>
      <c r="J15" s="30">
        <f t="shared" si="2"/>
        <v>83.375</v>
      </c>
      <c r="K15" s="30">
        <f t="shared" si="2"/>
        <v>83.749999999999986</v>
      </c>
      <c r="L15" s="30">
        <f t="shared" si="2"/>
        <v>84.125</v>
      </c>
      <c r="M15" s="30">
        <f t="shared" si="2"/>
        <v>84.5</v>
      </c>
      <c r="O15" s="392"/>
    </row>
    <row r="16" spans="2:15" x14ac:dyDescent="0.2">
      <c r="O16" s="251"/>
    </row>
    <row r="17" spans="2:15" ht="16" customHeight="1" thickBot="1" x14ac:dyDescent="0.25">
      <c r="B17" s="178" t="s">
        <v>469</v>
      </c>
      <c r="C17" s="243"/>
      <c r="D17" s="244"/>
      <c r="E17" s="244"/>
      <c r="F17" s="244"/>
      <c r="G17" s="244"/>
      <c r="H17" s="244"/>
      <c r="I17" s="244"/>
      <c r="J17" s="244"/>
      <c r="K17" s="244"/>
      <c r="L17" s="244"/>
      <c r="M17" s="244"/>
      <c r="O17" s="251"/>
    </row>
    <row r="18" spans="2:15" x14ac:dyDescent="0.2">
      <c r="B18" s="23" t="s">
        <v>155</v>
      </c>
      <c r="C18" s="23" t="s">
        <v>25</v>
      </c>
      <c r="D18" s="28">
        <v>81.3</v>
      </c>
      <c r="E18" s="28">
        <v>101.2</v>
      </c>
      <c r="F18" s="28">
        <v>110.5</v>
      </c>
      <c r="G18" s="28">
        <v>111.9</v>
      </c>
      <c r="H18" s="28">
        <v>117.3</v>
      </c>
      <c r="I18" s="24">
        <f>I9*Assumptions!I44/100</f>
        <v>128.56777500000001</v>
      </c>
      <c r="J18" s="24">
        <f>J9*Assumptions!J44/100</f>
        <v>139.74446937499999</v>
      </c>
      <c r="K18" s="24">
        <f>K9*Assumptions!K44/100</f>
        <v>150.50185876250001</v>
      </c>
      <c r="L18" s="24">
        <f>L9*Assumptions!L44/100</f>
        <v>160.72188664393749</v>
      </c>
      <c r="M18" s="24">
        <f>M9*Assumptions!M44/100</f>
        <v>170.29160551037685</v>
      </c>
      <c r="O18" s="392" t="s">
        <v>530</v>
      </c>
    </row>
    <row r="19" spans="2:15" x14ac:dyDescent="0.2">
      <c r="B19" s="25" t="s">
        <v>156</v>
      </c>
      <c r="C19" s="25" t="s">
        <v>3</v>
      </c>
      <c r="D19" s="27">
        <f t="shared" ref="D19:M19" si="3">D18/D9*100</f>
        <v>19.771400778210115</v>
      </c>
      <c r="E19" s="27">
        <f t="shared" si="3"/>
        <v>20.665713702266693</v>
      </c>
      <c r="F19" s="27">
        <f t="shared" si="3"/>
        <v>19.927862939585211</v>
      </c>
      <c r="G19" s="27">
        <f t="shared" si="3"/>
        <v>18.416721527320608</v>
      </c>
      <c r="H19" s="27">
        <f t="shared" si="3"/>
        <v>17.531011806904797</v>
      </c>
      <c r="I19" s="27">
        <f t="shared" si="3"/>
        <v>17.5</v>
      </c>
      <c r="J19" s="27">
        <f t="shared" si="3"/>
        <v>17.5</v>
      </c>
      <c r="K19" s="27">
        <f t="shared" si="3"/>
        <v>17.5</v>
      </c>
      <c r="L19" s="27">
        <f t="shared" si="3"/>
        <v>17.5</v>
      </c>
      <c r="M19" s="27">
        <f t="shared" si="3"/>
        <v>17.5</v>
      </c>
      <c r="O19" s="393"/>
    </row>
    <row r="20" spans="2:15" x14ac:dyDescent="0.2">
      <c r="B20" s="29" t="s">
        <v>157</v>
      </c>
      <c r="C20" s="29" t="s">
        <v>25</v>
      </c>
      <c r="D20" s="31">
        <v>76.5</v>
      </c>
      <c r="E20" s="31">
        <v>97.2</v>
      </c>
      <c r="F20" s="31">
        <v>111.7</v>
      </c>
      <c r="G20" s="31">
        <v>128.30000000000001</v>
      </c>
      <c r="H20" s="31">
        <v>143.5</v>
      </c>
      <c r="I20" s="32">
        <f>I9*Assumptions!I45/100</f>
        <v>154.28133</v>
      </c>
      <c r="J20" s="32">
        <f>J9*Assumptions!J45/100</f>
        <v>168.69153803124999</v>
      </c>
      <c r="K20" s="32">
        <f>K9*Assumptions!K45/100</f>
        <v>182.75225706875</v>
      </c>
      <c r="L20" s="32">
        <f>L9*Assumptions!L45/100</f>
        <v>196.31030440080937</v>
      </c>
      <c r="M20" s="32">
        <f>M9*Assumptions!M45/100</f>
        <v>209.21540105560587</v>
      </c>
      <c r="O20" s="393"/>
    </row>
    <row r="21" spans="2:15" x14ac:dyDescent="0.2">
      <c r="B21" s="25" t="s">
        <v>158</v>
      </c>
      <c r="C21" s="25" t="s">
        <v>3</v>
      </c>
      <c r="D21" s="27">
        <f t="shared" ref="D21:L21" si="4">D20/D9*100</f>
        <v>18.604085603112843</v>
      </c>
      <c r="E21" s="27">
        <f t="shared" si="4"/>
        <v>19.848887073718604</v>
      </c>
      <c r="F21" s="27">
        <f t="shared" si="4"/>
        <v>20.144274120829579</v>
      </c>
      <c r="G21" s="27">
        <f t="shared" si="4"/>
        <v>21.115865701119159</v>
      </c>
      <c r="H21" s="27">
        <f t="shared" si="4"/>
        <v>21.44671947392019</v>
      </c>
      <c r="I21" s="27">
        <f t="shared" si="4"/>
        <v>21</v>
      </c>
      <c r="J21" s="27">
        <f t="shared" si="4"/>
        <v>21.125</v>
      </c>
      <c r="K21" s="27">
        <f t="shared" si="4"/>
        <v>21.25</v>
      </c>
      <c r="L21" s="27">
        <f t="shared" si="4"/>
        <v>21.375</v>
      </c>
      <c r="M21" s="27">
        <f>M20/M9*100</f>
        <v>21.5</v>
      </c>
      <c r="O21" s="393"/>
    </row>
    <row r="22" spans="2:15" x14ac:dyDescent="0.2">
      <c r="B22" s="29" t="s">
        <v>159</v>
      </c>
      <c r="C22" s="29" t="s">
        <v>25</v>
      </c>
      <c r="D22" s="31">
        <v>76.3</v>
      </c>
      <c r="E22" s="31">
        <v>58</v>
      </c>
      <c r="F22" s="31">
        <v>61.7</v>
      </c>
      <c r="G22" s="31">
        <v>68.7</v>
      </c>
      <c r="H22" s="31">
        <v>71.599999999999994</v>
      </c>
      <c r="I22" s="32">
        <f>I9*Assumptions!I46/100</f>
        <v>77.140664999999998</v>
      </c>
      <c r="J22" s="32">
        <f>J9*Assumptions!J46/100</f>
        <v>83.846681625000002</v>
      </c>
      <c r="K22" s="32">
        <f>K9*Assumptions!K46/100</f>
        <v>86.001062149999996</v>
      </c>
      <c r="L22" s="32">
        <f>L9*Assumptions!L46/100</f>
        <v>91.841078082250007</v>
      </c>
      <c r="M22" s="32">
        <f>M9*Assumptions!M46/100</f>
        <v>97.309488863072488</v>
      </c>
      <c r="O22" s="393"/>
    </row>
    <row r="23" spans="2:15" x14ac:dyDescent="0.2">
      <c r="B23" s="25" t="s">
        <v>160</v>
      </c>
      <c r="C23" s="25" t="s">
        <v>3</v>
      </c>
      <c r="D23" s="27">
        <f t="shared" ref="D23:M23" si="5">D22/D9*100</f>
        <v>18.555447470817121</v>
      </c>
      <c r="E23" s="27">
        <f t="shared" si="5"/>
        <v>11.843986113947315</v>
      </c>
      <c r="F23" s="27">
        <f t="shared" si="5"/>
        <v>11.127141568981065</v>
      </c>
      <c r="G23" s="27">
        <f t="shared" si="5"/>
        <v>11.306780776826859</v>
      </c>
      <c r="H23" s="27">
        <f t="shared" si="5"/>
        <v>10.700941563293975</v>
      </c>
      <c r="I23" s="27">
        <f t="shared" si="5"/>
        <v>10.5</v>
      </c>
      <c r="J23" s="27">
        <f t="shared" si="5"/>
        <v>10.500000000000002</v>
      </c>
      <c r="K23" s="27">
        <f t="shared" si="5"/>
        <v>10</v>
      </c>
      <c r="L23" s="27">
        <f t="shared" si="5"/>
        <v>10</v>
      </c>
      <c r="M23" s="27">
        <f t="shared" si="5"/>
        <v>10</v>
      </c>
      <c r="O23" s="393"/>
    </row>
    <row r="24" spans="2:15" x14ac:dyDescent="0.2">
      <c r="B24" s="29" t="s">
        <v>161</v>
      </c>
      <c r="C24" s="29" t="s">
        <v>25</v>
      </c>
      <c r="D24" s="30">
        <f t="shared" ref="D24:M24" si="6">D18+D20+D22</f>
        <v>234.10000000000002</v>
      </c>
      <c r="E24" s="30">
        <f t="shared" si="6"/>
        <v>256.39999999999998</v>
      </c>
      <c r="F24" s="30">
        <f t="shared" si="6"/>
        <v>283.89999999999998</v>
      </c>
      <c r="G24" s="30">
        <f t="shared" si="6"/>
        <v>308.90000000000003</v>
      </c>
      <c r="H24" s="30">
        <f t="shared" si="6"/>
        <v>332.4</v>
      </c>
      <c r="I24" s="30">
        <f t="shared" si="6"/>
        <v>359.98977000000002</v>
      </c>
      <c r="J24" s="30">
        <f t="shared" si="6"/>
        <v>392.28268903125002</v>
      </c>
      <c r="K24" s="30">
        <f t="shared" si="6"/>
        <v>419.25517798125003</v>
      </c>
      <c r="L24" s="30">
        <f t="shared" si="6"/>
        <v>448.87326912699689</v>
      </c>
      <c r="M24" s="30">
        <f t="shared" si="6"/>
        <v>476.81649542905518</v>
      </c>
      <c r="O24" s="393"/>
    </row>
    <row r="25" spans="2:15" x14ac:dyDescent="0.2">
      <c r="B25" s="25" t="s">
        <v>162</v>
      </c>
      <c r="C25" s="25" t="s">
        <v>3</v>
      </c>
      <c r="D25" s="27">
        <f t="shared" ref="D25:M25" si="7">D24/D9*100</f>
        <v>56.930933852140086</v>
      </c>
      <c r="E25" s="27">
        <f t="shared" si="7"/>
        <v>52.35858688993261</v>
      </c>
      <c r="F25" s="27">
        <f t="shared" si="7"/>
        <v>51.199278629395849</v>
      </c>
      <c r="G25" s="27">
        <f t="shared" si="7"/>
        <v>50.839368005266628</v>
      </c>
      <c r="H25" s="27">
        <f t="shared" si="7"/>
        <v>49.678672844118957</v>
      </c>
      <c r="I25" s="27">
        <f t="shared" si="7"/>
        <v>49.000000000000007</v>
      </c>
      <c r="J25" s="27">
        <f t="shared" si="7"/>
        <v>49.125000000000007</v>
      </c>
      <c r="K25" s="27">
        <f t="shared" si="7"/>
        <v>48.750000000000007</v>
      </c>
      <c r="L25" s="27">
        <f t="shared" si="7"/>
        <v>48.875</v>
      </c>
      <c r="M25" s="27">
        <f t="shared" si="7"/>
        <v>48.999999999999993</v>
      </c>
      <c r="O25" s="393"/>
    </row>
    <row r="26" spans="2:15" x14ac:dyDescent="0.2">
      <c r="O26" s="251"/>
    </row>
    <row r="27" spans="2:15" x14ac:dyDescent="0.2">
      <c r="B27" s="248" t="s">
        <v>163</v>
      </c>
      <c r="C27" s="249" t="s">
        <v>25</v>
      </c>
      <c r="D27" s="250">
        <f t="shared" ref="D27:M27" si="8">D14-D24</f>
        <v>87.699999999999932</v>
      </c>
      <c r="E27" s="250">
        <f t="shared" si="8"/>
        <v>130.5</v>
      </c>
      <c r="F27" s="250">
        <f t="shared" si="8"/>
        <v>163.10000000000002</v>
      </c>
      <c r="G27" s="250">
        <f t="shared" si="8"/>
        <v>187.2</v>
      </c>
      <c r="H27" s="250">
        <f t="shared" si="8"/>
        <v>221.90000000000009</v>
      </c>
      <c r="I27" s="250">
        <f t="shared" si="8"/>
        <v>249.78881999999999</v>
      </c>
      <c r="J27" s="250">
        <f t="shared" si="8"/>
        <v>273.49989006249996</v>
      </c>
      <c r="K27" s="250">
        <f t="shared" si="8"/>
        <v>301.0037175249999</v>
      </c>
      <c r="L27" s="250">
        <f t="shared" si="8"/>
        <v>323.73980023993124</v>
      </c>
      <c r="M27" s="250">
        <f t="shared" si="8"/>
        <v>345.4486854639074</v>
      </c>
      <c r="O27" s="394" t="s">
        <v>532</v>
      </c>
    </row>
    <row r="28" spans="2:15" x14ac:dyDescent="0.2">
      <c r="B28" s="25" t="s">
        <v>113</v>
      </c>
      <c r="C28" s="25" t="s">
        <v>3</v>
      </c>
      <c r="D28" s="27">
        <f t="shared" ref="D28:M28" si="9">D27/D9*100</f>
        <v>21.327821011673137</v>
      </c>
      <c r="E28" s="27">
        <f t="shared" si="9"/>
        <v>26.648968756381457</v>
      </c>
      <c r="F28" s="27">
        <f t="shared" si="9"/>
        <v>29.413886384129849</v>
      </c>
      <c r="G28" s="27">
        <f t="shared" si="9"/>
        <v>30.809743252139558</v>
      </c>
      <c r="H28" s="27">
        <f t="shared" si="9"/>
        <v>33.163951576744893</v>
      </c>
      <c r="I28" s="27">
        <f t="shared" si="9"/>
        <v>34</v>
      </c>
      <c r="J28" s="27">
        <f t="shared" si="9"/>
        <v>34.25</v>
      </c>
      <c r="K28" s="27">
        <f t="shared" si="9"/>
        <v>34.999999999999993</v>
      </c>
      <c r="L28" s="27">
        <f t="shared" si="9"/>
        <v>35.25</v>
      </c>
      <c r="M28" s="27">
        <f t="shared" si="9"/>
        <v>35.500000000000007</v>
      </c>
      <c r="O28" s="392"/>
    </row>
    <row r="29" spans="2:15" x14ac:dyDescent="0.2">
      <c r="O29" s="251"/>
    </row>
    <row r="30" spans="2:15" ht="16" customHeight="1" thickBot="1" x14ac:dyDescent="0.25">
      <c r="B30" s="178" t="s">
        <v>470</v>
      </c>
      <c r="C30" s="243"/>
      <c r="D30" s="244"/>
      <c r="E30" s="244"/>
      <c r="F30" s="244"/>
      <c r="G30" s="244"/>
      <c r="H30" s="244"/>
      <c r="I30" s="244"/>
      <c r="J30" s="244"/>
      <c r="K30" s="244"/>
      <c r="L30" s="244"/>
      <c r="M30" s="244"/>
      <c r="O30" s="251"/>
    </row>
    <row r="31" spans="2:15" ht="15" customHeight="1" x14ac:dyDescent="0.2">
      <c r="B31" s="23" t="s">
        <v>164</v>
      </c>
      <c r="C31" s="23" t="s">
        <v>25</v>
      </c>
      <c r="D31" s="28">
        <v>2.2999999999999998</v>
      </c>
      <c r="E31" s="28">
        <v>5.2</v>
      </c>
      <c r="F31" s="28">
        <v>16.899999999999999</v>
      </c>
      <c r="G31" s="28">
        <v>25.8</v>
      </c>
      <c r="H31" s="28">
        <v>25.3</v>
      </c>
      <c r="I31" s="28">
        <v>23.5</v>
      </c>
      <c r="J31" s="28">
        <v>22</v>
      </c>
      <c r="K31" s="28">
        <v>20.5</v>
      </c>
      <c r="L31" s="28">
        <v>19</v>
      </c>
      <c r="M31" s="28">
        <v>17.5</v>
      </c>
      <c r="O31" s="392" t="s">
        <v>475</v>
      </c>
    </row>
    <row r="32" spans="2:15" ht="15" customHeight="1" x14ac:dyDescent="0.2">
      <c r="B32" s="29" t="s">
        <v>165</v>
      </c>
      <c r="C32" s="29" t="s">
        <v>25</v>
      </c>
      <c r="D32" s="31">
        <v>-0.6</v>
      </c>
      <c r="E32" s="31">
        <v>-2</v>
      </c>
      <c r="F32" s="31">
        <v>-1.3</v>
      </c>
      <c r="G32" s="31">
        <v>-3.2</v>
      </c>
      <c r="H32" s="31">
        <v>-0.4</v>
      </c>
      <c r="I32" s="31">
        <v>-0.5</v>
      </c>
      <c r="J32" s="31">
        <v>-0.5</v>
      </c>
      <c r="K32" s="31">
        <v>-0.5</v>
      </c>
      <c r="L32" s="31">
        <v>-0.5</v>
      </c>
      <c r="M32" s="31">
        <v>-0.5</v>
      </c>
      <c r="O32" s="392"/>
    </row>
    <row r="33" spans="2:15" x14ac:dyDescent="0.2">
      <c r="B33" s="29" t="s">
        <v>166</v>
      </c>
      <c r="C33" s="29" t="s">
        <v>25</v>
      </c>
      <c r="D33" s="30">
        <f t="shared" ref="D33:M33" si="10">D27+D31+D32</f>
        <v>89.399999999999935</v>
      </c>
      <c r="E33" s="30">
        <f t="shared" si="10"/>
        <v>133.69999999999999</v>
      </c>
      <c r="F33" s="30">
        <f t="shared" si="10"/>
        <v>178.70000000000002</v>
      </c>
      <c r="G33" s="30">
        <f t="shared" si="10"/>
        <v>209.8</v>
      </c>
      <c r="H33" s="30">
        <f t="shared" si="10"/>
        <v>246.8000000000001</v>
      </c>
      <c r="I33" s="30">
        <f t="shared" si="10"/>
        <v>272.78881999999999</v>
      </c>
      <c r="J33" s="30">
        <f t="shared" si="10"/>
        <v>294.99989006249996</v>
      </c>
      <c r="K33" s="30">
        <f t="shared" si="10"/>
        <v>321.0037175249999</v>
      </c>
      <c r="L33" s="30">
        <f t="shared" si="10"/>
        <v>342.23980023993124</v>
      </c>
      <c r="M33" s="30">
        <f t="shared" si="10"/>
        <v>362.4486854639074</v>
      </c>
      <c r="O33" s="392"/>
    </row>
    <row r="34" spans="2:15" x14ac:dyDescent="0.2">
      <c r="B34" s="29" t="s">
        <v>167</v>
      </c>
      <c r="C34" s="29" t="s">
        <v>25</v>
      </c>
      <c r="D34" s="34">
        <f t="shared" ref="D34:M34" si="11">D33*D35/100</f>
        <v>18.416399999999989</v>
      </c>
      <c r="E34" s="34">
        <f t="shared" si="11"/>
        <v>25.670399999999994</v>
      </c>
      <c r="F34" s="34">
        <f t="shared" si="11"/>
        <v>27.162400000000002</v>
      </c>
      <c r="G34" s="34">
        <f t="shared" si="11"/>
        <v>36.085599999999999</v>
      </c>
      <c r="H34" s="34">
        <f t="shared" si="11"/>
        <v>48.61960000000002</v>
      </c>
      <c r="I34" s="34">
        <f t="shared" si="11"/>
        <v>54.557763999999999</v>
      </c>
      <c r="J34" s="34">
        <f t="shared" si="11"/>
        <v>58.999978012499994</v>
      </c>
      <c r="K34" s="34">
        <f t="shared" si="11"/>
        <v>64.200743504999977</v>
      </c>
      <c r="L34" s="34">
        <f t="shared" si="11"/>
        <v>68.447960047986257</v>
      </c>
      <c r="M34" s="34">
        <f t="shared" si="11"/>
        <v>72.489737092781482</v>
      </c>
      <c r="O34" s="392"/>
    </row>
    <row r="35" spans="2:15" x14ac:dyDescent="0.2">
      <c r="B35" s="25" t="s">
        <v>114</v>
      </c>
      <c r="C35" s="25" t="s">
        <v>3</v>
      </c>
      <c r="D35" s="35">
        <f>Assumptions!D48</f>
        <v>20.6</v>
      </c>
      <c r="E35" s="35">
        <f>Assumptions!E48</f>
        <v>19.2</v>
      </c>
      <c r="F35" s="35">
        <f>Assumptions!F48</f>
        <v>15.2</v>
      </c>
      <c r="G35" s="35">
        <f>Assumptions!G48</f>
        <v>17.2</v>
      </c>
      <c r="H35" s="35">
        <f>Assumptions!H48</f>
        <v>19.7</v>
      </c>
      <c r="I35" s="35">
        <f>Assumptions!I48</f>
        <v>20</v>
      </c>
      <c r="J35" s="35">
        <f>Assumptions!J48</f>
        <v>20</v>
      </c>
      <c r="K35" s="35">
        <f>Assumptions!K48</f>
        <v>20</v>
      </c>
      <c r="L35" s="35">
        <f>Assumptions!L48</f>
        <v>20</v>
      </c>
      <c r="M35" s="35">
        <f>Assumptions!M48</f>
        <v>20</v>
      </c>
      <c r="O35" s="392"/>
    </row>
    <row r="36" spans="2:15" x14ac:dyDescent="0.2">
      <c r="B36" s="245" t="s">
        <v>168</v>
      </c>
      <c r="C36" s="246" t="s">
        <v>25</v>
      </c>
      <c r="D36" s="247">
        <f t="shared" ref="D36:M36" si="12">D33-D34</f>
        <v>70.983599999999939</v>
      </c>
      <c r="E36" s="247">
        <f t="shared" si="12"/>
        <v>108.02959999999999</v>
      </c>
      <c r="F36" s="247">
        <f t="shared" si="12"/>
        <v>151.53760000000003</v>
      </c>
      <c r="G36" s="247">
        <f t="shared" si="12"/>
        <v>173.71440000000001</v>
      </c>
      <c r="H36" s="247">
        <f t="shared" si="12"/>
        <v>198.18040000000008</v>
      </c>
      <c r="I36" s="247">
        <f t="shared" si="12"/>
        <v>218.231056</v>
      </c>
      <c r="J36" s="247">
        <f t="shared" si="12"/>
        <v>235.99991204999998</v>
      </c>
      <c r="K36" s="247">
        <f t="shared" si="12"/>
        <v>256.80297401999991</v>
      </c>
      <c r="L36" s="247">
        <f t="shared" si="12"/>
        <v>273.79184019194497</v>
      </c>
      <c r="M36" s="247">
        <f t="shared" si="12"/>
        <v>289.95894837112593</v>
      </c>
      <c r="O36" s="392"/>
    </row>
    <row r="37" spans="2:15" x14ac:dyDescent="0.2">
      <c r="B37" s="25" t="s">
        <v>169</v>
      </c>
      <c r="C37" s="25" t="s">
        <v>3</v>
      </c>
      <c r="D37" s="27">
        <f t="shared" ref="D37:M37" si="13">D36/D9*100</f>
        <v>17.26254863813228</v>
      </c>
      <c r="E37" s="27">
        <f t="shared" si="13"/>
        <v>22.060363487849703</v>
      </c>
      <c r="F37" s="27">
        <f t="shared" si="13"/>
        <v>27.328692515779984</v>
      </c>
      <c r="G37" s="27">
        <f t="shared" si="13"/>
        <v>28.590256747860437</v>
      </c>
      <c r="H37" s="27">
        <f t="shared" si="13"/>
        <v>29.618950829472436</v>
      </c>
      <c r="I37" s="27">
        <f t="shared" si="13"/>
        <v>29.704515614429823</v>
      </c>
      <c r="J37" s="27">
        <f t="shared" si="13"/>
        <v>29.553931395970139</v>
      </c>
      <c r="K37" s="27">
        <f t="shared" si="13"/>
        <v>29.860442138736992</v>
      </c>
      <c r="L37" s="27">
        <f t="shared" si="13"/>
        <v>29.811479341166443</v>
      </c>
      <c r="M37" s="27">
        <f t="shared" si="13"/>
        <v>29.797602655085058</v>
      </c>
      <c r="O37" s="392"/>
    </row>
    <row r="38" spans="2:15" x14ac:dyDescent="0.2">
      <c r="O38" s="251"/>
    </row>
    <row r="39" spans="2:15" ht="16" customHeight="1" thickBot="1" x14ac:dyDescent="0.25">
      <c r="B39" s="178" t="s">
        <v>471</v>
      </c>
      <c r="C39" s="243"/>
      <c r="D39" s="244"/>
      <c r="E39" s="244"/>
      <c r="F39" s="244"/>
      <c r="G39" s="244"/>
      <c r="H39" s="244"/>
      <c r="I39" s="244"/>
      <c r="J39" s="244"/>
      <c r="K39" s="244"/>
      <c r="L39" s="244"/>
      <c r="M39" s="244"/>
      <c r="O39" s="251"/>
    </row>
    <row r="40" spans="2:15" x14ac:dyDescent="0.2">
      <c r="B40" s="23" t="s">
        <v>132</v>
      </c>
      <c r="C40" s="23" t="s">
        <v>47</v>
      </c>
      <c r="D40" s="24">
        <f>Assumptions!D64</f>
        <v>40.1</v>
      </c>
      <c r="E40" s="24">
        <f>Assumptions!E64</f>
        <v>39.299999999999997</v>
      </c>
      <c r="F40" s="24">
        <f>Assumptions!F64</f>
        <v>37.6</v>
      </c>
      <c r="G40" s="24">
        <f>Assumptions!G64</f>
        <v>37.4</v>
      </c>
      <c r="H40" s="24">
        <f>Assumptions!H64</f>
        <v>36.5</v>
      </c>
      <c r="I40" s="24">
        <f>Assumptions!I64</f>
        <v>35.261694640793749</v>
      </c>
      <c r="J40" s="24">
        <f>Assumptions!J64</f>
        <v>33.605541274789857</v>
      </c>
      <c r="K40" s="24">
        <f>Assumptions!K64</f>
        <v>31.577327983234248</v>
      </c>
      <c r="L40" s="24">
        <f>Assumptions!L64</f>
        <v>29.192911848265158</v>
      </c>
      <c r="M40" s="24">
        <f>Assumptions!M64</f>
        <v>26.453210151175963</v>
      </c>
      <c r="O40" s="392" t="s">
        <v>476</v>
      </c>
    </row>
    <row r="41" spans="2:15" x14ac:dyDescent="0.2">
      <c r="B41" s="29" t="s">
        <v>170</v>
      </c>
      <c r="C41" s="29" t="s">
        <v>49</v>
      </c>
      <c r="D41" s="30">
        <f t="shared" ref="D41:M41" si="14">D36/D40</f>
        <v>1.7701645885286768</v>
      </c>
      <c r="E41" s="30">
        <f>E36/E40</f>
        <v>2.7488447837150125</v>
      </c>
      <c r="F41" s="30">
        <f t="shared" si="14"/>
        <v>4.030255319148937</v>
      </c>
      <c r="G41" s="30">
        <f t="shared" si="14"/>
        <v>4.644770053475936</v>
      </c>
      <c r="H41" s="30">
        <f t="shared" si="14"/>
        <v>5.4296000000000024</v>
      </c>
      <c r="I41" s="30">
        <f t="shared" si="14"/>
        <v>6.1888986965343298</v>
      </c>
      <c r="J41" s="30">
        <f t="shared" si="14"/>
        <v>7.0226487387971925</v>
      </c>
      <c r="K41" s="30">
        <f t="shared" si="14"/>
        <v>8.1325112167928708</v>
      </c>
      <c r="L41" s="30">
        <f t="shared" si="14"/>
        <v>9.3787095174000452</v>
      </c>
      <c r="M41" s="30">
        <f t="shared" si="14"/>
        <v>10.961200803760899</v>
      </c>
      <c r="O41" s="392"/>
    </row>
    <row r="42" spans="2:15" x14ac:dyDescent="0.2">
      <c r="B42" s="25" t="s">
        <v>171</v>
      </c>
      <c r="C42" s="25" t="s">
        <v>3</v>
      </c>
      <c r="D42" s="26"/>
      <c r="E42" s="27">
        <f t="shared" ref="E42:M42" si="15">(E41/D41-1)*100</f>
        <v>55.287525325528854</v>
      </c>
      <c r="F42" s="27">
        <f t="shared" si="15"/>
        <v>46.616329267675937</v>
      </c>
      <c r="G42" s="27">
        <f t="shared" si="15"/>
        <v>15.247538571744013</v>
      </c>
      <c r="H42" s="27">
        <f t="shared" si="15"/>
        <v>16.897067830876477</v>
      </c>
      <c r="I42" s="27">
        <f t="shared" si="15"/>
        <v>13.984431570176948</v>
      </c>
      <c r="J42" s="27">
        <f t="shared" si="15"/>
        <v>13.471702852879908</v>
      </c>
      <c r="K42" s="27">
        <f t="shared" si="15"/>
        <v>15.80404373444102</v>
      </c>
      <c r="L42" s="27">
        <f t="shared" si="15"/>
        <v>15.323659167341731</v>
      </c>
      <c r="M42" s="27">
        <f t="shared" si="15"/>
        <v>16.873230623305947</v>
      </c>
      <c r="O42" s="392"/>
    </row>
    <row r="43" spans="2:15" x14ac:dyDescent="0.2">
      <c r="O43" s="251"/>
    </row>
    <row r="44" spans="2:15" ht="16" customHeight="1" thickBot="1" x14ac:dyDescent="0.25">
      <c r="B44" s="178" t="s">
        <v>472</v>
      </c>
      <c r="C44" s="243"/>
      <c r="D44" s="244"/>
      <c r="E44" s="244"/>
      <c r="F44" s="244"/>
      <c r="G44" s="244"/>
      <c r="H44" s="244"/>
      <c r="I44" s="244"/>
      <c r="J44" s="244"/>
      <c r="K44" s="244"/>
      <c r="L44" s="244"/>
      <c r="M44" s="244"/>
      <c r="O44" s="251"/>
    </row>
    <row r="45" spans="2:15" ht="14" customHeight="1" x14ac:dyDescent="0.2">
      <c r="B45" s="23" t="s">
        <v>172</v>
      </c>
      <c r="C45" s="23" t="s">
        <v>25</v>
      </c>
      <c r="D45" s="28">
        <v>35.9</v>
      </c>
      <c r="E45" s="28">
        <v>34.6</v>
      </c>
      <c r="F45" s="28">
        <v>27</v>
      </c>
      <c r="G45" s="28">
        <v>18.5</v>
      </c>
      <c r="H45" s="28">
        <v>14.5</v>
      </c>
      <c r="I45" s="24">
        <f>I9*Assumptions!I55/100</f>
        <v>13.224114</v>
      </c>
      <c r="J45" s="24">
        <f>J9*Assumptions!J55/100</f>
        <v>11.978097374999999</v>
      </c>
      <c r="K45" s="24">
        <f>K9*Assumptions!K55/100</f>
        <v>11.180138079500001</v>
      </c>
      <c r="L45" s="24">
        <f>L9*Assumptions!L55/100</f>
        <v>11.02092936987</v>
      </c>
      <c r="M45" s="24">
        <f>M9*Assumptions!M55/100</f>
        <v>10.704043774937976</v>
      </c>
      <c r="O45" s="392" t="s">
        <v>533</v>
      </c>
    </row>
    <row r="46" spans="2:15" x14ac:dyDescent="0.2">
      <c r="B46" s="29" t="s">
        <v>173</v>
      </c>
      <c r="C46" s="29" t="s">
        <v>25</v>
      </c>
      <c r="D46" s="30">
        <f>D27+D45</f>
        <v>123.59999999999994</v>
      </c>
      <c r="E46" s="30">
        <f t="shared" ref="E46:M46" si="16">E27+E45</f>
        <v>165.1</v>
      </c>
      <c r="F46" s="30">
        <f t="shared" si="16"/>
        <v>190.10000000000002</v>
      </c>
      <c r="G46" s="30">
        <f t="shared" si="16"/>
        <v>205.7</v>
      </c>
      <c r="H46" s="30">
        <f t="shared" si="16"/>
        <v>236.40000000000009</v>
      </c>
      <c r="I46" s="30">
        <f t="shared" si="16"/>
        <v>263.01293399999997</v>
      </c>
      <c r="J46" s="30">
        <f t="shared" si="16"/>
        <v>285.47798743749996</v>
      </c>
      <c r="K46" s="30">
        <f t="shared" si="16"/>
        <v>312.18385560449991</v>
      </c>
      <c r="L46" s="30">
        <f t="shared" si="16"/>
        <v>334.76072960980122</v>
      </c>
      <c r="M46" s="30">
        <f t="shared" si="16"/>
        <v>356.15272923884538</v>
      </c>
      <c r="O46" s="392"/>
    </row>
    <row r="47" spans="2:15" x14ac:dyDescent="0.2">
      <c r="B47" s="25" t="s">
        <v>174</v>
      </c>
      <c r="C47" s="25" t="s">
        <v>3</v>
      </c>
      <c r="D47" s="27">
        <f t="shared" ref="D47:M47" si="17">D46/D9*100</f>
        <v>30.058365758754853</v>
      </c>
      <c r="E47" s="27">
        <f t="shared" si="17"/>
        <v>33.714519093322444</v>
      </c>
      <c r="F47" s="27">
        <f t="shared" si="17"/>
        <v>34.283137962128045</v>
      </c>
      <c r="G47" s="27">
        <f t="shared" si="17"/>
        <v>33.854509545753778</v>
      </c>
      <c r="H47" s="27">
        <f t="shared" si="17"/>
        <v>35.33104169780303</v>
      </c>
      <c r="I47" s="27">
        <f t="shared" si="17"/>
        <v>35.799999999999997</v>
      </c>
      <c r="J47" s="27">
        <f t="shared" si="17"/>
        <v>35.75</v>
      </c>
      <c r="K47" s="27">
        <f t="shared" si="17"/>
        <v>36.29999999999999</v>
      </c>
      <c r="L47" s="27">
        <f t="shared" si="17"/>
        <v>36.449999999999996</v>
      </c>
      <c r="M47" s="27">
        <f t="shared" si="17"/>
        <v>36.6</v>
      </c>
      <c r="O47" s="392"/>
    </row>
    <row r="48" spans="2:15" x14ac:dyDescent="0.2">
      <c r="B48" s="29" t="s">
        <v>175</v>
      </c>
      <c r="C48" s="29" t="s">
        <v>25</v>
      </c>
      <c r="D48" s="31">
        <v>67.599999999999994</v>
      </c>
      <c r="E48" s="31">
        <v>53.4</v>
      </c>
      <c r="F48" s="31">
        <v>69.099999999999994</v>
      </c>
      <c r="G48" s="31">
        <v>77.099999999999994</v>
      </c>
      <c r="H48" s="31">
        <v>77</v>
      </c>
      <c r="I48" s="32">
        <f>I9*Assumptions!I56/100</f>
        <v>84.487394999999992</v>
      </c>
      <c r="J48" s="32">
        <f>J9*Assumptions!J56/100</f>
        <v>87.839380750000004</v>
      </c>
      <c r="K48" s="32">
        <f>K9*Assumptions!K56/100</f>
        <v>90.301115257499987</v>
      </c>
      <c r="L48" s="32">
        <f>L9*Assumptions!L56/100</f>
        <v>91.841078082250007</v>
      </c>
      <c r="M48" s="32">
        <f>M9*Assumptions!M56/100</f>
        <v>97.309488863072488</v>
      </c>
      <c r="O48" s="392"/>
    </row>
    <row r="49" spans="2:15" x14ac:dyDescent="0.2">
      <c r="B49" s="25" t="s">
        <v>126</v>
      </c>
      <c r="C49" s="25" t="s">
        <v>3</v>
      </c>
      <c r="D49" s="27">
        <f t="shared" ref="D49:M49" si="18">D48/D9*100</f>
        <v>16.439688715953306</v>
      </c>
      <c r="E49" s="27">
        <f t="shared" si="18"/>
        <v>10.904635491117011</v>
      </c>
      <c r="F49" s="27">
        <f t="shared" si="18"/>
        <v>12.461677186654644</v>
      </c>
      <c r="G49" s="27">
        <f t="shared" si="18"/>
        <v>12.689269256089531</v>
      </c>
      <c r="H49" s="27">
        <f t="shared" si="18"/>
        <v>11.507995815274247</v>
      </c>
      <c r="I49" s="27">
        <f t="shared" si="18"/>
        <v>11.5</v>
      </c>
      <c r="J49" s="27">
        <f t="shared" si="18"/>
        <v>11.000000000000002</v>
      </c>
      <c r="K49" s="27">
        <f t="shared" si="18"/>
        <v>10.5</v>
      </c>
      <c r="L49" s="27">
        <f t="shared" si="18"/>
        <v>10</v>
      </c>
      <c r="M49" s="27">
        <f t="shared" si="18"/>
        <v>10</v>
      </c>
      <c r="O49" s="392"/>
    </row>
    <row r="50" spans="2:15" x14ac:dyDescent="0.2">
      <c r="B50" s="21" t="s">
        <v>473</v>
      </c>
      <c r="C50" s="29" t="s">
        <v>25</v>
      </c>
      <c r="D50" s="22">
        <f>D46-D48</f>
        <v>55.999999999999943</v>
      </c>
      <c r="E50" s="22">
        <f t="shared" ref="E50:M50" si="19">E46-E48</f>
        <v>111.69999999999999</v>
      </c>
      <c r="F50" s="22">
        <f t="shared" si="19"/>
        <v>121.00000000000003</v>
      </c>
      <c r="G50" s="22">
        <f t="shared" si="19"/>
        <v>128.6</v>
      </c>
      <c r="H50" s="22">
        <f t="shared" si="19"/>
        <v>159.40000000000009</v>
      </c>
      <c r="I50" s="22">
        <f t="shared" si="19"/>
        <v>178.52553899999998</v>
      </c>
      <c r="J50" s="22">
        <f t="shared" si="19"/>
        <v>197.63860668749996</v>
      </c>
      <c r="K50" s="22">
        <f t="shared" si="19"/>
        <v>221.88274034699992</v>
      </c>
      <c r="L50" s="22">
        <f t="shared" si="19"/>
        <v>242.9196515275512</v>
      </c>
      <c r="M50" s="22">
        <f t="shared" si="19"/>
        <v>258.84324037577289</v>
      </c>
      <c r="O50" s="392"/>
    </row>
    <row r="51" spans="2:15" x14ac:dyDescent="0.2">
      <c r="B51" s="25" t="s">
        <v>474</v>
      </c>
      <c r="C51" s="25" t="s">
        <v>3</v>
      </c>
      <c r="D51" s="27">
        <f>D50/D9*100</f>
        <v>13.618677042801544</v>
      </c>
      <c r="E51" s="27">
        <f t="shared" ref="E51:M51" si="20">E50/E9*100</f>
        <v>22.809883602205431</v>
      </c>
      <c r="F51" s="27">
        <f t="shared" si="20"/>
        <v>21.821460775473405</v>
      </c>
      <c r="G51" s="27">
        <f t="shared" si="20"/>
        <v>21.165240289664251</v>
      </c>
      <c r="H51" s="27">
        <f t="shared" si="20"/>
        <v>23.823045882528781</v>
      </c>
      <c r="I51" s="27">
        <f t="shared" si="20"/>
        <v>24.299999999999997</v>
      </c>
      <c r="J51" s="27">
        <f t="shared" si="20"/>
        <v>24.749999999999996</v>
      </c>
      <c r="K51" s="27">
        <f t="shared" si="20"/>
        <v>25.799999999999994</v>
      </c>
      <c r="L51" s="27">
        <f t="shared" si="20"/>
        <v>26.449999999999996</v>
      </c>
      <c r="M51" s="27">
        <f t="shared" si="20"/>
        <v>26.600000000000009</v>
      </c>
      <c r="O51" s="392"/>
    </row>
    <row r="52" spans="2:15" x14ac:dyDescent="0.2">
      <c r="B52" s="16"/>
    </row>
  </sheetData>
  <mergeCells count="7">
    <mergeCell ref="O45:O51"/>
    <mergeCell ref="O9:O10"/>
    <mergeCell ref="O13:O15"/>
    <mergeCell ref="O18:O25"/>
    <mergeCell ref="O27:O28"/>
    <mergeCell ref="O31:O37"/>
    <mergeCell ref="O40:O42"/>
  </mergeCell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45"/>
  <sheetViews>
    <sheetView showGridLines="0" workbookViewId="0"/>
  </sheetViews>
  <sheetFormatPr baseColWidth="10" defaultColWidth="8.83203125" defaultRowHeight="14" outlineLevelRow="1" x14ac:dyDescent="0.2"/>
  <cols>
    <col min="1" max="1" width="3" style="4" customWidth="1"/>
    <col min="2" max="2" width="36" style="4" customWidth="1"/>
    <col min="3" max="3" width="7" style="4" customWidth="1"/>
    <col min="4" max="13" width="11" style="4" customWidth="1"/>
    <col min="14" max="14" width="3.33203125" style="4" customWidth="1"/>
    <col min="15" max="15" width="55" style="14" customWidth="1"/>
    <col min="16" max="17" width="8.83203125" style="4" customWidth="1"/>
    <col min="18" max="16384" width="8.83203125" style="4"/>
  </cols>
  <sheetData>
    <row r="2" spans="2:15" ht="19" customHeight="1" x14ac:dyDescent="0.2">
      <c r="B2" s="2" t="s">
        <v>73</v>
      </c>
    </row>
    <row r="3" spans="2:15" x14ac:dyDescent="0.2">
      <c r="B3" s="1" t="s">
        <v>0</v>
      </c>
    </row>
    <row r="4" spans="2:15" x14ac:dyDescent="0.2">
      <c r="B4" s="1" t="s">
        <v>1</v>
      </c>
    </row>
    <row r="6" spans="2:15" ht="15" x14ac:dyDescent="0.2">
      <c r="C6" s="239" t="s">
        <v>13</v>
      </c>
      <c r="D6" s="240" t="s">
        <v>443</v>
      </c>
      <c r="E6" s="240" t="s">
        <v>444</v>
      </c>
      <c r="F6" s="240" t="s">
        <v>445</v>
      </c>
      <c r="G6" s="240" t="s">
        <v>446</v>
      </c>
      <c r="H6" s="240" t="s">
        <v>439</v>
      </c>
      <c r="I6" s="241" t="s">
        <v>447</v>
      </c>
      <c r="J6" s="241" t="s">
        <v>448</v>
      </c>
      <c r="K6" s="241" t="s">
        <v>449</v>
      </c>
      <c r="L6" s="241" t="s">
        <v>450</v>
      </c>
      <c r="M6" s="241" t="s">
        <v>451</v>
      </c>
      <c r="O6" s="15" t="s">
        <v>95</v>
      </c>
    </row>
    <row r="8" spans="2:15" ht="16" customHeight="1" thickBot="1" x14ac:dyDescent="0.25">
      <c r="B8" s="178" t="s">
        <v>176</v>
      </c>
      <c r="C8" s="243"/>
      <c r="D8" s="244"/>
      <c r="E8" s="244"/>
      <c r="F8" s="244"/>
      <c r="G8" s="244"/>
      <c r="H8" s="244"/>
      <c r="I8" s="244"/>
      <c r="J8" s="244"/>
      <c r="K8" s="244"/>
      <c r="L8" s="244"/>
      <c r="M8" s="244"/>
    </row>
    <row r="9" spans="2:15" x14ac:dyDescent="0.2">
      <c r="B9" s="12" t="s">
        <v>397</v>
      </c>
      <c r="C9" s="12" t="s">
        <v>25</v>
      </c>
      <c r="D9" s="81"/>
      <c r="E9" s="252">
        <v>176.5</v>
      </c>
      <c r="F9" s="252">
        <v>206.3</v>
      </c>
      <c r="G9" s="252">
        <v>233.4</v>
      </c>
      <c r="H9" s="252">
        <v>251.5</v>
      </c>
      <c r="I9" s="253">
        <f>H9+'Cash Flow'!I31</f>
        <v>321.92581465136993</v>
      </c>
      <c r="J9" s="253">
        <f>I9+'Cash Flow'!J31</f>
        <v>383.54778136041102</v>
      </c>
      <c r="K9" s="253">
        <f>J9+'Cash Flow'!K31</f>
        <v>431.60337603392338</v>
      </c>
      <c r="L9" s="253">
        <f>K9+'Cash Flow'!L31</f>
        <v>463.07032856535113</v>
      </c>
      <c r="M9" s="253">
        <f>L9+'Cash Flow'!M31</f>
        <v>476.48007807694847</v>
      </c>
      <c r="O9" s="16" t="s">
        <v>177</v>
      </c>
    </row>
    <row r="10" spans="2:15" x14ac:dyDescent="0.2">
      <c r="B10" s="77" t="s">
        <v>425</v>
      </c>
      <c r="C10" s="77" t="s">
        <v>25</v>
      </c>
      <c r="D10" s="144"/>
      <c r="E10" s="254">
        <v>144.80000000000001</v>
      </c>
      <c r="F10" s="254">
        <v>220.8</v>
      </c>
      <c r="G10" s="254">
        <v>148</v>
      </c>
      <c r="H10" s="254">
        <v>194.4</v>
      </c>
      <c r="I10" s="78">
        <f>H10</f>
        <v>194.4</v>
      </c>
      <c r="J10" s="78">
        <f>I10</f>
        <v>194.4</v>
      </c>
      <c r="K10" s="78">
        <f>J10</f>
        <v>194.4</v>
      </c>
      <c r="L10" s="78">
        <f>K10</f>
        <v>194.4</v>
      </c>
      <c r="M10" s="78">
        <f>L10</f>
        <v>194.4</v>
      </c>
      <c r="O10" s="16"/>
    </row>
    <row r="11" spans="2:15" x14ac:dyDescent="0.2">
      <c r="B11" s="7" t="s">
        <v>178</v>
      </c>
      <c r="C11" s="7" t="s">
        <v>25</v>
      </c>
      <c r="D11" s="6"/>
      <c r="E11" s="72">
        <v>121.8</v>
      </c>
      <c r="F11" s="72">
        <v>146.19999999999999</v>
      </c>
      <c r="G11" s="72">
        <v>164.6</v>
      </c>
      <c r="H11" s="72">
        <v>171</v>
      </c>
      <c r="I11" s="13">
        <f>'Income Statement'!I9*Assumptions!I52/365</f>
        <v>187.19065479452055</v>
      </c>
      <c r="J11" s="13">
        <f>'Income Statement'!J9*Assumptions!J52/365</f>
        <v>203.46357184931506</v>
      </c>
      <c r="K11" s="13">
        <f>'Income Statement'!K9*Assumptions!K52/365</f>
        <v>219.12599397123287</v>
      </c>
      <c r="L11" s="13">
        <f>'Income Statement'!L9*Assumptions!L52/365</f>
        <v>234.00603456573288</v>
      </c>
      <c r="M11" s="13">
        <f>'Income Statement'!M9*Assumptions!M52/365</f>
        <v>247.93924559632168</v>
      </c>
      <c r="O11" s="16" t="s">
        <v>179</v>
      </c>
    </row>
    <row r="12" spans="2:15" x14ac:dyDescent="0.2">
      <c r="B12" s="7" t="s">
        <v>180</v>
      </c>
      <c r="C12" s="7" t="s">
        <v>25</v>
      </c>
      <c r="D12" s="6"/>
      <c r="E12" s="72">
        <v>30.2</v>
      </c>
      <c r="F12" s="72">
        <v>26.7</v>
      </c>
      <c r="G12" s="72">
        <v>39.700000000000003</v>
      </c>
      <c r="H12" s="72">
        <v>40.700000000000003</v>
      </c>
      <c r="I12" s="72">
        <v>40.700000000000003</v>
      </c>
      <c r="J12" s="72">
        <v>40.700000000000003</v>
      </c>
      <c r="K12" s="72">
        <v>40.700000000000003</v>
      </c>
      <c r="L12" s="72">
        <v>40.700000000000003</v>
      </c>
      <c r="M12" s="72">
        <v>40.700000000000003</v>
      </c>
      <c r="O12" s="14" t="s">
        <v>181</v>
      </c>
    </row>
    <row r="13" spans="2:15" x14ac:dyDescent="0.2">
      <c r="B13" s="257" t="s">
        <v>182</v>
      </c>
      <c r="C13" s="257" t="s">
        <v>25</v>
      </c>
      <c r="D13" s="257"/>
      <c r="E13" s="256">
        <f t="shared" ref="E13:M13" si="0">E9+E10+E11+E12</f>
        <v>473.3</v>
      </c>
      <c r="F13" s="256">
        <f t="shared" si="0"/>
        <v>600</v>
      </c>
      <c r="G13" s="256">
        <f t="shared" si="0"/>
        <v>585.70000000000005</v>
      </c>
      <c r="H13" s="256">
        <f t="shared" si="0"/>
        <v>657.6</v>
      </c>
      <c r="I13" s="256">
        <f t="shared" si="0"/>
        <v>744.21646944589054</v>
      </c>
      <c r="J13" s="256">
        <f t="shared" si="0"/>
        <v>822.11135320972608</v>
      </c>
      <c r="K13" s="256">
        <f t="shared" si="0"/>
        <v>885.82937000515631</v>
      </c>
      <c r="L13" s="256">
        <f t="shared" si="0"/>
        <v>932.17636313108403</v>
      </c>
      <c r="M13" s="256">
        <f t="shared" si="0"/>
        <v>959.51932367327026</v>
      </c>
    </row>
    <row r="14" spans="2:15" x14ac:dyDescent="0.2">
      <c r="E14" s="88"/>
      <c r="F14" s="88"/>
      <c r="G14" s="88"/>
      <c r="H14" s="88"/>
      <c r="I14" s="88"/>
      <c r="J14" s="88"/>
      <c r="K14" s="88"/>
      <c r="L14" s="88"/>
      <c r="M14" s="88"/>
    </row>
    <row r="15" spans="2:15" ht="16" customHeight="1" thickBot="1" x14ac:dyDescent="0.25">
      <c r="B15" s="178" t="s">
        <v>183</v>
      </c>
      <c r="C15" s="243"/>
      <c r="D15" s="244"/>
      <c r="E15" s="244"/>
      <c r="F15" s="244"/>
      <c r="G15" s="244"/>
      <c r="H15" s="244"/>
      <c r="I15" s="244"/>
      <c r="J15" s="244"/>
      <c r="K15" s="244"/>
      <c r="L15" s="244"/>
      <c r="M15" s="244"/>
    </row>
    <row r="16" spans="2:15" x14ac:dyDescent="0.2">
      <c r="B16" s="12" t="s">
        <v>184</v>
      </c>
      <c r="C16" s="12" t="s">
        <v>25</v>
      </c>
      <c r="D16" s="81"/>
      <c r="E16" s="17">
        <v>47.4</v>
      </c>
      <c r="F16" s="17">
        <v>32.6</v>
      </c>
      <c r="G16" s="17">
        <v>30.3</v>
      </c>
      <c r="H16" s="17">
        <v>23.2</v>
      </c>
      <c r="I16" s="19">
        <f>H16+'Income Statement'!I9*Assumptions!I54/100-'Income Statement'!I45</f>
        <v>18.791961999999998</v>
      </c>
      <c r="J16" s="19">
        <f>I16+'Income Statement'!J9*Assumptions!J54/100-'Income Statement'!J45</f>
        <v>16.396342525000001</v>
      </c>
      <c r="K16" s="19">
        <f>J16+'Income Statement'!K9*Assumptions!K54/100-'Income Statement'!K45</f>
        <v>13.816310660500001</v>
      </c>
      <c r="L16" s="19">
        <f>K16+'Income Statement'!L9*Assumptions!L54/100-'Income Statement'!L45</f>
        <v>11.979489098855002</v>
      </c>
      <c r="M16" s="19">
        <f>L16+'Income Statement'!M9*Assumptions!M54/100-'Income Statement'!M45</f>
        <v>11.006394210224276</v>
      </c>
    </row>
    <row r="17" spans="2:15" x14ac:dyDescent="0.2">
      <c r="B17" s="7" t="s">
        <v>185</v>
      </c>
      <c r="C17" s="7" t="s">
        <v>25</v>
      </c>
      <c r="D17" s="6"/>
      <c r="E17" s="18">
        <v>20.2</v>
      </c>
      <c r="F17" s="18">
        <v>17.2</v>
      </c>
      <c r="G17" s="18">
        <v>14.3</v>
      </c>
      <c r="H17" s="18">
        <v>11.7</v>
      </c>
      <c r="I17" s="18">
        <v>11.7</v>
      </c>
      <c r="J17" s="18">
        <v>11.7</v>
      </c>
      <c r="K17" s="18">
        <v>11.7</v>
      </c>
      <c r="L17" s="18">
        <v>11.7</v>
      </c>
      <c r="M17" s="18">
        <v>11.7</v>
      </c>
      <c r="O17" s="14" t="s">
        <v>186</v>
      </c>
    </row>
    <row r="18" spans="2:15" x14ac:dyDescent="0.2">
      <c r="B18" s="7" t="s">
        <v>187</v>
      </c>
      <c r="C18" s="7" t="s">
        <v>25</v>
      </c>
      <c r="D18" s="6"/>
      <c r="E18" s="18">
        <v>33.799999999999997</v>
      </c>
      <c r="F18" s="18">
        <v>22.4</v>
      </c>
      <c r="G18" s="18">
        <v>41</v>
      </c>
      <c r="H18" s="18">
        <v>46</v>
      </c>
      <c r="I18" s="18">
        <v>46</v>
      </c>
      <c r="J18" s="18">
        <v>46</v>
      </c>
      <c r="K18" s="18">
        <v>46</v>
      </c>
      <c r="L18" s="18">
        <v>46</v>
      </c>
      <c r="M18" s="18">
        <v>46</v>
      </c>
      <c r="O18" s="14" t="s">
        <v>188</v>
      </c>
    </row>
    <row r="19" spans="2:15" x14ac:dyDescent="0.2">
      <c r="B19" s="7" t="s">
        <v>398</v>
      </c>
      <c r="C19" s="7" t="s">
        <v>25</v>
      </c>
      <c r="D19" s="6"/>
      <c r="E19" s="18">
        <v>126.2</v>
      </c>
      <c r="F19" s="18">
        <v>140.4</v>
      </c>
      <c r="G19" s="18">
        <v>302.3</v>
      </c>
      <c r="H19" s="18">
        <v>356.6</v>
      </c>
      <c r="I19" s="90">
        <f>H19-'Cash Flow'!I20</f>
        <v>403.97134703082196</v>
      </c>
      <c r="J19" s="90">
        <f>I19-'Cash Flow'!J20</f>
        <v>456.45322251135281</v>
      </c>
      <c r="K19" s="90">
        <f>J19-'Cash Flow'!K20</f>
        <v>512.08884904936508</v>
      </c>
      <c r="L19" s="90">
        <f>K19-'Cash Flow'!L20</f>
        <v>570.23331827459106</v>
      </c>
      <c r="M19" s="90">
        <f>L19-'Cash Flow'!M20</f>
        <v>631.30113614116738</v>
      </c>
      <c r="O19" s="16" t="s">
        <v>189</v>
      </c>
    </row>
    <row r="20" spans="2:15" x14ac:dyDescent="0.2">
      <c r="B20" s="261" t="s">
        <v>190</v>
      </c>
      <c r="C20" s="261" t="s">
        <v>25</v>
      </c>
      <c r="D20" s="261"/>
      <c r="E20" s="262">
        <v>700.9</v>
      </c>
      <c r="F20" s="262">
        <v>812.6</v>
      </c>
      <c r="G20" s="262">
        <v>973.5</v>
      </c>
      <c r="H20" s="262">
        <v>1095.0999999999999</v>
      </c>
      <c r="I20" s="262">
        <f>I13+I16+I17+I18+I19</f>
        <v>1224.6797784767125</v>
      </c>
      <c r="J20" s="262">
        <f>J13+J16+J17+J18+J19</f>
        <v>1352.6609182460788</v>
      </c>
      <c r="K20" s="262">
        <f>K13+K16+K17+K18+K19</f>
        <v>1469.4345297150214</v>
      </c>
      <c r="L20" s="262">
        <f>L13+L16+L17+L18+L19</f>
        <v>1572.0891705045301</v>
      </c>
      <c r="M20" s="262">
        <f>M13+M16+M17+M18+M19</f>
        <v>1659.526854024662</v>
      </c>
    </row>
    <row r="21" spans="2:15" x14ac:dyDescent="0.2">
      <c r="E21" s="88"/>
      <c r="F21" s="88"/>
      <c r="G21" s="88"/>
      <c r="H21" s="88"/>
      <c r="I21" s="88"/>
      <c r="J21" s="88"/>
      <c r="K21" s="88"/>
      <c r="L21" s="88"/>
      <c r="M21" s="88"/>
    </row>
    <row r="22" spans="2:15" ht="16" customHeight="1" thickBot="1" x14ac:dyDescent="0.25">
      <c r="B22" s="178" t="s">
        <v>191</v>
      </c>
      <c r="C22" s="243"/>
      <c r="D22" s="244"/>
      <c r="E22" s="244"/>
      <c r="F22" s="244"/>
      <c r="G22" s="244"/>
      <c r="H22" s="244"/>
      <c r="I22" s="244"/>
      <c r="J22" s="244"/>
      <c r="K22" s="244"/>
      <c r="L22" s="244"/>
      <c r="M22" s="244"/>
    </row>
    <row r="23" spans="2:15" x14ac:dyDescent="0.2">
      <c r="B23" s="12" t="s">
        <v>192</v>
      </c>
      <c r="C23" s="12" t="s">
        <v>25</v>
      </c>
      <c r="D23" s="81"/>
      <c r="E23" s="17">
        <v>2.8</v>
      </c>
      <c r="F23" s="17">
        <v>1</v>
      </c>
      <c r="G23" s="17">
        <v>1.3</v>
      </c>
      <c r="H23" s="17">
        <v>1.2</v>
      </c>
      <c r="I23" s="17">
        <v>1.2</v>
      </c>
      <c r="J23" s="17">
        <v>1.2</v>
      </c>
      <c r="K23" s="17">
        <v>1.2</v>
      </c>
      <c r="L23" s="17">
        <v>1.2</v>
      </c>
      <c r="M23" s="17">
        <v>1.2</v>
      </c>
      <c r="O23" s="14" t="s">
        <v>193</v>
      </c>
    </row>
    <row r="24" spans="2:15" x14ac:dyDescent="0.2">
      <c r="B24" s="7" t="s">
        <v>194</v>
      </c>
      <c r="C24" s="7" t="s">
        <v>25</v>
      </c>
      <c r="D24" s="6"/>
      <c r="E24" s="18">
        <v>42.6</v>
      </c>
      <c r="F24" s="18">
        <v>43.1</v>
      </c>
      <c r="G24" s="18">
        <v>45.9</v>
      </c>
      <c r="H24" s="18">
        <v>57.7</v>
      </c>
      <c r="I24" s="119">
        <f>H24+(1*'Cash Flow'!I14)</f>
        <v>50.353270000000002</v>
      </c>
      <c r="J24" s="119">
        <f>I24+(1*'Cash Flow'!J14)</f>
        <v>42.367871750000006</v>
      </c>
      <c r="K24" s="119">
        <f>J24+(1*'Cash Flow'!K14)</f>
        <v>33.767765535000009</v>
      </c>
      <c r="L24" s="119">
        <f>K24+(1*'Cash Flow'!L14)</f>
        <v>24.583657726775009</v>
      </c>
      <c r="M24" s="119">
        <f>L24+(1*'Cash Flow'!M14)</f>
        <v>14.852708840467759</v>
      </c>
      <c r="O24" s="14" t="s">
        <v>334</v>
      </c>
    </row>
    <row r="25" spans="2:15" x14ac:dyDescent="0.2">
      <c r="B25" s="7" t="s">
        <v>195</v>
      </c>
      <c r="C25" s="7" t="s">
        <v>25</v>
      </c>
      <c r="D25" s="6"/>
      <c r="E25" s="18">
        <v>293.7</v>
      </c>
      <c r="F25" s="18">
        <v>333.3</v>
      </c>
      <c r="G25" s="18">
        <v>371.5</v>
      </c>
      <c r="H25" s="18">
        <v>401.1</v>
      </c>
      <c r="I25" s="89">
        <f>'Income Statement'!I9*Assumptions!I53/100*Assumptions!I57/100</f>
        <v>423.171648</v>
      </c>
      <c r="J25" s="89">
        <f>'Income Statement'!J9*Assumptions!J53/100*Assumptions!J57/100</f>
        <v>459.95893919999997</v>
      </c>
      <c r="K25" s="89">
        <f>'Income Statement'!K9*Assumptions!K53/100*Assumptions!K57/100</f>
        <v>495.36611798400003</v>
      </c>
      <c r="L25" s="89">
        <f>'Income Statement'!L9*Assumptions!L53/100*Assumptions!L57/100</f>
        <v>529.00460975376006</v>
      </c>
      <c r="M25" s="89">
        <f>'Income Statement'!M9*Assumptions!M53/100*Assumptions!M57/100</f>
        <v>560.50265585129762</v>
      </c>
      <c r="O25" s="14" t="s">
        <v>335</v>
      </c>
    </row>
    <row r="26" spans="2:15" x14ac:dyDescent="0.2">
      <c r="B26" s="7" t="s">
        <v>196</v>
      </c>
      <c r="C26" s="7" t="s">
        <v>25</v>
      </c>
      <c r="D26" s="6"/>
      <c r="E26" s="18">
        <v>13.1</v>
      </c>
      <c r="F26" s="18">
        <v>11.9</v>
      </c>
      <c r="G26" s="18">
        <v>9.6999999999999993</v>
      </c>
      <c r="H26" s="18">
        <v>7.3</v>
      </c>
      <c r="I26" s="18">
        <v>7.4</v>
      </c>
      <c r="J26" s="18">
        <v>7.4</v>
      </c>
      <c r="K26" s="18">
        <v>7.4</v>
      </c>
      <c r="L26" s="18">
        <v>7.4</v>
      </c>
      <c r="M26" s="18">
        <v>7.4</v>
      </c>
      <c r="O26" s="14" t="s">
        <v>197</v>
      </c>
    </row>
    <row r="27" spans="2:15" x14ac:dyDescent="0.2">
      <c r="B27" s="257" t="s">
        <v>198</v>
      </c>
      <c r="C27" s="257" t="s">
        <v>25</v>
      </c>
      <c r="D27" s="257"/>
      <c r="E27" s="263">
        <v>352.2</v>
      </c>
      <c r="F27" s="263">
        <v>389.2</v>
      </c>
      <c r="G27" s="263">
        <v>428.4</v>
      </c>
      <c r="H27" s="263">
        <v>467.3</v>
      </c>
      <c r="I27" s="263">
        <f>I23+I24+I25+I26</f>
        <v>482.12491799999998</v>
      </c>
      <c r="J27" s="263">
        <f>J23+J24+J25+J26</f>
        <v>510.92681094999995</v>
      </c>
      <c r="K27" s="263">
        <f>K23+K24+K25+K26</f>
        <v>537.73388351899996</v>
      </c>
      <c r="L27" s="263">
        <f>L23+L24+L25+L26</f>
        <v>562.18826748053505</v>
      </c>
      <c r="M27" s="263">
        <f>M23+M24+M25+M26</f>
        <v>583.95536469176534</v>
      </c>
    </row>
    <row r="28" spans="2:15" x14ac:dyDescent="0.2">
      <c r="E28" s="88"/>
      <c r="F28" s="88"/>
      <c r="G28" s="88"/>
      <c r="H28" s="88"/>
      <c r="I28" s="88"/>
      <c r="J28" s="88"/>
      <c r="K28" s="88"/>
      <c r="L28" s="88"/>
      <c r="M28" s="88"/>
    </row>
    <row r="29" spans="2:15" ht="16" customHeight="1" thickBot="1" x14ac:dyDescent="0.25">
      <c r="B29" s="178" t="s">
        <v>199</v>
      </c>
      <c r="C29" s="243"/>
      <c r="D29" s="244"/>
      <c r="E29" s="244"/>
      <c r="F29" s="244"/>
      <c r="G29" s="244"/>
      <c r="H29" s="244"/>
      <c r="I29" s="244"/>
      <c r="J29" s="244"/>
      <c r="K29" s="244"/>
      <c r="L29" s="244"/>
      <c r="M29" s="244"/>
    </row>
    <row r="30" spans="2:15" x14ac:dyDescent="0.2">
      <c r="B30" s="12" t="s">
        <v>200</v>
      </c>
      <c r="C30" s="12" t="s">
        <v>25</v>
      </c>
      <c r="D30" s="81"/>
      <c r="E30" s="17">
        <v>23.5</v>
      </c>
      <c r="F30" s="17">
        <v>31.7</v>
      </c>
      <c r="G30" s="17">
        <v>24.3</v>
      </c>
      <c r="H30" s="17">
        <v>16.3</v>
      </c>
      <c r="I30" s="91">
        <f>'Income Statement'!I9*Assumptions!I53/100*(1-Assumptions!I57/100)</f>
        <v>17.632152000000016</v>
      </c>
      <c r="J30" s="91">
        <f>'Income Statement'!J9*Assumptions!J53/100*(1-Assumptions!J57/100)</f>
        <v>19.164955800000016</v>
      </c>
      <c r="K30" s="91">
        <f>'Income Statement'!K9*Assumptions!K53/100*(1-Assumptions!K57/100)</f>
        <v>20.640254916000018</v>
      </c>
      <c r="L30" s="91">
        <f>'Income Statement'!L9*Assumptions!L53/100*(1-Assumptions!L57/100)</f>
        <v>22.041858739740022</v>
      </c>
      <c r="M30" s="91">
        <f>'Income Statement'!M9*Assumptions!M53/100*(1-Assumptions!M57/100)</f>
        <v>23.354277327137421</v>
      </c>
      <c r="O30" s="14" t="s">
        <v>336</v>
      </c>
    </row>
    <row r="31" spans="2:15" x14ac:dyDescent="0.2">
      <c r="B31" s="7" t="s">
        <v>201</v>
      </c>
      <c r="C31" s="7" t="s">
        <v>25</v>
      </c>
      <c r="D31" s="6"/>
      <c r="E31" s="18">
        <v>29.1</v>
      </c>
      <c r="F31" s="18">
        <v>16.899999999999999</v>
      </c>
      <c r="G31" s="18">
        <v>37.5</v>
      </c>
      <c r="H31" s="18">
        <v>45</v>
      </c>
      <c r="I31" s="18">
        <v>45</v>
      </c>
      <c r="J31" s="18">
        <v>45</v>
      </c>
      <c r="K31" s="18">
        <v>45</v>
      </c>
      <c r="L31" s="18">
        <v>45</v>
      </c>
      <c r="M31" s="18">
        <v>45</v>
      </c>
      <c r="O31" s="14" t="s">
        <v>202</v>
      </c>
    </row>
    <row r="32" spans="2:15" x14ac:dyDescent="0.2">
      <c r="B32" s="7" t="s">
        <v>203</v>
      </c>
      <c r="C32" s="7" t="s">
        <v>25</v>
      </c>
      <c r="D32" s="6"/>
      <c r="E32" s="18">
        <v>0</v>
      </c>
      <c r="F32" s="18">
        <v>0</v>
      </c>
      <c r="G32" s="18">
        <v>0</v>
      </c>
      <c r="H32" s="18">
        <v>0</v>
      </c>
      <c r="I32" s="18">
        <v>0</v>
      </c>
      <c r="J32" s="18">
        <v>0</v>
      </c>
      <c r="K32" s="18">
        <v>0</v>
      </c>
      <c r="L32" s="18">
        <v>0</v>
      </c>
      <c r="M32" s="18">
        <v>0</v>
      </c>
      <c r="O32" s="16" t="s">
        <v>204</v>
      </c>
    </row>
    <row r="33" spans="1:15" x14ac:dyDescent="0.2">
      <c r="B33" s="7" t="s">
        <v>205</v>
      </c>
      <c r="C33" s="7" t="s">
        <v>25</v>
      </c>
      <c r="D33" s="6"/>
      <c r="E33" s="18">
        <v>7</v>
      </c>
      <c r="F33" s="18">
        <v>6.7</v>
      </c>
      <c r="G33" s="18">
        <v>6.3</v>
      </c>
      <c r="H33" s="18">
        <v>5.3</v>
      </c>
      <c r="I33" s="18">
        <v>5.3</v>
      </c>
      <c r="J33" s="18">
        <v>5.3</v>
      </c>
      <c r="K33" s="18">
        <v>5.3</v>
      </c>
      <c r="L33" s="18">
        <v>5.3</v>
      </c>
      <c r="M33" s="18">
        <v>5.3</v>
      </c>
      <c r="O33" s="14" t="s">
        <v>206</v>
      </c>
    </row>
    <row r="34" spans="1:15" x14ac:dyDescent="0.2">
      <c r="B34" s="257" t="s">
        <v>207</v>
      </c>
      <c r="C34" s="257" t="s">
        <v>25</v>
      </c>
      <c r="D34" s="257"/>
      <c r="E34" s="263">
        <v>411.8</v>
      </c>
      <c r="F34" s="263">
        <v>444.4</v>
      </c>
      <c r="G34" s="263">
        <v>496.4</v>
      </c>
      <c r="H34" s="263">
        <v>533.9</v>
      </c>
      <c r="I34" s="263">
        <f>I27+I30+I31+I32+I33</f>
        <v>550.05706999999995</v>
      </c>
      <c r="J34" s="263">
        <f>J27+J30+J31+J32+J33</f>
        <v>580.39176674999987</v>
      </c>
      <c r="K34" s="263">
        <f>K27+K30+K31+K32+K33</f>
        <v>608.67413843499992</v>
      </c>
      <c r="L34" s="263">
        <f>L27+L30+L31+L32+L33</f>
        <v>634.53012622027506</v>
      </c>
      <c r="M34" s="263">
        <f>M27+M30+M31+M32+M33</f>
        <v>657.60964201890272</v>
      </c>
    </row>
    <row r="35" spans="1:15" x14ac:dyDescent="0.2">
      <c r="B35" s="6"/>
      <c r="C35" s="6"/>
      <c r="D35" s="6"/>
      <c r="E35" s="92"/>
      <c r="F35" s="92"/>
      <c r="G35" s="92"/>
      <c r="H35" s="92"/>
      <c r="I35" s="92"/>
      <c r="J35" s="92"/>
      <c r="K35" s="92"/>
      <c r="L35" s="92"/>
      <c r="M35" s="92"/>
    </row>
    <row r="36" spans="1:15" ht="16" customHeight="1" thickBot="1" x14ac:dyDescent="0.25">
      <c r="B36" s="178" t="s">
        <v>208</v>
      </c>
      <c r="C36" s="243"/>
      <c r="D36" s="244"/>
      <c r="E36" s="244"/>
      <c r="F36" s="244"/>
      <c r="G36" s="244"/>
      <c r="H36" s="244"/>
      <c r="I36" s="244"/>
      <c r="J36" s="244"/>
      <c r="K36" s="244"/>
      <c r="L36" s="244"/>
      <c r="M36" s="244"/>
    </row>
    <row r="37" spans="1:15" x14ac:dyDescent="0.2">
      <c r="B37" s="12" t="s">
        <v>209</v>
      </c>
      <c r="C37" s="12" t="s">
        <v>25</v>
      </c>
      <c r="D37" s="81"/>
      <c r="E37" s="17">
        <v>512.5</v>
      </c>
      <c r="F37" s="17">
        <v>598</v>
      </c>
      <c r="G37" s="17">
        <v>664.9</v>
      </c>
      <c r="H37" s="17">
        <v>731.8</v>
      </c>
      <c r="I37" s="19">
        <f>H37+'Income Statement'!I48+'Cash Flow'!I27</f>
        <v>811.28739499999995</v>
      </c>
      <c r="J37" s="19">
        <f>I37+'Income Statement'!J48+'Cash Flow'!J27</f>
        <v>894.12677574999998</v>
      </c>
      <c r="K37" s="19">
        <f>J37+'Income Statement'!K48+'Cash Flow'!K27</f>
        <v>979.42789100749997</v>
      </c>
      <c r="L37" s="19">
        <f>K37+'Income Statement'!L48+'Cash Flow'!L27</f>
        <v>1066.26896908975</v>
      </c>
      <c r="M37" s="19">
        <f>L37+'Income Statement'!M48+'Cash Flow'!M27</f>
        <v>1158.5784579528226</v>
      </c>
      <c r="O37" s="14" t="s">
        <v>337</v>
      </c>
    </row>
    <row r="38" spans="1:15" x14ac:dyDescent="0.2">
      <c r="B38" s="7" t="s">
        <v>210</v>
      </c>
      <c r="C38" s="7" t="s">
        <v>25</v>
      </c>
      <c r="D38" s="6"/>
      <c r="E38" s="18">
        <v>-221.4</v>
      </c>
      <c r="F38" s="18">
        <v>-228.1</v>
      </c>
      <c r="G38" s="18">
        <v>-189.2</v>
      </c>
      <c r="H38" s="18">
        <v>-166.7</v>
      </c>
      <c r="I38" s="90">
        <f>H38+'Income Statement'!I36-Assumptions!I62</f>
        <v>-132.66468652328768</v>
      </c>
      <c r="J38" s="90">
        <f>I38+'Income Statement'!J36-Assumptions!J62</f>
        <v>-117.85762425392127</v>
      </c>
      <c r="K38" s="90">
        <f>J38+'Income Statement'!K36-Assumptions!K62</f>
        <v>-114.66749972747888</v>
      </c>
      <c r="L38" s="90">
        <f>K38+'Income Statement'!L36-Assumptions!L62</f>
        <v>-124.70992480549521</v>
      </c>
      <c r="M38" s="90">
        <f>L38+'Income Statement'!M36-Assumptions!M62</f>
        <v>-152.66124594706369</v>
      </c>
      <c r="O38" s="16" t="s">
        <v>211</v>
      </c>
    </row>
    <row r="39" spans="1:15" x14ac:dyDescent="0.2">
      <c r="B39" s="7" t="s">
        <v>212</v>
      </c>
      <c r="C39" s="7" t="s">
        <v>25</v>
      </c>
      <c r="D39" s="6"/>
      <c r="E39" s="18">
        <v>-1.9</v>
      </c>
      <c r="F39" s="18">
        <v>-1.7</v>
      </c>
      <c r="G39" s="18">
        <v>1.4</v>
      </c>
      <c r="H39" s="18">
        <v>-4</v>
      </c>
      <c r="I39" s="18">
        <v>-4</v>
      </c>
      <c r="J39" s="18">
        <v>-4</v>
      </c>
      <c r="K39" s="18">
        <v>-4</v>
      </c>
      <c r="L39" s="18">
        <v>-4</v>
      </c>
      <c r="M39" s="18">
        <v>-4</v>
      </c>
      <c r="O39" s="14" t="s">
        <v>213</v>
      </c>
    </row>
    <row r="40" spans="1:15" x14ac:dyDescent="0.2">
      <c r="B40" s="257" t="s">
        <v>214</v>
      </c>
      <c r="C40" s="257" t="s">
        <v>25</v>
      </c>
      <c r="D40" s="257"/>
      <c r="E40" s="263">
        <v>289.10000000000002</v>
      </c>
      <c r="F40" s="263">
        <v>368.2</v>
      </c>
      <c r="G40" s="263">
        <v>477.1</v>
      </c>
      <c r="H40" s="263">
        <v>561.20000000000005</v>
      </c>
      <c r="I40" s="263">
        <f>I37+I38+I39</f>
        <v>674.62270847671221</v>
      </c>
      <c r="J40" s="263">
        <f>J37+J38+J39</f>
        <v>772.26915149607873</v>
      </c>
      <c r="K40" s="263">
        <f>K37+K38+K39</f>
        <v>860.76039128002105</v>
      </c>
      <c r="L40" s="263">
        <f>L37+L38+L39</f>
        <v>937.55904428425481</v>
      </c>
      <c r="M40" s="263">
        <f>M37+M38+M39</f>
        <v>1001.917212005759</v>
      </c>
    </row>
    <row r="41" spans="1:15" ht="16" customHeight="1" x14ac:dyDescent="0.2">
      <c r="E41" s="88"/>
      <c r="F41" s="88"/>
      <c r="G41" s="88"/>
      <c r="H41" s="88"/>
      <c r="I41" s="88"/>
      <c r="J41" s="88"/>
      <c r="K41" s="88"/>
      <c r="L41" s="88"/>
      <c r="M41" s="88"/>
    </row>
    <row r="42" spans="1:15" x14ac:dyDescent="0.2">
      <c r="B42" s="264" t="s">
        <v>215</v>
      </c>
      <c r="C42" s="264" t="s">
        <v>25</v>
      </c>
      <c r="D42" s="264"/>
      <c r="E42" s="265">
        <f t="shared" ref="E42:M42" si="1">E34+E40</f>
        <v>700.90000000000009</v>
      </c>
      <c r="F42" s="265">
        <f t="shared" si="1"/>
        <v>812.59999999999991</v>
      </c>
      <c r="G42" s="265">
        <f t="shared" si="1"/>
        <v>973.5</v>
      </c>
      <c r="H42" s="265">
        <f t="shared" si="1"/>
        <v>1095.0999999999999</v>
      </c>
      <c r="I42" s="265">
        <f t="shared" si="1"/>
        <v>1224.6797784767123</v>
      </c>
      <c r="J42" s="265">
        <f t="shared" si="1"/>
        <v>1352.6609182460786</v>
      </c>
      <c r="K42" s="265">
        <f t="shared" si="1"/>
        <v>1469.434529715021</v>
      </c>
      <c r="L42" s="265">
        <f t="shared" si="1"/>
        <v>1572.0891705045299</v>
      </c>
      <c r="M42" s="265">
        <f t="shared" si="1"/>
        <v>1659.5268540246616</v>
      </c>
    </row>
    <row r="43" spans="1:15" x14ac:dyDescent="0.2">
      <c r="I43" s="76"/>
      <c r="J43" s="76"/>
      <c r="K43" s="76"/>
      <c r="L43" s="76"/>
      <c r="M43" s="76"/>
    </row>
    <row r="44" spans="1:15" ht="15" outlineLevel="1" x14ac:dyDescent="0.2">
      <c r="A44" s="1"/>
      <c r="B44" s="5" t="s">
        <v>216</v>
      </c>
      <c r="C44" s="5"/>
      <c r="D44" s="124"/>
      <c r="E44" s="145">
        <f t="shared" ref="E44:M44" si="2">E20-E42</f>
        <v>0</v>
      </c>
      <c r="F44" s="145">
        <f t="shared" si="2"/>
        <v>0</v>
      </c>
      <c r="G44" s="145">
        <f t="shared" si="2"/>
        <v>0</v>
      </c>
      <c r="H44" s="145">
        <f t="shared" si="2"/>
        <v>0</v>
      </c>
      <c r="I44" s="145">
        <f t="shared" si="2"/>
        <v>0</v>
      </c>
      <c r="J44" s="145">
        <f t="shared" si="2"/>
        <v>0</v>
      </c>
      <c r="K44" s="145">
        <f t="shared" si="2"/>
        <v>0</v>
      </c>
      <c r="L44" s="145">
        <f t="shared" si="2"/>
        <v>0</v>
      </c>
      <c r="M44" s="145">
        <f t="shared" si="2"/>
        <v>0</v>
      </c>
    </row>
    <row r="45" spans="1:15" ht="15" outlineLevel="1" x14ac:dyDescent="0.2">
      <c r="B45" s="5" t="s">
        <v>424</v>
      </c>
      <c r="C45" s="5"/>
      <c r="D45" s="5"/>
      <c r="E45" s="145">
        <f>E9-'Cash Flow'!E33</f>
        <v>0</v>
      </c>
      <c r="F45" s="145">
        <f>F9-'Cash Flow'!F33</f>
        <v>0</v>
      </c>
      <c r="G45" s="145">
        <f>G9-'Cash Flow'!G33</f>
        <v>0</v>
      </c>
      <c r="H45" s="145">
        <f>H9-'Cash Flow'!H33</f>
        <v>0</v>
      </c>
      <c r="I45" s="145">
        <f>I9-'Cash Flow'!I33</f>
        <v>0</v>
      </c>
      <c r="J45" s="145">
        <f>J9-'Cash Flow'!J33</f>
        <v>0</v>
      </c>
      <c r="K45" s="145">
        <f>K9-'Cash Flow'!K33</f>
        <v>0</v>
      </c>
      <c r="L45" s="145">
        <f>L9-'Cash Flow'!L33</f>
        <v>0</v>
      </c>
      <c r="M45" s="145">
        <f>M9-'Cash Flow'!M33</f>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46"/>
  <sheetViews>
    <sheetView showGridLines="0" workbookViewId="0"/>
  </sheetViews>
  <sheetFormatPr baseColWidth="10" defaultColWidth="8.83203125" defaultRowHeight="14" x14ac:dyDescent="0.2"/>
  <cols>
    <col min="1" max="1" width="3.5" style="4" customWidth="1"/>
    <col min="2" max="2" width="35" style="4" customWidth="1"/>
    <col min="3" max="3" width="8" style="4" customWidth="1"/>
    <col min="4" max="13" width="12" style="4" customWidth="1"/>
    <col min="14" max="14" width="8.83203125" style="4" customWidth="1"/>
    <col min="15" max="15" width="50" style="5" customWidth="1"/>
    <col min="16" max="17" width="8.83203125" style="4" customWidth="1"/>
    <col min="18" max="16384" width="8.83203125" style="4"/>
  </cols>
  <sheetData>
    <row r="2" spans="2:15" ht="19" customHeight="1" x14ac:dyDescent="0.2">
      <c r="B2" s="2" t="s">
        <v>217</v>
      </c>
    </row>
    <row r="3" spans="2:15" x14ac:dyDescent="0.2">
      <c r="B3" s="1" t="s">
        <v>0</v>
      </c>
    </row>
    <row r="4" spans="2:15" x14ac:dyDescent="0.2">
      <c r="B4" s="1" t="s">
        <v>1</v>
      </c>
    </row>
    <row r="6" spans="2:15" ht="16" customHeight="1" x14ac:dyDescent="0.2">
      <c r="C6" s="239" t="s">
        <v>13</v>
      </c>
      <c r="D6" s="240" t="s">
        <v>443</v>
      </c>
      <c r="E6" s="240" t="s">
        <v>444</v>
      </c>
      <c r="F6" s="240" t="s">
        <v>445</v>
      </c>
      <c r="G6" s="240" t="s">
        <v>446</v>
      </c>
      <c r="H6" s="240" t="s">
        <v>439</v>
      </c>
      <c r="I6" s="241" t="s">
        <v>447</v>
      </c>
      <c r="J6" s="241" t="s">
        <v>448</v>
      </c>
      <c r="K6" s="241" t="s">
        <v>449</v>
      </c>
      <c r="L6" s="241" t="s">
        <v>450</v>
      </c>
      <c r="M6" s="241" t="s">
        <v>451</v>
      </c>
      <c r="O6" s="15" t="s">
        <v>95</v>
      </c>
    </row>
    <row r="8" spans="2:15" ht="16" customHeight="1" thickBot="1" x14ac:dyDescent="0.25">
      <c r="B8" s="178" t="s">
        <v>218</v>
      </c>
      <c r="C8" s="243"/>
      <c r="D8" s="244"/>
      <c r="E8" s="244"/>
      <c r="F8" s="244"/>
      <c r="G8" s="244"/>
      <c r="H8" s="244"/>
      <c r="I8" s="244"/>
      <c r="J8" s="244"/>
      <c r="K8" s="244"/>
      <c r="L8" s="244"/>
      <c r="M8" s="244"/>
    </row>
    <row r="9" spans="2:15" x14ac:dyDescent="0.2">
      <c r="B9" s="70" t="s">
        <v>168</v>
      </c>
      <c r="C9" s="70" t="s">
        <v>25</v>
      </c>
      <c r="D9" s="71">
        <f>'Income Statement'!D36</f>
        <v>70.983599999999939</v>
      </c>
      <c r="E9" s="71">
        <f>'Income Statement'!E36</f>
        <v>108.02959999999999</v>
      </c>
      <c r="F9" s="71">
        <f>'Income Statement'!F36</f>
        <v>151.53760000000003</v>
      </c>
      <c r="G9" s="71">
        <f>'Income Statement'!G36</f>
        <v>173.71440000000001</v>
      </c>
      <c r="H9" s="71">
        <f>'Income Statement'!H36</f>
        <v>198.18040000000008</v>
      </c>
      <c r="I9" s="71">
        <f>'Income Statement'!I36</f>
        <v>218.231056</v>
      </c>
      <c r="J9" s="71">
        <f>'Income Statement'!J36</f>
        <v>235.99991204999998</v>
      </c>
      <c r="K9" s="71">
        <f>'Income Statement'!K36</f>
        <v>256.80297401999991</v>
      </c>
      <c r="L9" s="71">
        <f>'Income Statement'!L36</f>
        <v>273.79184019194497</v>
      </c>
      <c r="M9" s="71">
        <f>'Income Statement'!M36</f>
        <v>289.95894837112593</v>
      </c>
    </row>
    <row r="10" spans="2:15" x14ac:dyDescent="0.2">
      <c r="B10" s="7" t="s">
        <v>172</v>
      </c>
      <c r="C10" s="7" t="s">
        <v>25</v>
      </c>
      <c r="D10" s="13">
        <f>'Income Statement'!D45</f>
        <v>35.9</v>
      </c>
      <c r="E10" s="13">
        <f>'Income Statement'!E45</f>
        <v>34.6</v>
      </c>
      <c r="F10" s="13">
        <f>'Income Statement'!F45</f>
        <v>27</v>
      </c>
      <c r="G10" s="13">
        <f>'Income Statement'!G45</f>
        <v>18.5</v>
      </c>
      <c r="H10" s="13">
        <f>'Income Statement'!H45</f>
        <v>14.5</v>
      </c>
      <c r="I10" s="13">
        <f>'Income Statement'!I45</f>
        <v>13.224114</v>
      </c>
      <c r="J10" s="13">
        <f>'Income Statement'!J45</f>
        <v>11.978097374999999</v>
      </c>
      <c r="K10" s="13">
        <f>'Income Statement'!K45</f>
        <v>11.180138079500001</v>
      </c>
      <c r="L10" s="13">
        <f>'Income Statement'!L45</f>
        <v>11.02092936987</v>
      </c>
      <c r="M10" s="13">
        <f>'Income Statement'!M45</f>
        <v>10.704043774937976</v>
      </c>
      <c r="O10" s="5" t="s">
        <v>338</v>
      </c>
    </row>
    <row r="11" spans="2:15" x14ac:dyDescent="0.2">
      <c r="B11" s="7" t="s">
        <v>175</v>
      </c>
      <c r="C11" s="7" t="s">
        <v>25</v>
      </c>
      <c r="D11" s="13">
        <f>'Income Statement'!D48</f>
        <v>67.599999999999994</v>
      </c>
      <c r="E11" s="13">
        <f>'Income Statement'!E48</f>
        <v>53.4</v>
      </c>
      <c r="F11" s="13">
        <f>'Income Statement'!F48</f>
        <v>69.099999999999994</v>
      </c>
      <c r="G11" s="13">
        <f>'Income Statement'!G48</f>
        <v>77.099999999999994</v>
      </c>
      <c r="H11" s="13">
        <f>'Income Statement'!H48</f>
        <v>77</v>
      </c>
      <c r="I11" s="13">
        <f>'Income Statement'!I48</f>
        <v>84.487394999999992</v>
      </c>
      <c r="J11" s="13">
        <f>'Income Statement'!J48</f>
        <v>87.839380750000004</v>
      </c>
      <c r="K11" s="13">
        <f>'Income Statement'!K48</f>
        <v>90.301115257499987</v>
      </c>
      <c r="L11" s="13">
        <f>'Income Statement'!L48</f>
        <v>91.841078082250007</v>
      </c>
      <c r="M11" s="13">
        <f>'Income Statement'!M48</f>
        <v>97.309488863072488</v>
      </c>
      <c r="O11" s="5" t="s">
        <v>339</v>
      </c>
    </row>
    <row r="12" spans="2:15" x14ac:dyDescent="0.2">
      <c r="B12" s="7" t="s">
        <v>219</v>
      </c>
      <c r="C12" s="7" t="s">
        <v>25</v>
      </c>
      <c r="D12" s="72">
        <v>-9.1999999999999993</v>
      </c>
      <c r="E12" s="72">
        <v>-13.4</v>
      </c>
      <c r="F12" s="72">
        <v>-25</v>
      </c>
      <c r="G12" s="72">
        <v>-19.100000000000001</v>
      </c>
      <c r="H12" s="72">
        <v>-7.7</v>
      </c>
      <c r="I12" s="13">
        <f>-('Balance Sheet'!I11-'Balance Sheet'!H11)</f>
        <v>-16.190654794520555</v>
      </c>
      <c r="J12" s="13">
        <f>-('Balance Sheet'!J11-'Balance Sheet'!I11)</f>
        <v>-16.272917054794505</v>
      </c>
      <c r="K12" s="13">
        <f>-('Balance Sheet'!K11-'Balance Sheet'!J11)</f>
        <v>-15.662422121917814</v>
      </c>
      <c r="L12" s="13">
        <f>-('Balance Sheet'!L11-'Balance Sheet'!K11)</f>
        <v>-14.880040594500002</v>
      </c>
      <c r="M12" s="13">
        <f>-('Balance Sheet'!M11-'Balance Sheet'!L11)</f>
        <v>-13.933211030588808</v>
      </c>
      <c r="O12" s="1" t="s">
        <v>220</v>
      </c>
    </row>
    <row r="13" spans="2:15" x14ac:dyDescent="0.2">
      <c r="B13" s="7" t="s">
        <v>221</v>
      </c>
      <c r="C13" s="7" t="s">
        <v>25</v>
      </c>
      <c r="D13" s="72">
        <v>46.6</v>
      </c>
      <c r="E13" s="72">
        <v>25.2</v>
      </c>
      <c r="F13" s="72">
        <v>47.7</v>
      </c>
      <c r="G13" s="72">
        <v>30.8</v>
      </c>
      <c r="H13" s="72">
        <v>21.7</v>
      </c>
      <c r="I13" s="13">
        <f>('Balance Sheet'!I25+'Balance Sheet'!I30)-('Balance Sheet'!H25+'Balance Sheet'!H30)</f>
        <v>23.40379999999999</v>
      </c>
      <c r="J13" s="13">
        <f>('Balance Sheet'!J25+'Balance Sheet'!J30)-('Balance Sheet'!I25+'Balance Sheet'!I30)</f>
        <v>38.320094999999981</v>
      </c>
      <c r="K13" s="13">
        <f>('Balance Sheet'!K25+'Balance Sheet'!K30)-('Balance Sheet'!J25+'Balance Sheet'!J30)</f>
        <v>36.882477900000083</v>
      </c>
      <c r="L13" s="13">
        <f>('Balance Sheet'!L25+'Balance Sheet'!L30)-('Balance Sheet'!K25+'Balance Sheet'!K30)</f>
        <v>35.040095593500041</v>
      </c>
      <c r="M13" s="13">
        <f>('Balance Sheet'!M25+'Balance Sheet'!M30)-('Balance Sheet'!L25+'Balance Sheet'!L30)</f>
        <v>32.810464684934914</v>
      </c>
      <c r="O13" s="1" t="s">
        <v>222</v>
      </c>
    </row>
    <row r="14" spans="2:15" x14ac:dyDescent="0.2">
      <c r="B14" s="7" t="s">
        <v>223</v>
      </c>
      <c r="C14" s="7" t="s">
        <v>25</v>
      </c>
      <c r="D14" s="73">
        <f>D15-D9-D10-D11-D12-D13</f>
        <v>-11.283599999999943</v>
      </c>
      <c r="E14" s="73">
        <f>E15-E9-E10-E11-E12-E13</f>
        <v>-8.9295999999999829</v>
      </c>
      <c r="F14" s="73">
        <f>F15-F9-F10-F11-F12-F13</f>
        <v>-25.737600000000029</v>
      </c>
      <c r="G14" s="73">
        <f>G15-G9-G10-G11-G12-G13</f>
        <v>-36.914400000000015</v>
      </c>
      <c r="H14" s="73">
        <f>H15-H9-H10-H11-H12-H13</f>
        <v>5.7195999999999003</v>
      </c>
      <c r="I14" s="123">
        <f>'Income Statement'!I9*-0.01</f>
        <v>-7.34673</v>
      </c>
      <c r="J14" s="123">
        <f>'Income Statement'!J9*-0.01</f>
        <v>-7.9853982499999994</v>
      </c>
      <c r="K14" s="123">
        <f>'Income Statement'!K9*-0.01</f>
        <v>-8.6001062150000003</v>
      </c>
      <c r="L14" s="123">
        <f>'Income Statement'!L9*-0.01</f>
        <v>-9.1841078082250007</v>
      </c>
      <c r="M14" s="123">
        <f>'Income Statement'!M9*-0.01</f>
        <v>-9.7309488863072495</v>
      </c>
      <c r="O14" s="1" t="s">
        <v>333</v>
      </c>
    </row>
    <row r="15" spans="2:15" x14ac:dyDescent="0.2">
      <c r="B15" s="266" t="s">
        <v>224</v>
      </c>
      <c r="C15" s="266" t="s">
        <v>25</v>
      </c>
      <c r="D15" s="267">
        <v>200.6</v>
      </c>
      <c r="E15" s="267">
        <v>198.9</v>
      </c>
      <c r="F15" s="267">
        <v>244.6</v>
      </c>
      <c r="G15" s="267">
        <v>244.1</v>
      </c>
      <c r="H15" s="267">
        <v>309.39999999999998</v>
      </c>
      <c r="I15" s="267">
        <f>I9+I10+I11+I12+I13+I14</f>
        <v>315.80898020547949</v>
      </c>
      <c r="J15" s="267">
        <f>J9+J10+J11+J12+J13+J14</f>
        <v>349.87916987020549</v>
      </c>
      <c r="K15" s="267">
        <f>K9+K10+K11+K12+K13+K14</f>
        <v>370.90417692008219</v>
      </c>
      <c r="L15" s="267">
        <f>L9+L10+L11+L12+L13+L14</f>
        <v>387.62979483484003</v>
      </c>
      <c r="M15" s="267">
        <f>M9+M10+M11+M12+M13+M14</f>
        <v>407.11878577717528</v>
      </c>
      <c r="O15" s="1" t="s">
        <v>225</v>
      </c>
    </row>
    <row r="16" spans="2:15" x14ac:dyDescent="0.2">
      <c r="D16" s="76"/>
      <c r="E16" s="76"/>
      <c r="F16" s="76"/>
      <c r="G16" s="76"/>
      <c r="H16" s="76"/>
      <c r="I16" s="76"/>
      <c r="J16" s="76"/>
      <c r="K16" s="76"/>
      <c r="L16" s="76"/>
      <c r="M16" s="76"/>
    </row>
    <row r="17" spans="2:15" ht="16" customHeight="1" thickBot="1" x14ac:dyDescent="0.25">
      <c r="B17" s="178" t="s">
        <v>226</v>
      </c>
      <c r="C17" s="243"/>
      <c r="D17" s="258"/>
      <c r="E17" s="258"/>
      <c r="F17" s="258"/>
      <c r="G17" s="258"/>
      <c r="H17" s="258"/>
      <c r="I17" s="258"/>
      <c r="J17" s="258"/>
      <c r="K17" s="258"/>
      <c r="L17" s="258"/>
      <c r="M17" s="258"/>
    </row>
    <row r="18" spans="2:15" x14ac:dyDescent="0.2">
      <c r="B18" s="70" t="s">
        <v>227</v>
      </c>
      <c r="C18" s="70" t="s">
        <v>25</v>
      </c>
      <c r="D18" s="74">
        <v>-24.4</v>
      </c>
      <c r="E18" s="74">
        <v>-15.4</v>
      </c>
      <c r="F18" s="74">
        <v>-8.8000000000000007</v>
      </c>
      <c r="G18" s="74">
        <v>-12.3</v>
      </c>
      <c r="H18" s="74">
        <v>-5</v>
      </c>
      <c r="I18" s="71">
        <f>-'Income Statement'!I9*Assumptions!I54/100</f>
        <v>-8.8160759999999989</v>
      </c>
      <c r="J18" s="71">
        <f>-'Income Statement'!J9*Assumptions!J54/100</f>
        <v>-9.5824778999999989</v>
      </c>
      <c r="K18" s="71">
        <f>-'Income Statement'!K9*Assumptions!K54/100</f>
        <v>-8.6001062150000003</v>
      </c>
      <c r="L18" s="71">
        <f>-'Income Statement'!L9*Assumptions!L54/100</f>
        <v>-9.1841078082250007</v>
      </c>
      <c r="M18" s="71">
        <f>-'Income Statement'!M9*Assumptions!M54/100</f>
        <v>-9.7309488863072495</v>
      </c>
      <c r="O18" s="1" t="s">
        <v>228</v>
      </c>
    </row>
    <row r="19" spans="2:15" x14ac:dyDescent="0.2">
      <c r="B19" s="7" t="s">
        <v>229</v>
      </c>
      <c r="C19" s="7" t="s">
        <v>25</v>
      </c>
      <c r="D19" s="72">
        <v>-1.2</v>
      </c>
      <c r="E19" s="72">
        <v>-8.6</v>
      </c>
      <c r="F19" s="72">
        <v>0</v>
      </c>
      <c r="G19" s="72">
        <v>0</v>
      </c>
      <c r="H19" s="72">
        <v>0</v>
      </c>
      <c r="I19" s="72">
        <v>0</v>
      </c>
      <c r="J19" s="72">
        <v>0</v>
      </c>
      <c r="K19" s="72">
        <v>0</v>
      </c>
      <c r="L19" s="72">
        <v>0</v>
      </c>
      <c r="M19" s="72">
        <v>0</v>
      </c>
    </row>
    <row r="20" spans="2:15" x14ac:dyDescent="0.2">
      <c r="B20" s="7" t="s">
        <v>230</v>
      </c>
      <c r="C20" s="7" t="s">
        <v>25</v>
      </c>
      <c r="D20" s="73">
        <f>D21-D18-D19</f>
        <v>-3.9000000000000012</v>
      </c>
      <c r="E20" s="73">
        <f>E21-E18-E19</f>
        <v>169.1</v>
      </c>
      <c r="F20" s="73">
        <f>F21-F18-F19</f>
        <v>-64.400000000000006</v>
      </c>
      <c r="G20" s="73">
        <f>G21-G18-G19</f>
        <v>-59.100000000000009</v>
      </c>
      <c r="H20" s="73">
        <f>H21-H18-H19</f>
        <v>-100.9</v>
      </c>
      <c r="I20" s="73">
        <f>-I15*0.15</f>
        <v>-47.371347030821923</v>
      </c>
      <c r="J20" s="73">
        <f>-J15*0.15</f>
        <v>-52.481875480530825</v>
      </c>
      <c r="K20" s="73">
        <f>-K15*0.15</f>
        <v>-55.635626538012325</v>
      </c>
      <c r="L20" s="73">
        <f>-L15*0.15</f>
        <v>-58.144469225226004</v>
      </c>
      <c r="M20" s="73">
        <f>-M15*0.15</f>
        <v>-61.067817866576291</v>
      </c>
      <c r="O20" s="1" t="s">
        <v>340</v>
      </c>
    </row>
    <row r="21" spans="2:15" x14ac:dyDescent="0.2">
      <c r="B21" s="266" t="s">
        <v>231</v>
      </c>
      <c r="C21" s="266" t="s">
        <v>25</v>
      </c>
      <c r="D21" s="267">
        <v>-29.5</v>
      </c>
      <c r="E21" s="267">
        <v>145.1</v>
      </c>
      <c r="F21" s="267">
        <v>-73.2</v>
      </c>
      <c r="G21" s="267">
        <v>-71.400000000000006</v>
      </c>
      <c r="H21" s="267">
        <v>-105.9</v>
      </c>
      <c r="I21" s="267">
        <f>I18+I19+I20</f>
        <v>-56.187423030821918</v>
      </c>
      <c r="J21" s="267">
        <f>J18+J19+J20</f>
        <v>-62.064353380530825</v>
      </c>
      <c r="K21" s="267">
        <f>K18+K19+K20</f>
        <v>-64.235732753012329</v>
      </c>
      <c r="L21" s="267">
        <f>L18+L19+L20</f>
        <v>-67.328577033451012</v>
      </c>
      <c r="M21" s="267">
        <f>M18+M19+M20</f>
        <v>-70.798766752883537</v>
      </c>
    </row>
    <row r="22" spans="2:15" x14ac:dyDescent="0.2">
      <c r="D22" s="76"/>
      <c r="E22" s="76"/>
      <c r="F22" s="76"/>
      <c r="G22" s="76"/>
      <c r="H22" s="76"/>
      <c r="I22" s="76"/>
      <c r="J22" s="76"/>
      <c r="K22" s="76"/>
      <c r="L22" s="76"/>
      <c r="M22" s="76"/>
    </row>
    <row r="23" spans="2:15" ht="16" customHeight="1" thickBot="1" x14ac:dyDescent="0.25">
      <c r="B23" s="178" t="s">
        <v>232</v>
      </c>
      <c r="C23" s="243"/>
      <c r="D23" s="258"/>
      <c r="E23" s="258"/>
      <c r="F23" s="258"/>
      <c r="G23" s="258"/>
      <c r="H23" s="258"/>
      <c r="I23" s="258"/>
      <c r="J23" s="258"/>
      <c r="K23" s="258"/>
      <c r="L23" s="258"/>
      <c r="M23" s="258"/>
    </row>
    <row r="24" spans="2:15" x14ac:dyDescent="0.2">
      <c r="B24" s="70" t="s">
        <v>131</v>
      </c>
      <c r="C24" s="70" t="s">
        <v>25</v>
      </c>
      <c r="D24" s="259">
        <v>-130</v>
      </c>
      <c r="E24" s="259">
        <v>-317.3</v>
      </c>
      <c r="F24" s="259">
        <v>-170.8</v>
      </c>
      <c r="G24" s="259">
        <v>-139.9</v>
      </c>
      <c r="H24" s="259">
        <v>-183.4</v>
      </c>
      <c r="I24" s="260">
        <f>-Assumptions!I62</f>
        <v>-184.19574252328769</v>
      </c>
      <c r="J24" s="260">
        <f>-Assumptions!J62</f>
        <v>-221.19284978063357</v>
      </c>
      <c r="K24" s="260">
        <f>-Assumptions!K62</f>
        <v>-253.61284949355752</v>
      </c>
      <c r="L24" s="260">
        <f>-Assumptions!L62</f>
        <v>-283.83426526996129</v>
      </c>
      <c r="M24" s="260">
        <f>-Assumptions!M62</f>
        <v>-317.91026951269441</v>
      </c>
      <c r="O24" s="5" t="s">
        <v>341</v>
      </c>
    </row>
    <row r="25" spans="2:15" x14ac:dyDescent="0.2">
      <c r="B25" s="7" t="s">
        <v>233</v>
      </c>
      <c r="C25" s="7" t="s">
        <v>25</v>
      </c>
      <c r="D25" s="72">
        <v>0</v>
      </c>
      <c r="E25" s="72">
        <v>0</v>
      </c>
      <c r="F25" s="72">
        <v>0</v>
      </c>
      <c r="G25" s="72">
        <v>0</v>
      </c>
      <c r="H25" s="72">
        <v>0</v>
      </c>
      <c r="I25" s="72">
        <v>0</v>
      </c>
      <c r="J25" s="72">
        <v>0</v>
      </c>
      <c r="K25" s="72">
        <v>0</v>
      </c>
      <c r="L25" s="72">
        <v>0</v>
      </c>
      <c r="M25" s="72">
        <v>0</v>
      </c>
      <c r="O25" s="5" t="s">
        <v>299</v>
      </c>
    </row>
    <row r="26" spans="2:15" x14ac:dyDescent="0.2">
      <c r="B26" s="7" t="s">
        <v>234</v>
      </c>
      <c r="C26" s="7" t="s">
        <v>25</v>
      </c>
      <c r="D26" s="72">
        <v>0</v>
      </c>
      <c r="E26" s="72">
        <v>0</v>
      </c>
      <c r="F26" s="72">
        <v>0</v>
      </c>
      <c r="G26" s="72">
        <v>0</v>
      </c>
      <c r="H26" s="72">
        <v>0</v>
      </c>
      <c r="I26" s="72">
        <v>0</v>
      </c>
      <c r="J26" s="72">
        <v>0</v>
      </c>
      <c r="K26" s="72">
        <v>0</v>
      </c>
      <c r="L26" s="72">
        <v>0</v>
      </c>
      <c r="M26" s="72">
        <v>0</v>
      </c>
      <c r="O26" s="5" t="s">
        <v>298</v>
      </c>
    </row>
    <row r="27" spans="2:15" x14ac:dyDescent="0.2">
      <c r="B27" s="7" t="s">
        <v>235</v>
      </c>
      <c r="C27" s="7" t="s">
        <v>25</v>
      </c>
      <c r="D27" s="72">
        <v>22.1</v>
      </c>
      <c r="E27" s="72">
        <v>11.3</v>
      </c>
      <c r="F27" s="72">
        <v>29.3</v>
      </c>
      <c r="G27" s="72">
        <v>-5.8</v>
      </c>
      <c r="H27" s="72">
        <v>-2</v>
      </c>
      <c r="I27" s="72">
        <v>-5</v>
      </c>
      <c r="J27" s="72">
        <v>-5</v>
      </c>
      <c r="K27" s="72">
        <v>-5</v>
      </c>
      <c r="L27" s="72">
        <v>-5</v>
      </c>
      <c r="M27" s="72">
        <v>-5</v>
      </c>
      <c r="O27" s="1" t="s">
        <v>236</v>
      </c>
    </row>
    <row r="28" spans="2:15" x14ac:dyDescent="0.2">
      <c r="B28" s="268" t="s">
        <v>237</v>
      </c>
      <c r="C28" s="268" t="s">
        <v>25</v>
      </c>
      <c r="D28" s="255">
        <f t="shared" ref="D28:M28" si="0">D24+D25+D26+D27</f>
        <v>-107.9</v>
      </c>
      <c r="E28" s="255">
        <f t="shared" si="0"/>
        <v>-306</v>
      </c>
      <c r="F28" s="255">
        <f t="shared" si="0"/>
        <v>-141.5</v>
      </c>
      <c r="G28" s="255">
        <f t="shared" si="0"/>
        <v>-145.70000000000002</v>
      </c>
      <c r="H28" s="255">
        <f t="shared" si="0"/>
        <v>-185.4</v>
      </c>
      <c r="I28" s="255">
        <f t="shared" si="0"/>
        <v>-189.19574252328769</v>
      </c>
      <c r="J28" s="255">
        <f t="shared" si="0"/>
        <v>-226.19284978063357</v>
      </c>
      <c r="K28" s="255">
        <f t="shared" si="0"/>
        <v>-258.61284949355752</v>
      </c>
      <c r="L28" s="255">
        <f t="shared" si="0"/>
        <v>-288.83426526996129</v>
      </c>
      <c r="M28" s="255">
        <f t="shared" si="0"/>
        <v>-322.91026951269441</v>
      </c>
    </row>
    <row r="29" spans="2:15" x14ac:dyDescent="0.2">
      <c r="D29" s="76"/>
      <c r="E29" s="76"/>
      <c r="F29" s="76"/>
      <c r="G29" s="76"/>
      <c r="H29" s="76"/>
      <c r="I29" s="76"/>
      <c r="J29" s="76"/>
      <c r="K29" s="76"/>
      <c r="L29" s="76"/>
      <c r="M29" s="76"/>
    </row>
    <row r="30" spans="2:15" ht="16" customHeight="1" thickBot="1" x14ac:dyDescent="0.25">
      <c r="B30" s="178" t="s">
        <v>238</v>
      </c>
      <c r="C30" s="243"/>
      <c r="D30" s="258"/>
      <c r="E30" s="258"/>
      <c r="F30" s="258"/>
      <c r="G30" s="258"/>
      <c r="H30" s="258"/>
      <c r="I30" s="258"/>
      <c r="J30" s="258"/>
      <c r="K30" s="258"/>
      <c r="L30" s="258"/>
      <c r="M30" s="258"/>
    </row>
    <row r="31" spans="2:15" x14ac:dyDescent="0.2">
      <c r="B31" s="70" t="s">
        <v>239</v>
      </c>
      <c r="C31" s="70" t="s">
        <v>25</v>
      </c>
      <c r="D31" s="75">
        <f t="shared" ref="D31:M31" si="1">D15+D21+D28</f>
        <v>63.199999999999989</v>
      </c>
      <c r="E31" s="75">
        <f>E15+E21+E28</f>
        <v>38</v>
      </c>
      <c r="F31" s="75">
        <f t="shared" si="1"/>
        <v>29.899999999999977</v>
      </c>
      <c r="G31" s="75">
        <f t="shared" si="1"/>
        <v>26.999999999999972</v>
      </c>
      <c r="H31" s="75">
        <f t="shared" si="1"/>
        <v>18.099999999999966</v>
      </c>
      <c r="I31" s="75">
        <f t="shared" si="1"/>
        <v>70.425814651369905</v>
      </c>
      <c r="J31" s="75">
        <f t="shared" si="1"/>
        <v>61.621966709041118</v>
      </c>
      <c r="K31" s="75">
        <f t="shared" si="1"/>
        <v>48.05559467351236</v>
      </c>
      <c r="L31" s="75">
        <f t="shared" si="1"/>
        <v>31.466952531427751</v>
      </c>
      <c r="M31" s="75">
        <f t="shared" si="1"/>
        <v>13.40974951159734</v>
      </c>
    </row>
    <row r="32" spans="2:15" x14ac:dyDescent="0.2">
      <c r="B32" s="7" t="s">
        <v>240</v>
      </c>
      <c r="C32" s="7" t="s">
        <v>25</v>
      </c>
      <c r="D32" s="72">
        <v>75.3</v>
      </c>
      <c r="E32" s="72">
        <v>138.5</v>
      </c>
      <c r="F32" s="72">
        <v>176.4</v>
      </c>
      <c r="G32" s="72">
        <v>206.4</v>
      </c>
      <c r="H32" s="72">
        <v>233.4</v>
      </c>
      <c r="I32" s="73">
        <f>H33</f>
        <v>251.49999999999997</v>
      </c>
      <c r="J32" s="73">
        <f>I33</f>
        <v>321.92581465136988</v>
      </c>
      <c r="K32" s="73">
        <f>J33</f>
        <v>383.54778136041102</v>
      </c>
      <c r="L32" s="73">
        <f>K33</f>
        <v>431.60337603392338</v>
      </c>
      <c r="M32" s="73">
        <f>L33</f>
        <v>463.07032856535113</v>
      </c>
    </row>
    <row r="33" spans="2:15" x14ac:dyDescent="0.2">
      <c r="B33" s="268" t="s">
        <v>241</v>
      </c>
      <c r="C33" s="268" t="s">
        <v>25</v>
      </c>
      <c r="D33" s="255">
        <f t="shared" ref="D33:M33" si="2">D32+D31</f>
        <v>138.5</v>
      </c>
      <c r="E33" s="255">
        <f t="shared" si="2"/>
        <v>176.5</v>
      </c>
      <c r="F33" s="255">
        <f t="shared" si="2"/>
        <v>206.29999999999998</v>
      </c>
      <c r="G33" s="255">
        <f t="shared" si="2"/>
        <v>233.39999999999998</v>
      </c>
      <c r="H33" s="255">
        <f t="shared" si="2"/>
        <v>251.49999999999997</v>
      </c>
      <c r="I33" s="255">
        <f t="shared" si="2"/>
        <v>321.92581465136988</v>
      </c>
      <c r="J33" s="255">
        <f t="shared" si="2"/>
        <v>383.54778136041102</v>
      </c>
      <c r="K33" s="255">
        <f t="shared" si="2"/>
        <v>431.60337603392338</v>
      </c>
      <c r="L33" s="255">
        <f t="shared" si="2"/>
        <v>463.07032856535113</v>
      </c>
      <c r="M33" s="255">
        <f t="shared" si="2"/>
        <v>476.48007807694847</v>
      </c>
      <c r="O33" s="1" t="s">
        <v>342</v>
      </c>
    </row>
    <row r="34" spans="2:15" x14ac:dyDescent="0.2">
      <c r="D34" s="76"/>
      <c r="E34" s="76"/>
      <c r="F34" s="76"/>
      <c r="G34" s="76"/>
      <c r="H34" s="76"/>
      <c r="I34" s="76"/>
      <c r="J34" s="76"/>
      <c r="K34" s="76"/>
      <c r="L34" s="76"/>
      <c r="M34" s="76"/>
    </row>
    <row r="35" spans="2:15" ht="16" customHeight="1" thickBot="1" x14ac:dyDescent="0.25">
      <c r="B35" s="178" t="s">
        <v>242</v>
      </c>
      <c r="C35" s="243"/>
      <c r="D35" s="258"/>
      <c r="E35" s="258"/>
      <c r="F35" s="258"/>
      <c r="G35" s="258"/>
      <c r="H35" s="258"/>
      <c r="I35" s="258"/>
      <c r="J35" s="258"/>
      <c r="K35" s="258"/>
      <c r="L35" s="258"/>
      <c r="M35" s="258"/>
    </row>
    <row r="36" spans="2:15" x14ac:dyDescent="0.2">
      <c r="B36" s="70" t="s">
        <v>243</v>
      </c>
      <c r="C36" s="70" t="s">
        <v>25</v>
      </c>
      <c r="D36" s="75">
        <f t="shared" ref="D36:M36" si="3">D15</f>
        <v>200.6</v>
      </c>
      <c r="E36" s="75">
        <f t="shared" si="3"/>
        <v>198.9</v>
      </c>
      <c r="F36" s="75">
        <f t="shared" si="3"/>
        <v>244.6</v>
      </c>
      <c r="G36" s="75">
        <f t="shared" si="3"/>
        <v>244.1</v>
      </c>
      <c r="H36" s="75">
        <f t="shared" si="3"/>
        <v>309.39999999999998</v>
      </c>
      <c r="I36" s="75">
        <f t="shared" si="3"/>
        <v>315.80898020547949</v>
      </c>
      <c r="J36" s="75">
        <f t="shared" si="3"/>
        <v>349.87916987020549</v>
      </c>
      <c r="K36" s="75">
        <f t="shared" si="3"/>
        <v>370.90417692008219</v>
      </c>
      <c r="L36" s="75">
        <f t="shared" si="3"/>
        <v>387.62979483484003</v>
      </c>
      <c r="M36" s="75">
        <f t="shared" si="3"/>
        <v>407.11878577717528</v>
      </c>
    </row>
    <row r="37" spans="2:15" x14ac:dyDescent="0.2">
      <c r="B37" s="7" t="s">
        <v>244</v>
      </c>
      <c r="C37" s="7" t="s">
        <v>25</v>
      </c>
      <c r="D37" s="73">
        <f t="shared" ref="D37:M37" si="4">D18</f>
        <v>-24.4</v>
      </c>
      <c r="E37" s="73">
        <f t="shared" si="4"/>
        <v>-15.4</v>
      </c>
      <c r="F37" s="73">
        <f t="shared" si="4"/>
        <v>-8.8000000000000007</v>
      </c>
      <c r="G37" s="73">
        <f t="shared" si="4"/>
        <v>-12.3</v>
      </c>
      <c r="H37" s="73">
        <f t="shared" si="4"/>
        <v>-5</v>
      </c>
      <c r="I37" s="73">
        <f t="shared" si="4"/>
        <v>-8.8160759999999989</v>
      </c>
      <c r="J37" s="73">
        <f t="shared" si="4"/>
        <v>-9.5824778999999989</v>
      </c>
      <c r="K37" s="73">
        <f t="shared" si="4"/>
        <v>-8.6001062150000003</v>
      </c>
      <c r="L37" s="73">
        <f t="shared" si="4"/>
        <v>-9.1841078082250007</v>
      </c>
      <c r="M37" s="73">
        <f t="shared" si="4"/>
        <v>-9.7309488863072495</v>
      </c>
    </row>
    <row r="38" spans="2:15" x14ac:dyDescent="0.2">
      <c r="B38" s="7" t="s">
        <v>245</v>
      </c>
      <c r="C38" s="7" t="s">
        <v>25</v>
      </c>
      <c r="D38" s="73">
        <f t="shared" ref="D38:M38" si="5">D36+D37</f>
        <v>176.2</v>
      </c>
      <c r="E38" s="73">
        <f t="shared" si="5"/>
        <v>183.5</v>
      </c>
      <c r="F38" s="73">
        <f t="shared" si="5"/>
        <v>235.79999999999998</v>
      </c>
      <c r="G38" s="73">
        <f t="shared" si="5"/>
        <v>231.79999999999998</v>
      </c>
      <c r="H38" s="73">
        <f t="shared" si="5"/>
        <v>304.39999999999998</v>
      </c>
      <c r="I38" s="73">
        <f t="shared" si="5"/>
        <v>306.99290420547948</v>
      </c>
      <c r="J38" s="73">
        <f t="shared" si="5"/>
        <v>340.29669197020547</v>
      </c>
      <c r="K38" s="73">
        <f t="shared" si="5"/>
        <v>362.30407070508221</v>
      </c>
      <c r="L38" s="73">
        <f t="shared" si="5"/>
        <v>378.44568702661502</v>
      </c>
      <c r="M38" s="73">
        <f t="shared" si="5"/>
        <v>397.38783689086802</v>
      </c>
    </row>
    <row r="39" spans="2:15" x14ac:dyDescent="0.2">
      <c r="B39" s="7" t="s">
        <v>246</v>
      </c>
      <c r="C39" s="7" t="s">
        <v>3</v>
      </c>
      <c r="D39" s="13">
        <f>D38/'Income Statement'!D9*100</f>
        <v>42.850194552529182</v>
      </c>
      <c r="E39" s="13">
        <f>E38/'Income Statement'!E9*100</f>
        <v>37.47192158464366</v>
      </c>
      <c r="F39" s="13">
        <f>F38/'Income Statement'!F9*100</f>
        <v>42.524797114517582</v>
      </c>
      <c r="G39" s="13">
        <f>G38/'Income Statement'!G9*100</f>
        <v>38.150098749177083</v>
      </c>
      <c r="H39" s="13">
        <f>H38/'Income Statement'!H9*100</f>
        <v>45.493947093110144</v>
      </c>
      <c r="I39" s="13">
        <f>I38/'Income Statement'!I9*100</f>
        <v>41.786332722922914</v>
      </c>
      <c r="J39" s="13">
        <f>J38/'Income Statement'!J9*100</f>
        <v>42.614867952290979</v>
      </c>
      <c r="K39" s="13">
        <f>K38/'Income Statement'!K9*100</f>
        <v>42.12786001098037</v>
      </c>
      <c r="L39" s="13">
        <f>L38/'Income Statement'!L9*100</f>
        <v>41.206581513306155</v>
      </c>
      <c r="M39" s="13">
        <f>M38/'Income Statement'!M9*100</f>
        <v>40.837521760087135</v>
      </c>
    </row>
    <row r="40" spans="2:15" x14ac:dyDescent="0.2">
      <c r="B40" s="7" t="s">
        <v>247</v>
      </c>
      <c r="C40" s="7" t="s">
        <v>49</v>
      </c>
      <c r="D40" s="13">
        <f>D38/Assumptions!D64</f>
        <v>4.3940149625935154</v>
      </c>
      <c r="E40" s="13">
        <f>E38/Assumptions!E64</f>
        <v>4.6692111959287539</v>
      </c>
      <c r="F40" s="13">
        <f>F38/Assumptions!F64</f>
        <v>6.2712765957446805</v>
      </c>
      <c r="G40" s="13">
        <f>G38/Assumptions!G64</f>
        <v>6.1978609625668444</v>
      </c>
      <c r="H40" s="13">
        <f>H38/Assumptions!H64</f>
        <v>8.3397260273972602</v>
      </c>
      <c r="I40" s="13">
        <f>I38/Assumptions!I64</f>
        <v>8.7061301883751145</v>
      </c>
      <c r="J40" s="13">
        <f>J38/Assumptions!J64</f>
        <v>10.126207734243181</v>
      </c>
      <c r="K40" s="13">
        <f>K38/Assumptions!K64</f>
        <v>11.473550608760974</v>
      </c>
      <c r="L40" s="13">
        <f>L38/Assumptions!L64</f>
        <v>12.963615585647885</v>
      </c>
      <c r="M40" s="13">
        <f>M38/Assumptions!M64</f>
        <v>15.022291609217127</v>
      </c>
      <c r="O40" s="5" t="s">
        <v>343</v>
      </c>
    </row>
    <row r="41" spans="2:15" x14ac:dyDescent="0.2">
      <c r="D41" s="76"/>
      <c r="E41" s="76"/>
      <c r="F41" s="76"/>
      <c r="G41" s="76"/>
      <c r="H41" s="76"/>
      <c r="I41" s="76"/>
      <c r="J41" s="76"/>
      <c r="K41" s="76"/>
      <c r="L41" s="76"/>
      <c r="M41" s="76"/>
    </row>
    <row r="42" spans="2:15" x14ac:dyDescent="0.2">
      <c r="B42" s="269" t="s">
        <v>248</v>
      </c>
      <c r="C42" s="269" t="s">
        <v>25</v>
      </c>
      <c r="D42" s="270">
        <f t="shared" ref="D42:M42" si="6">D38-D11</f>
        <v>108.6</v>
      </c>
      <c r="E42" s="270">
        <f t="shared" si="6"/>
        <v>130.1</v>
      </c>
      <c r="F42" s="270">
        <f t="shared" si="6"/>
        <v>166.7</v>
      </c>
      <c r="G42" s="270">
        <f t="shared" si="6"/>
        <v>154.69999999999999</v>
      </c>
      <c r="H42" s="270">
        <f t="shared" si="6"/>
        <v>227.39999999999998</v>
      </c>
      <c r="I42" s="270">
        <f t="shared" si="6"/>
        <v>222.50550920547948</v>
      </c>
      <c r="J42" s="270">
        <f t="shared" si="6"/>
        <v>252.45731122020547</v>
      </c>
      <c r="K42" s="270">
        <f t="shared" si="6"/>
        <v>272.00295544758222</v>
      </c>
      <c r="L42" s="270">
        <f t="shared" si="6"/>
        <v>286.604608944365</v>
      </c>
      <c r="M42" s="270">
        <f t="shared" si="6"/>
        <v>300.07834802779553</v>
      </c>
      <c r="O42" s="1" t="s">
        <v>249</v>
      </c>
    </row>
    <row r="43" spans="2:15" x14ac:dyDescent="0.2">
      <c r="B43" s="79" t="s">
        <v>250</v>
      </c>
      <c r="C43" s="79" t="s">
        <v>3</v>
      </c>
      <c r="D43" s="80">
        <f>D42/'Income Statement'!D9*100</f>
        <v>26.410505836575876</v>
      </c>
      <c r="E43" s="80">
        <f>E42/'Income Statement'!E9*100</f>
        <v>26.567286093526647</v>
      </c>
      <c r="F43" s="80">
        <f>F42/'Income Statement'!F9*100</f>
        <v>30.063119927862935</v>
      </c>
      <c r="G43" s="80">
        <f>G42/'Income Statement'!G9*100</f>
        <v>25.460829493087555</v>
      </c>
      <c r="H43" s="80">
        <f>H42/'Income Statement'!H9*100</f>
        <v>33.985951277835895</v>
      </c>
      <c r="I43" s="80">
        <f>I42/'Income Statement'!I9*100</f>
        <v>30.286332722922914</v>
      </c>
      <c r="J43" s="80">
        <f>J42/'Income Statement'!J9*100</f>
        <v>31.614867952290982</v>
      </c>
      <c r="K43" s="80">
        <f>K42/'Income Statement'!K9*100</f>
        <v>31.62786001098037</v>
      </c>
      <c r="L43" s="80">
        <f>L42/'Income Statement'!L9*100</f>
        <v>31.206581513306155</v>
      </c>
      <c r="M43" s="80">
        <f>M42/'Income Statement'!M9*100</f>
        <v>30.837521760087139</v>
      </c>
    </row>
    <row r="46" spans="2:15" x14ac:dyDescent="0.2">
      <c r="B46" s="1"/>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4"/>
  <sheetViews>
    <sheetView showGridLines="0" zoomScaleNormal="100" workbookViewId="0"/>
  </sheetViews>
  <sheetFormatPr baseColWidth="10" defaultColWidth="8.83203125" defaultRowHeight="14" outlineLevelRow="1" x14ac:dyDescent="0.2"/>
  <cols>
    <col min="1" max="1" width="2.33203125" style="4" customWidth="1"/>
    <col min="2" max="2" width="35" style="4" customWidth="1"/>
    <col min="3" max="13" width="10.83203125" style="4" customWidth="1"/>
    <col min="14" max="14" width="8.83203125" style="4" customWidth="1"/>
    <col min="15" max="15" width="50" style="4" customWidth="1"/>
    <col min="16" max="17" width="8.83203125" style="4" customWidth="1"/>
    <col min="18" max="16384" width="8.83203125" style="4"/>
  </cols>
  <sheetData>
    <row r="2" spans="2:13" ht="19" customHeight="1" x14ac:dyDescent="0.2">
      <c r="B2" s="36" t="s">
        <v>303</v>
      </c>
    </row>
    <row r="3" spans="2:13" x14ac:dyDescent="0.2">
      <c r="B3" s="3" t="s">
        <v>0</v>
      </c>
    </row>
    <row r="4" spans="2:13" x14ac:dyDescent="0.2">
      <c r="B4" s="3" t="s">
        <v>1</v>
      </c>
    </row>
    <row r="5" spans="2:13" x14ac:dyDescent="0.2">
      <c r="B5" s="3"/>
    </row>
    <row r="6" spans="2:13" x14ac:dyDescent="0.2">
      <c r="B6" s="278" t="s">
        <v>430</v>
      </c>
    </row>
    <row r="7" spans="2:13" x14ac:dyDescent="0.2">
      <c r="B7" s="3" t="s">
        <v>534</v>
      </c>
    </row>
    <row r="8" spans="2:13" ht="41" customHeight="1" x14ac:dyDescent="0.2">
      <c r="B8" s="395" t="s">
        <v>431</v>
      </c>
      <c r="C8" s="395"/>
      <c r="D8" s="395"/>
      <c r="E8" s="395"/>
      <c r="F8" s="395"/>
      <c r="G8" s="395"/>
      <c r="H8" s="395"/>
      <c r="I8" s="395"/>
      <c r="J8" s="395"/>
    </row>
    <row r="10" spans="2:13" ht="16" customHeight="1" thickBot="1" x14ac:dyDescent="0.25">
      <c r="B10" s="271" t="s">
        <v>478</v>
      </c>
      <c r="C10" s="96"/>
      <c r="D10" s="133"/>
      <c r="E10" s="133"/>
      <c r="F10" s="133"/>
      <c r="G10" s="133"/>
      <c r="H10" s="133"/>
      <c r="I10" s="133"/>
      <c r="J10" s="133"/>
      <c r="K10" s="133"/>
      <c r="L10" s="133"/>
      <c r="M10" s="133"/>
    </row>
    <row r="11" spans="2:13" x14ac:dyDescent="0.2">
      <c r="B11" s="9" t="s">
        <v>2</v>
      </c>
      <c r="C11" s="38" t="s">
        <v>3</v>
      </c>
      <c r="D11" s="279">
        <f>Assumptions!D68</f>
        <v>4.3099999999999996</v>
      </c>
      <c r="E11" s="81"/>
      <c r="F11" s="81"/>
      <c r="G11" s="81"/>
      <c r="H11" s="81"/>
      <c r="I11" s="81"/>
      <c r="J11" s="81"/>
      <c r="K11" s="81"/>
      <c r="L11" s="81"/>
      <c r="M11" s="81"/>
    </row>
    <row r="12" spans="2:13" x14ac:dyDescent="0.2">
      <c r="B12" s="8" t="s">
        <v>4</v>
      </c>
      <c r="C12" s="43" t="s">
        <v>3</v>
      </c>
      <c r="D12" s="280">
        <f>Assumptions!D69</f>
        <v>5.5</v>
      </c>
      <c r="E12" s="6"/>
      <c r="F12" s="6"/>
      <c r="G12" s="6"/>
      <c r="H12" s="6"/>
      <c r="I12" s="6"/>
      <c r="J12" s="6"/>
      <c r="K12" s="6"/>
      <c r="L12" s="6"/>
      <c r="M12" s="6"/>
    </row>
    <row r="13" spans="2:13" x14ac:dyDescent="0.2">
      <c r="B13" s="8" t="s">
        <v>427</v>
      </c>
      <c r="C13" s="43" t="s">
        <v>5</v>
      </c>
      <c r="D13" s="147">
        <f>Assumptions!D71</f>
        <v>1</v>
      </c>
      <c r="E13" s="6"/>
      <c r="F13" s="6"/>
      <c r="G13" s="6"/>
      <c r="H13" s="6"/>
      <c r="I13" s="6"/>
      <c r="J13" s="6"/>
      <c r="K13" s="6"/>
      <c r="L13" s="6"/>
      <c r="M13" s="6"/>
    </row>
    <row r="14" spans="2:13" x14ac:dyDescent="0.2">
      <c r="B14" s="8" t="s">
        <v>6</v>
      </c>
      <c r="C14" s="43" t="s">
        <v>3</v>
      </c>
      <c r="D14" s="148">
        <f>Assumptions!D72</f>
        <v>9.8099999999999987</v>
      </c>
      <c r="E14" s="6"/>
      <c r="F14" s="6"/>
      <c r="G14" s="6"/>
      <c r="H14" s="6"/>
      <c r="I14" s="6"/>
      <c r="J14" s="6"/>
      <c r="K14" s="6"/>
      <c r="L14" s="6"/>
      <c r="M14" s="6"/>
    </row>
    <row r="15" spans="2:13" x14ac:dyDescent="0.2">
      <c r="B15" s="8" t="s">
        <v>7</v>
      </c>
      <c r="C15" s="43" t="s">
        <v>3</v>
      </c>
      <c r="D15" s="280">
        <f>Assumptions!D73</f>
        <v>0</v>
      </c>
      <c r="E15" s="6"/>
      <c r="F15" s="6"/>
      <c r="G15" s="6"/>
      <c r="H15" s="6"/>
      <c r="I15" s="6"/>
      <c r="J15" s="6"/>
      <c r="K15" s="6"/>
      <c r="L15" s="6"/>
      <c r="M15" s="6"/>
    </row>
    <row r="16" spans="2:13" x14ac:dyDescent="0.2">
      <c r="B16" s="8" t="s">
        <v>8</v>
      </c>
      <c r="C16" s="43" t="s">
        <v>3</v>
      </c>
      <c r="D16" s="82">
        <f>Assumptions!I48</f>
        <v>20</v>
      </c>
      <c r="E16" s="6"/>
      <c r="F16" s="6"/>
      <c r="G16" s="6"/>
      <c r="H16" s="6"/>
      <c r="I16" s="6"/>
      <c r="J16" s="6"/>
      <c r="K16" s="6"/>
      <c r="L16" s="6"/>
      <c r="M16" s="6"/>
    </row>
    <row r="17" spans="2:15" x14ac:dyDescent="0.2">
      <c r="B17" s="8" t="s">
        <v>9</v>
      </c>
      <c r="C17" s="43" t="s">
        <v>3</v>
      </c>
      <c r="D17" s="8">
        <f>D15*(1-D16/100)</f>
        <v>0</v>
      </c>
      <c r="E17" s="6"/>
      <c r="F17" s="6"/>
      <c r="G17" s="6"/>
      <c r="H17" s="6"/>
      <c r="I17" s="6"/>
      <c r="J17" s="6"/>
      <c r="K17" s="6"/>
      <c r="L17" s="6"/>
      <c r="M17" s="6"/>
    </row>
    <row r="18" spans="2:15" x14ac:dyDescent="0.2">
      <c r="B18" s="8" t="s">
        <v>10</v>
      </c>
      <c r="C18" s="43" t="s">
        <v>3</v>
      </c>
      <c r="D18" s="280">
        <f>Assumptions!D74</f>
        <v>0</v>
      </c>
      <c r="E18" s="6"/>
      <c r="F18" s="6"/>
      <c r="G18" s="6"/>
      <c r="H18" s="6"/>
      <c r="I18" s="6"/>
      <c r="J18" s="6"/>
      <c r="K18" s="6"/>
      <c r="L18" s="6"/>
      <c r="M18" s="6"/>
    </row>
    <row r="19" spans="2:15" x14ac:dyDescent="0.2">
      <c r="B19" s="8" t="s">
        <v>11</v>
      </c>
      <c r="C19" s="43" t="s">
        <v>3</v>
      </c>
      <c r="D19" s="8">
        <f>100-D18</f>
        <v>100</v>
      </c>
      <c r="E19" s="6"/>
      <c r="F19" s="6"/>
      <c r="G19" s="6"/>
      <c r="H19" s="6"/>
      <c r="I19" s="6"/>
      <c r="J19" s="6"/>
      <c r="K19" s="6"/>
      <c r="L19" s="6"/>
      <c r="M19" s="6"/>
    </row>
    <row r="20" spans="2:15" x14ac:dyDescent="0.2">
      <c r="B20" s="8" t="s">
        <v>12</v>
      </c>
      <c r="C20" s="43" t="s">
        <v>3</v>
      </c>
      <c r="D20" s="149">
        <f>Assumptions!D75</f>
        <v>9.8099999999999987</v>
      </c>
      <c r="E20" s="6"/>
      <c r="F20" s="6"/>
      <c r="G20" s="6"/>
      <c r="H20" s="6"/>
      <c r="I20" s="6"/>
      <c r="J20" s="6"/>
      <c r="K20" s="6"/>
      <c r="L20" s="6"/>
      <c r="M20" s="6"/>
      <c r="O20" s="3"/>
    </row>
    <row r="21" spans="2:15" x14ac:dyDescent="0.2">
      <c r="C21" s="281"/>
    </row>
    <row r="22" spans="2:15" ht="16" customHeight="1" thickBot="1" x14ac:dyDescent="0.25">
      <c r="B22" s="271" t="s">
        <v>477</v>
      </c>
      <c r="C22" s="96" t="s">
        <v>13</v>
      </c>
      <c r="D22" s="287" t="s">
        <v>443</v>
      </c>
      <c r="E22" s="287" t="s">
        <v>444</v>
      </c>
      <c r="F22" s="287" t="s">
        <v>445</v>
      </c>
      <c r="G22" s="287" t="s">
        <v>446</v>
      </c>
      <c r="H22" s="287" t="s">
        <v>439</v>
      </c>
      <c r="I22" s="288" t="s">
        <v>447</v>
      </c>
      <c r="J22" s="288" t="s">
        <v>448</v>
      </c>
      <c r="K22" s="288" t="s">
        <v>449</v>
      </c>
      <c r="L22" s="288" t="s">
        <v>450</v>
      </c>
      <c r="M22" s="288" t="s">
        <v>451</v>
      </c>
      <c r="O22" s="15" t="s">
        <v>95</v>
      </c>
    </row>
    <row r="23" spans="2:15" x14ac:dyDescent="0.2">
      <c r="B23" s="9" t="s">
        <v>24</v>
      </c>
      <c r="C23" s="9" t="s">
        <v>25</v>
      </c>
      <c r="D23" s="282"/>
      <c r="E23" s="282"/>
      <c r="F23" s="282"/>
      <c r="G23" s="282"/>
      <c r="H23" s="282"/>
      <c r="I23" s="10">
        <f>'Cash Flow'!I42</f>
        <v>222.50550920547948</v>
      </c>
      <c r="J23" s="10">
        <f>'Cash Flow'!J42</f>
        <v>252.45731122020547</v>
      </c>
      <c r="K23" s="10">
        <f>'Cash Flow'!K42</f>
        <v>272.00295544758222</v>
      </c>
      <c r="L23" s="10">
        <f>'Cash Flow'!L42</f>
        <v>286.604608944365</v>
      </c>
      <c r="M23" s="10">
        <f>'Cash Flow'!M42</f>
        <v>300.07834802779553</v>
      </c>
      <c r="O23" s="390" t="s">
        <v>344</v>
      </c>
    </row>
    <row r="24" spans="2:15" x14ac:dyDescent="0.2">
      <c r="B24" s="8" t="s">
        <v>26</v>
      </c>
      <c r="C24" s="8" t="s">
        <v>27</v>
      </c>
      <c r="D24" s="283"/>
      <c r="E24" s="283"/>
      <c r="F24" s="283"/>
      <c r="G24" s="283"/>
      <c r="H24" s="283"/>
      <c r="I24" s="11">
        <v>1</v>
      </c>
      <c r="J24" s="11">
        <v>2</v>
      </c>
      <c r="K24" s="11">
        <v>3</v>
      </c>
      <c r="L24" s="11">
        <v>4</v>
      </c>
      <c r="M24" s="11">
        <v>5</v>
      </c>
      <c r="O24" s="390"/>
    </row>
    <row r="25" spans="2:15" x14ac:dyDescent="0.2">
      <c r="B25" s="8" t="s">
        <v>28</v>
      </c>
      <c r="C25" s="8" t="s">
        <v>5</v>
      </c>
      <c r="D25" s="283"/>
      <c r="E25" s="283"/>
      <c r="F25" s="283"/>
      <c r="G25" s="283"/>
      <c r="H25" s="283"/>
      <c r="I25" s="94">
        <f>1/(1+$D$20/100)^I24</f>
        <v>0.91066387396411974</v>
      </c>
      <c r="J25" s="94">
        <f>1/(1+$D$20/100)^J24</f>
        <v>0.82930869134333829</v>
      </c>
      <c r="K25" s="94">
        <f>1/(1+$D$20/100)^K24</f>
        <v>0.75522146557083891</v>
      </c>
      <c r="L25" s="94">
        <f>1/(1+$D$20/100)^L24</f>
        <v>0.68775290553760027</v>
      </c>
      <c r="M25" s="94">
        <f>1/(1+$D$20/100)^M24</f>
        <v>0.62631172528695034</v>
      </c>
      <c r="O25" s="390"/>
    </row>
    <row r="26" spans="2:15" x14ac:dyDescent="0.2">
      <c r="B26" s="8" t="s">
        <v>29</v>
      </c>
      <c r="C26" s="8" t="s">
        <v>25</v>
      </c>
      <c r="D26" s="283"/>
      <c r="E26" s="283"/>
      <c r="F26" s="283"/>
      <c r="G26" s="283"/>
      <c r="H26" s="283"/>
      <c r="I26" s="94">
        <f>I23*I25</f>
        <v>202.62772899142107</v>
      </c>
      <c r="J26" s="94">
        <f>J23*J25</f>
        <v>209.36504238808647</v>
      </c>
      <c r="K26" s="94">
        <f>K23*K25</f>
        <v>205.42247065272264</v>
      </c>
      <c r="L26" s="94">
        <f>L23*L25</f>
        <v>197.11315254195472</v>
      </c>
      <c r="M26" s="94">
        <f>M23*M25</f>
        <v>187.94258787454655</v>
      </c>
      <c r="O26" s="390"/>
    </row>
    <row r="28" spans="2:15" ht="16" customHeight="1" thickBot="1" x14ac:dyDescent="0.25">
      <c r="B28" s="271" t="s">
        <v>33</v>
      </c>
      <c r="C28" s="96"/>
      <c r="D28" s="133"/>
      <c r="O28" s="396" t="s">
        <v>346</v>
      </c>
    </row>
    <row r="29" spans="2:15" x14ac:dyDescent="0.2">
      <c r="B29" s="116" t="s">
        <v>30</v>
      </c>
      <c r="C29" s="81"/>
      <c r="D29" s="81"/>
      <c r="O29" s="396"/>
    </row>
    <row r="30" spans="2:15" x14ac:dyDescent="0.2">
      <c r="B30" s="8" t="s">
        <v>31</v>
      </c>
      <c r="C30" s="8" t="s">
        <v>3</v>
      </c>
      <c r="D30" s="89">
        <f>Assumptions!D76</f>
        <v>3</v>
      </c>
      <c r="O30" s="396"/>
    </row>
    <row r="31" spans="2:15" x14ac:dyDescent="0.2">
      <c r="B31" s="8" t="s">
        <v>32</v>
      </c>
      <c r="C31" s="7" t="s">
        <v>25</v>
      </c>
      <c r="D31" s="111">
        <f>M23</f>
        <v>300.07834802779553</v>
      </c>
      <c r="O31" s="396"/>
    </row>
    <row r="32" spans="2:15" x14ac:dyDescent="0.2">
      <c r="B32" s="8" t="s">
        <v>33</v>
      </c>
      <c r="C32" s="8" t="s">
        <v>25</v>
      </c>
      <c r="D32" s="111">
        <f>D31*(1+D30/100)/(D20/100-D30/100)</f>
        <v>4538.6299334600508</v>
      </c>
      <c r="O32" s="396"/>
    </row>
    <row r="33" spans="2:15" x14ac:dyDescent="0.2">
      <c r="B33" s="8" t="s">
        <v>34</v>
      </c>
      <c r="C33" s="8" t="s">
        <v>25</v>
      </c>
      <c r="D33" s="111">
        <f>D32*M25</f>
        <v>2842.5971440643611</v>
      </c>
      <c r="O33" s="396"/>
    </row>
    <row r="34" spans="2:15" x14ac:dyDescent="0.2">
      <c r="D34" s="88"/>
      <c r="O34" s="396"/>
    </row>
    <row r="35" spans="2:15" x14ac:dyDescent="0.2">
      <c r="B35" s="83" t="s">
        <v>35</v>
      </c>
      <c r="D35" s="88"/>
      <c r="O35" s="396"/>
    </row>
    <row r="36" spans="2:15" x14ac:dyDescent="0.2">
      <c r="B36" s="8" t="s">
        <v>36</v>
      </c>
      <c r="C36" s="8" t="s">
        <v>25</v>
      </c>
      <c r="D36" s="112">
        <f>'Income Statement'!M46</f>
        <v>356.15272923884538</v>
      </c>
      <c r="O36" s="396"/>
    </row>
    <row r="37" spans="2:15" x14ac:dyDescent="0.2">
      <c r="B37" s="8" t="s">
        <v>37</v>
      </c>
      <c r="C37" s="8" t="s">
        <v>5</v>
      </c>
      <c r="D37" s="13">
        <f>INDEX(Assumptions!$E$20:$G$20,MATCH(Assumptions!$H$20,Assumptions!$E$9:$G$9,0))</f>
        <v>20</v>
      </c>
      <c r="O37" s="396"/>
    </row>
    <row r="38" spans="2:15" x14ac:dyDescent="0.2">
      <c r="B38" s="8" t="s">
        <v>33</v>
      </c>
      <c r="C38" s="7" t="s">
        <v>25</v>
      </c>
      <c r="D38" s="111">
        <f>D36*D37</f>
        <v>7123.0545847769081</v>
      </c>
      <c r="O38" s="396"/>
    </row>
    <row r="39" spans="2:15" x14ac:dyDescent="0.2">
      <c r="B39" s="8" t="s">
        <v>34</v>
      </c>
      <c r="C39" s="8" t="s">
        <v>25</v>
      </c>
      <c r="D39" s="111">
        <f>D38*M25</f>
        <v>4461.2526063047471</v>
      </c>
      <c r="O39" s="396"/>
    </row>
    <row r="40" spans="2:15" ht="15" customHeight="1" x14ac:dyDescent="0.2">
      <c r="D40" s="88"/>
      <c r="O40" s="396" t="s">
        <v>345</v>
      </c>
    </row>
    <row r="41" spans="2:15" ht="15" thickBot="1" x14ac:dyDescent="0.25">
      <c r="B41" s="271" t="s">
        <v>434</v>
      </c>
      <c r="C41" s="96"/>
      <c r="D41" s="133"/>
      <c r="O41" s="396"/>
    </row>
    <row r="42" spans="2:15" x14ac:dyDescent="0.2">
      <c r="B42" s="9" t="s">
        <v>38</v>
      </c>
      <c r="C42" s="9" t="s">
        <v>25</v>
      </c>
      <c r="D42" s="115">
        <f>SUM(I26:M26)</f>
        <v>1002.4709824487314</v>
      </c>
      <c r="O42" s="396"/>
    </row>
    <row r="43" spans="2:15" x14ac:dyDescent="0.2">
      <c r="B43" s="8" t="s">
        <v>39</v>
      </c>
      <c r="C43" s="8" t="s">
        <v>25</v>
      </c>
      <c r="D43" s="111">
        <f>D33</f>
        <v>2842.5971440643611</v>
      </c>
      <c r="O43" s="396"/>
    </row>
    <row r="44" spans="2:15" x14ac:dyDescent="0.2">
      <c r="B44" s="8" t="s">
        <v>40</v>
      </c>
      <c r="C44" s="8" t="s">
        <v>25</v>
      </c>
      <c r="D44" s="111">
        <f>D42+D43</f>
        <v>3845.0681265130925</v>
      </c>
      <c r="O44" s="396"/>
    </row>
    <row r="45" spans="2:15" x14ac:dyDescent="0.2">
      <c r="B45" s="8" t="s">
        <v>41</v>
      </c>
      <c r="C45" s="8" t="s">
        <v>25</v>
      </c>
      <c r="D45" s="111">
        <f>D39</f>
        <v>4461.2526063047471</v>
      </c>
      <c r="O45" s="396"/>
    </row>
    <row r="46" spans="2:15" x14ac:dyDescent="0.2">
      <c r="B46" s="8" t="s">
        <v>42</v>
      </c>
      <c r="C46" s="8" t="s">
        <v>25</v>
      </c>
      <c r="D46" s="111">
        <f>D42+D45</f>
        <v>5463.7235887534789</v>
      </c>
      <c r="O46" s="396"/>
    </row>
    <row r="47" spans="2:15" x14ac:dyDescent="0.2">
      <c r="D47" s="88"/>
      <c r="O47" s="396"/>
    </row>
    <row r="48" spans="2:15" x14ac:dyDescent="0.2">
      <c r="B48" s="8" t="s">
        <v>43</v>
      </c>
      <c r="C48" s="8" t="s">
        <v>25</v>
      </c>
      <c r="D48" s="113">
        <v>-698</v>
      </c>
      <c r="O48" s="396"/>
    </row>
    <row r="49" spans="2:15" x14ac:dyDescent="0.2">
      <c r="B49" s="8" t="s">
        <v>44</v>
      </c>
      <c r="C49" s="8" t="s">
        <v>25</v>
      </c>
      <c r="D49" s="111">
        <f>D44-D48</f>
        <v>4543.0681265130925</v>
      </c>
      <c r="O49" s="396"/>
    </row>
    <row r="50" spans="2:15" x14ac:dyDescent="0.2">
      <c r="B50" s="8" t="s">
        <v>45</v>
      </c>
      <c r="C50" s="8" t="s">
        <v>25</v>
      </c>
      <c r="D50" s="111">
        <f>D46-D48</f>
        <v>6161.7235887534789</v>
      </c>
      <c r="O50" s="396"/>
    </row>
    <row r="51" spans="2:15" x14ac:dyDescent="0.2">
      <c r="B51" s="8" t="s">
        <v>46</v>
      </c>
      <c r="C51" s="8" t="s">
        <v>47</v>
      </c>
      <c r="D51" s="112">
        <f>Assumptions!H64</f>
        <v>36.5</v>
      </c>
      <c r="O51" s="396"/>
    </row>
    <row r="52" spans="2:15" x14ac:dyDescent="0.2">
      <c r="C52" s="281"/>
      <c r="D52" s="88"/>
      <c r="O52" s="396"/>
    </row>
    <row r="53" spans="2:15" ht="16" customHeight="1" x14ac:dyDescent="0.2">
      <c r="B53" s="8" t="s">
        <v>48</v>
      </c>
      <c r="C53" s="8" t="s">
        <v>49</v>
      </c>
      <c r="D53" s="114">
        <f>D49/D51</f>
        <v>124.46761990446829</v>
      </c>
      <c r="O53" s="396"/>
    </row>
    <row r="54" spans="2:15" ht="16" customHeight="1" x14ac:dyDescent="0.2">
      <c r="B54" s="8" t="s">
        <v>50</v>
      </c>
      <c r="C54" s="8" t="s">
        <v>49</v>
      </c>
      <c r="D54" s="114">
        <f>D50/D51</f>
        <v>168.8143448973556</v>
      </c>
      <c r="O54" s="396"/>
    </row>
    <row r="55" spans="2:15" x14ac:dyDescent="0.2">
      <c r="B55" s="8" t="s">
        <v>51</v>
      </c>
      <c r="C55" s="8" t="s">
        <v>49</v>
      </c>
      <c r="D55" s="113">
        <v>80.52</v>
      </c>
      <c r="E55" s="4" t="s">
        <v>482</v>
      </c>
      <c r="F55" s="88"/>
      <c r="O55" s="396"/>
    </row>
    <row r="56" spans="2:15" x14ac:dyDescent="0.2">
      <c r="B56" s="8" t="s">
        <v>52</v>
      </c>
      <c r="C56" s="8" t="s">
        <v>3</v>
      </c>
      <c r="D56" s="111">
        <f>(D53/D55-1)*100</f>
        <v>54.57975646357216</v>
      </c>
      <c r="O56" s="396"/>
    </row>
    <row r="57" spans="2:15" x14ac:dyDescent="0.2">
      <c r="B57" s="8" t="s">
        <v>53</v>
      </c>
      <c r="C57" s="8" t="s">
        <v>3</v>
      </c>
      <c r="D57" s="111">
        <f>(D54/D55-1)*100</f>
        <v>109.65517250044164</v>
      </c>
      <c r="O57" s="396"/>
    </row>
    <row r="58" spans="2:15" x14ac:dyDescent="0.2">
      <c r="D58" s="88"/>
      <c r="O58" s="396"/>
    </row>
    <row r="59" spans="2:15" x14ac:dyDescent="0.2">
      <c r="B59" s="8" t="s">
        <v>54</v>
      </c>
      <c r="C59" s="8" t="s">
        <v>3</v>
      </c>
      <c r="D59" s="111">
        <f>D43/D44*100</f>
        <v>73.928394778330656</v>
      </c>
      <c r="O59" s="396"/>
    </row>
    <row r="60" spans="2:15" x14ac:dyDescent="0.2">
      <c r="B60" s="8" t="s">
        <v>55</v>
      </c>
      <c r="C60" s="8" t="s">
        <v>3</v>
      </c>
      <c r="D60" s="111">
        <f>D45/D46*100</f>
        <v>81.652238328596695</v>
      </c>
      <c r="O60" s="396"/>
    </row>
    <row r="64" spans="2:15" ht="15" thickBot="1" x14ac:dyDescent="0.25">
      <c r="B64" s="272" t="s">
        <v>479</v>
      </c>
      <c r="C64" s="273"/>
      <c r="D64" s="273"/>
      <c r="E64" s="273"/>
      <c r="F64" s="273"/>
      <c r="G64" s="273"/>
      <c r="H64" s="273"/>
      <c r="I64" s="273"/>
    </row>
    <row r="65" spans="2:15" x14ac:dyDescent="0.2">
      <c r="B65" s="65" t="s">
        <v>251</v>
      </c>
      <c r="C65" s="56"/>
      <c r="D65" s="21"/>
      <c r="E65" s="21"/>
      <c r="F65" s="21"/>
      <c r="G65" s="21"/>
      <c r="H65" s="21"/>
      <c r="I65" s="21"/>
    </row>
    <row r="66" spans="2:15" x14ac:dyDescent="0.2">
      <c r="B66" s="284">
        <f>'DCF &amp; Sensitivity'!D53</f>
        <v>124.46761990446829</v>
      </c>
      <c r="C66" s="285">
        <v>6</v>
      </c>
      <c r="D66" s="285">
        <v>7</v>
      </c>
      <c r="E66" s="285">
        <v>8</v>
      </c>
      <c r="F66" s="285">
        <v>9</v>
      </c>
      <c r="G66" s="285">
        <v>10</v>
      </c>
      <c r="H66" s="285">
        <v>11</v>
      </c>
      <c r="I66" s="285">
        <v>12</v>
      </c>
      <c r="O66" s="390" t="s">
        <v>481</v>
      </c>
    </row>
    <row r="67" spans="2:15" x14ac:dyDescent="0.2">
      <c r="B67" s="275">
        <v>1.4999999999999999E-2</v>
      </c>
      <c r="C67" s="117">
        <f t="dataTable" ref="C67:I73" dt2D="1" dtr="1" r1="D20" r2="D30"/>
        <v>152.31300815086303</v>
      </c>
      <c r="D67" s="117">
        <v>132.72788028750887</v>
      </c>
      <c r="E67" s="117">
        <v>118.06339099725734</v>
      </c>
      <c r="F67" s="117">
        <v>106.67597961149232</v>
      </c>
      <c r="G67" s="117">
        <v>97.580527879013189</v>
      </c>
      <c r="H67" s="117">
        <v>90.150657463305549</v>
      </c>
      <c r="I67" s="117">
        <v>83.969066363242902</v>
      </c>
      <c r="O67" s="390"/>
    </row>
    <row r="68" spans="2:15" x14ac:dyDescent="0.2">
      <c r="B68" s="276">
        <v>0.02</v>
      </c>
      <c r="C68" s="118">
        <v>152.40398334696164</v>
      </c>
      <c r="D68" s="118">
        <v>132.79220159387657</v>
      </c>
      <c r="E68" s="118">
        <v>118.11080853148981</v>
      </c>
      <c r="F68" s="118">
        <v>106.71207164819214</v>
      </c>
      <c r="G68" s="118">
        <v>97.608702783278972</v>
      </c>
      <c r="H68" s="118">
        <v>90.173107522148939</v>
      </c>
      <c r="I68" s="118">
        <v>83.987261061310676</v>
      </c>
      <c r="O68" s="390"/>
    </row>
    <row r="69" spans="2:15" x14ac:dyDescent="0.2">
      <c r="B69" s="276">
        <v>2.5000000000000001E-2</v>
      </c>
      <c r="C69" s="118">
        <v>152.49511080280269</v>
      </c>
      <c r="D69" s="118">
        <v>132.85661511717097</v>
      </c>
      <c r="E69" s="118">
        <v>118.15828552344544</v>
      </c>
      <c r="F69" s="118">
        <v>106.74820389886044</v>
      </c>
      <c r="G69" s="118">
        <v>97.636905933062835</v>
      </c>
      <c r="H69" s="118">
        <v>90.195578036626813</v>
      </c>
      <c r="I69" s="118">
        <v>84.005470953280806</v>
      </c>
      <c r="O69" s="390"/>
    </row>
    <row r="70" spans="2:15" x14ac:dyDescent="0.2">
      <c r="B70" s="276">
        <v>0.03</v>
      </c>
      <c r="C70" s="118">
        <v>152.58639090094832</v>
      </c>
      <c r="D70" s="118">
        <v>132.92112105585031</v>
      </c>
      <c r="E70" s="118">
        <v>118.20582208502709</v>
      </c>
      <c r="F70" s="118">
        <v>106.78437643074463</v>
      </c>
      <c r="G70" s="118">
        <v>97.665137370860521</v>
      </c>
      <c r="H70" s="118">
        <v>90.218069034709487</v>
      </c>
      <c r="I70" s="118">
        <v>84.023696058193252</v>
      </c>
      <c r="O70" s="390"/>
    </row>
    <row r="71" spans="2:15" x14ac:dyDescent="0.2">
      <c r="B71" s="276">
        <v>3.5000000000000003E-2</v>
      </c>
      <c r="C71" s="118">
        <v>152.67782402524338</v>
      </c>
      <c r="D71" s="118">
        <v>132.98571960894267</v>
      </c>
      <c r="E71" s="118">
        <v>118.25341832841865</v>
      </c>
      <c r="F71" s="118">
        <v>106.82058931124216</v>
      </c>
      <c r="G71" s="118">
        <v>97.693397139253079</v>
      </c>
      <c r="H71" s="118">
        <v>90.240580544418336</v>
      </c>
      <c r="I71" s="118">
        <v>84.041936395119833</v>
      </c>
      <c r="O71" s="390"/>
    </row>
    <row r="72" spans="2:15" x14ac:dyDescent="0.2">
      <c r="B72" s="276">
        <v>0.04</v>
      </c>
      <c r="C72" s="118">
        <v>152.7694105608208</v>
      </c>
      <c r="D72" s="118">
        <v>133.05041097604811</v>
      </c>
      <c r="E72" s="118">
        <v>118.30107436608583</v>
      </c>
      <c r="F72" s="118">
        <v>106.85684260790099</v>
      </c>
      <c r="G72" s="118">
        <v>97.721685280907067</v>
      </c>
      <c r="H72" s="118">
        <v>90.263112593825824</v>
      </c>
      <c r="I72" s="118">
        <v>84.060191983164259</v>
      </c>
      <c r="O72" s="390"/>
    </row>
    <row r="73" spans="2:15" hidden="1" outlineLevel="1" x14ac:dyDescent="0.2">
      <c r="C73" s="76">
        <v>152.04099231452821</v>
      </c>
      <c r="D73" s="76">
        <v>132.53546769388888</v>
      </c>
      <c r="E73" s="76">
        <v>117.92149402606675</v>
      </c>
      <c r="F73" s="76">
        <v>106.5679441149709</v>
      </c>
      <c r="G73" s="76">
        <v>97.496172215641408</v>
      </c>
      <c r="H73" s="76">
        <v>90.083429741641794</v>
      </c>
      <c r="I73" s="76">
        <v>83.91457324252994</v>
      </c>
    </row>
    <row r="74" spans="2:15" collapsed="1" x14ac:dyDescent="0.2">
      <c r="C74" s="76"/>
      <c r="D74" s="76"/>
      <c r="E74" s="76"/>
      <c r="F74" s="76"/>
      <c r="G74" s="76"/>
      <c r="H74" s="76"/>
      <c r="I74" s="76"/>
    </row>
    <row r="75" spans="2:15" ht="15" thickBot="1" x14ac:dyDescent="0.25">
      <c r="B75" s="272" t="s">
        <v>480</v>
      </c>
      <c r="C75" s="273"/>
      <c r="D75" s="273"/>
      <c r="E75" s="273"/>
      <c r="F75" s="273"/>
      <c r="G75" s="273"/>
      <c r="H75" s="273"/>
      <c r="I75" s="273"/>
    </row>
    <row r="76" spans="2:15" ht="15" customHeight="1" x14ac:dyDescent="0.2">
      <c r="B76" s="65" t="s">
        <v>252</v>
      </c>
      <c r="C76" s="21"/>
      <c r="D76" s="21"/>
      <c r="E76" s="21"/>
      <c r="F76" s="21"/>
      <c r="G76" s="21"/>
      <c r="H76" s="21"/>
      <c r="I76" s="21"/>
      <c r="O76" s="390" t="s">
        <v>304</v>
      </c>
    </row>
    <row r="77" spans="2:15" x14ac:dyDescent="0.2">
      <c r="B77" s="284">
        <f>D54</f>
        <v>168.8143448973556</v>
      </c>
      <c r="C77" s="285">
        <v>6</v>
      </c>
      <c r="D77" s="285">
        <v>7</v>
      </c>
      <c r="E77" s="285">
        <v>8</v>
      </c>
      <c r="F77" s="285">
        <v>9</v>
      </c>
      <c r="G77" s="285">
        <v>10</v>
      </c>
      <c r="H77" s="285">
        <v>11</v>
      </c>
      <c r="I77" s="285">
        <v>12</v>
      </c>
      <c r="O77" s="390"/>
    </row>
    <row r="78" spans="2:15" x14ac:dyDescent="0.2">
      <c r="B78" s="286">
        <v>12</v>
      </c>
      <c r="C78" s="117">
        <f t="dataTable" ref="C78:I84" dt2D="1" dtr="1" r1="D20" r2="D37" ca="1"/>
        <v>137.14756267476824</v>
      </c>
      <c r="D78" s="117">
        <v>132.28151193238105</v>
      </c>
      <c r="E78" s="117">
        <v>127.67067865360065</v>
      </c>
      <c r="F78" s="117">
        <v>123.29929488519033</v>
      </c>
      <c r="G78" s="117">
        <v>119.15270474750746</v>
      </c>
      <c r="H78" s="117">
        <v>115.21727662843402</v>
      </c>
      <c r="I78" s="117">
        <v>111.48032303072495</v>
      </c>
      <c r="O78" s="390"/>
    </row>
    <row r="79" spans="2:15" x14ac:dyDescent="0.2">
      <c r="B79" s="274">
        <v>15</v>
      </c>
      <c r="C79" s="118">
        <v>159.02192193879119</v>
      </c>
      <c r="D79" s="118">
        <v>153.15263306109497</v>
      </c>
      <c r="E79" s="118">
        <v>147.59327288080638</v>
      </c>
      <c r="F79" s="118">
        <v>142.32462395764037</v>
      </c>
      <c r="G79" s="118">
        <v>137.32882725573589</v>
      </c>
      <c r="H79" s="118">
        <v>132.58927472365099</v>
      </c>
      <c r="I79" s="118">
        <v>128.09051124778762</v>
      </c>
      <c r="O79" s="390"/>
    </row>
    <row r="80" spans="2:15" x14ac:dyDescent="0.2">
      <c r="B80" s="274">
        <v>18</v>
      </c>
      <c r="C80" s="118">
        <v>180.89628120281412</v>
      </c>
      <c r="D80" s="118">
        <v>174.02375418980884</v>
      </c>
      <c r="E80" s="118">
        <v>167.51586710801217</v>
      </c>
      <c r="F80" s="118">
        <v>161.3499530300904</v>
      </c>
      <c r="G80" s="118">
        <v>155.50494976396436</v>
      </c>
      <c r="H80" s="118">
        <v>149.96127281886797</v>
      </c>
      <c r="I80" s="118">
        <v>144.70069946485026</v>
      </c>
      <c r="O80" s="390"/>
    </row>
    <row r="81" spans="2:15" x14ac:dyDescent="0.2">
      <c r="B81" s="274">
        <v>20</v>
      </c>
      <c r="C81" s="118">
        <v>195.47918737882941</v>
      </c>
      <c r="D81" s="118">
        <v>187.93783494228481</v>
      </c>
      <c r="E81" s="118">
        <v>180.79759659281598</v>
      </c>
      <c r="F81" s="118">
        <v>174.03350574505708</v>
      </c>
      <c r="G81" s="118">
        <v>167.62236476945</v>
      </c>
      <c r="H81" s="118">
        <v>161.54260488234593</v>
      </c>
      <c r="I81" s="118">
        <v>155.77415827622536</v>
      </c>
      <c r="O81" s="390"/>
    </row>
    <row r="82" spans="2:15" x14ac:dyDescent="0.2">
      <c r="B82" s="274">
        <v>22</v>
      </c>
      <c r="C82" s="118">
        <v>210.06209355484469</v>
      </c>
      <c r="D82" s="118">
        <v>201.85191569476072</v>
      </c>
      <c r="E82" s="118">
        <v>194.07932607761981</v>
      </c>
      <c r="F82" s="118">
        <v>186.71705846002374</v>
      </c>
      <c r="G82" s="118">
        <v>179.73977977493561</v>
      </c>
      <c r="H82" s="118">
        <v>173.12393694582389</v>
      </c>
      <c r="I82" s="118">
        <v>166.84761708760047</v>
      </c>
      <c r="O82" s="390"/>
    </row>
    <row r="83" spans="2:15" x14ac:dyDescent="0.2">
      <c r="B83" s="274">
        <v>25</v>
      </c>
      <c r="C83" s="118">
        <v>231.93645281886762</v>
      </c>
      <c r="D83" s="118">
        <v>222.72303682347462</v>
      </c>
      <c r="E83" s="118">
        <v>214.00192030482555</v>
      </c>
      <c r="F83" s="118">
        <v>205.74238753247377</v>
      </c>
      <c r="G83" s="118">
        <v>197.91590228316406</v>
      </c>
      <c r="H83" s="118">
        <v>190.49593504104084</v>
      </c>
      <c r="I83" s="118">
        <v>183.45780530466311</v>
      </c>
      <c r="O83" s="390"/>
    </row>
    <row r="84" spans="2:15" x14ac:dyDescent="0.2">
      <c r="B84" s="274">
        <v>30</v>
      </c>
      <c r="C84" s="118">
        <v>268.39371825890589</v>
      </c>
      <c r="D84" s="118">
        <v>257.50823870466445</v>
      </c>
      <c r="E84" s="118">
        <v>247.20624401683514</v>
      </c>
      <c r="F84" s="118">
        <v>237.45126931989046</v>
      </c>
      <c r="G84" s="118">
        <v>228.20943979687814</v>
      </c>
      <c r="H84" s="118">
        <v>219.44926519973578</v>
      </c>
      <c r="I84" s="118">
        <v>211.14145233310089</v>
      </c>
      <c r="O84" s="390"/>
    </row>
  </sheetData>
  <mergeCells count="6">
    <mergeCell ref="O76:O84"/>
    <mergeCell ref="B8:J8"/>
    <mergeCell ref="O23:O26"/>
    <mergeCell ref="O28:O39"/>
    <mergeCell ref="O40:O60"/>
    <mergeCell ref="O66:O7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45"/>
  <sheetViews>
    <sheetView showGridLines="0" workbookViewId="0">
      <selection activeCell="B37" sqref="B37:I45"/>
    </sheetView>
  </sheetViews>
  <sheetFormatPr baseColWidth="10" defaultColWidth="8.83203125" defaultRowHeight="14" x14ac:dyDescent="0.2"/>
  <cols>
    <col min="1" max="1" width="2" style="21" customWidth="1"/>
    <col min="2" max="3" width="20.83203125" style="21" customWidth="1"/>
    <col min="4" max="11" width="15.83203125" style="21" customWidth="1"/>
    <col min="12" max="15" width="15.83203125" style="120" customWidth="1"/>
    <col min="16" max="16" width="15.83203125" style="21" customWidth="1"/>
    <col min="17" max="17" width="14" style="21" customWidth="1"/>
    <col min="18" max="16384" width="8.83203125" style="21"/>
  </cols>
  <sheetData>
    <row r="2" spans="1:17" ht="13" customHeight="1" x14ac:dyDescent="0.2">
      <c r="B2" s="36" t="s">
        <v>484</v>
      </c>
    </row>
    <row r="3" spans="1:17" ht="15" x14ac:dyDescent="0.2">
      <c r="B3" s="277" t="s">
        <v>0</v>
      </c>
    </row>
    <row r="4" spans="1:17" x14ac:dyDescent="0.2">
      <c r="B4" s="3" t="s">
        <v>1</v>
      </c>
    </row>
    <row r="5" spans="1:17" x14ac:dyDescent="0.2">
      <c r="B5" s="3"/>
    </row>
    <row r="6" spans="1:17" ht="59" customHeight="1" x14ac:dyDescent="0.2">
      <c r="B6" s="397" t="s">
        <v>507</v>
      </c>
      <c r="C6" s="397"/>
      <c r="D6" s="397"/>
      <c r="E6" s="397"/>
      <c r="F6" s="397"/>
      <c r="G6" s="397"/>
      <c r="H6" s="397"/>
      <c r="I6" s="397"/>
      <c r="J6" s="397"/>
      <c r="K6" s="397"/>
    </row>
    <row r="7" spans="1:17" ht="59" customHeight="1" x14ac:dyDescent="0.2">
      <c r="B7" s="397"/>
      <c r="C7" s="397"/>
      <c r="D7" s="397"/>
      <c r="E7" s="397"/>
      <c r="F7" s="397"/>
      <c r="G7" s="397"/>
      <c r="H7" s="397"/>
      <c r="I7" s="397"/>
      <c r="J7" s="397"/>
      <c r="K7" s="397"/>
    </row>
    <row r="8" spans="1:17" ht="14" customHeight="1" x14ac:dyDescent="0.2">
      <c r="B8" s="316"/>
      <c r="C8" s="316"/>
      <c r="D8" s="316"/>
      <c r="E8" s="316"/>
      <c r="F8" s="316"/>
      <c r="G8" s="316"/>
      <c r="H8" s="316"/>
      <c r="I8" s="316"/>
      <c r="J8" s="316"/>
      <c r="K8" s="316"/>
    </row>
    <row r="9" spans="1:17" ht="16" customHeight="1" x14ac:dyDescent="0.2">
      <c r="B9" s="245" t="s">
        <v>254</v>
      </c>
      <c r="C9" s="245" t="s">
        <v>253</v>
      </c>
      <c r="D9" s="287" t="s">
        <v>489</v>
      </c>
      <c r="E9" s="287" t="s">
        <v>490</v>
      </c>
      <c r="F9" s="287" t="s">
        <v>420</v>
      </c>
      <c r="G9" s="287" t="s">
        <v>255</v>
      </c>
      <c r="H9" s="287" t="s">
        <v>256</v>
      </c>
      <c r="I9" s="287" t="s">
        <v>502</v>
      </c>
      <c r="J9" s="287" t="s">
        <v>488</v>
      </c>
      <c r="K9" s="287" t="s">
        <v>491</v>
      </c>
      <c r="L9" s="287" t="s">
        <v>492</v>
      </c>
      <c r="M9" s="287" t="s">
        <v>493</v>
      </c>
      <c r="N9" s="287" t="s">
        <v>258</v>
      </c>
      <c r="O9" s="287" t="s">
        <v>259</v>
      </c>
      <c r="P9" s="287" t="s">
        <v>361</v>
      </c>
      <c r="Q9" s="314" t="s">
        <v>501</v>
      </c>
    </row>
    <row r="10" spans="1:17" x14ac:dyDescent="0.2">
      <c r="B10" s="289" t="s">
        <v>260</v>
      </c>
      <c r="C10" s="290" t="s">
        <v>305</v>
      </c>
      <c r="D10" s="319">
        <f>'DCF &amp; Sensitivity'!D55</f>
        <v>80.52</v>
      </c>
      <c r="E10" s="317">
        <f>D10*Assumptions!I64</f>
        <v>2839.2716524767125</v>
      </c>
      <c r="F10" s="317">
        <f>'DCF &amp; Sensitivity'!D48*-1</f>
        <v>698</v>
      </c>
      <c r="G10" s="301">
        <f>E10+F10</f>
        <v>3537.2716524767125</v>
      </c>
      <c r="H10" s="300">
        <f>'Income Statement'!I9</f>
        <v>734.673</v>
      </c>
      <c r="I10" s="300">
        <f>'Income Statement'!I50</f>
        <v>178.52553899999998</v>
      </c>
      <c r="J10" s="319">
        <f>'Income Statement'!I41</f>
        <v>6.1888986965343298</v>
      </c>
      <c r="K10" s="303">
        <f>'Income Statement'!I10/100</f>
        <v>9.800179345389326E-2</v>
      </c>
      <c r="L10" s="302">
        <f>I10/H10</f>
        <v>0.24299999999999997</v>
      </c>
      <c r="M10" s="304">
        <f>G10/H10</f>
        <v>4.8147565685369038</v>
      </c>
      <c r="N10" s="304">
        <f>G10/I10</f>
        <v>19.813813039246519</v>
      </c>
      <c r="O10" s="304">
        <f>D10/J10</f>
        <v>13.010392308584681</v>
      </c>
      <c r="P10" s="318">
        <f>'Cash Flow'!I38-'Income Statement'!I48</f>
        <v>222.50550920547948</v>
      </c>
      <c r="Q10" s="315">
        <f>IF(P10&gt;0,E10/P10,"NM")</f>
        <v>12.760455516877565</v>
      </c>
    </row>
    <row r="11" spans="1:17" x14ac:dyDescent="0.2">
      <c r="B11" s="143"/>
      <c r="C11" s="88"/>
      <c r="D11" s="88"/>
      <c r="E11" s="88"/>
      <c r="F11" s="88"/>
      <c r="G11" s="291"/>
      <c r="H11" s="291"/>
      <c r="I11" s="291"/>
      <c r="J11" s="291"/>
      <c r="K11" s="292"/>
      <c r="L11" s="292"/>
      <c r="M11" s="292"/>
      <c r="N11" s="292"/>
      <c r="O11" s="21"/>
    </row>
    <row r="12" spans="1:17" x14ac:dyDescent="0.2">
      <c r="B12" s="143"/>
      <c r="C12" s="88"/>
      <c r="D12" s="88"/>
      <c r="E12" s="88"/>
      <c r="F12" s="88"/>
      <c r="G12" s="291"/>
      <c r="H12" s="291"/>
      <c r="I12" s="291"/>
      <c r="J12" s="291"/>
      <c r="K12" s="292"/>
      <c r="L12" s="292"/>
      <c r="M12" s="292"/>
      <c r="N12" s="292"/>
      <c r="O12" s="21"/>
    </row>
    <row r="13" spans="1:17" ht="15" thickBot="1" x14ac:dyDescent="0.25">
      <c r="A13" s="143"/>
      <c r="B13" s="272" t="s">
        <v>483</v>
      </c>
      <c r="C13" s="273"/>
      <c r="D13" s="273"/>
      <c r="E13" s="273"/>
      <c r="F13" s="273"/>
      <c r="G13" s="273"/>
      <c r="H13" s="273"/>
      <c r="I13" s="273"/>
      <c r="J13" s="273"/>
      <c r="K13" s="273"/>
      <c r="L13" s="273"/>
      <c r="M13" s="273"/>
      <c r="N13" s="273"/>
      <c r="O13" s="273"/>
      <c r="P13" s="273"/>
      <c r="Q13" s="273"/>
    </row>
    <row r="14" spans="1:17" x14ac:dyDescent="0.2">
      <c r="B14" s="320" t="s">
        <v>261</v>
      </c>
      <c r="C14" s="320" t="s">
        <v>306</v>
      </c>
      <c r="D14" s="323">
        <v>450</v>
      </c>
      <c r="E14" s="324">
        <v>114350</v>
      </c>
      <c r="F14" s="324">
        <v>-4000</v>
      </c>
      <c r="G14" s="325">
        <f t="shared" ref="G14:G22" si="0">E14+F14</f>
        <v>110350</v>
      </c>
      <c r="H14" s="325">
        <v>5900</v>
      </c>
      <c r="I14" s="325">
        <v>1252</v>
      </c>
      <c r="J14" s="323">
        <v>4.84</v>
      </c>
      <c r="K14" s="326">
        <v>0.22</v>
      </c>
      <c r="L14" s="326">
        <f t="shared" ref="L14:L22" si="1">I14/H14</f>
        <v>0.21220338983050849</v>
      </c>
      <c r="M14" s="327">
        <f t="shared" ref="M14:M22" si="2">G14/H14</f>
        <v>18.703389830508474</v>
      </c>
      <c r="N14" s="327">
        <f t="shared" ref="N14:N22" si="3">G14/I14</f>
        <v>88.138977635782751</v>
      </c>
      <c r="O14" s="327">
        <f t="shared" ref="O14:O22" si="4">D14/J14</f>
        <v>92.975206611570258</v>
      </c>
      <c r="P14" s="328">
        <v>320</v>
      </c>
      <c r="Q14" s="329">
        <f>IF(P14&gt;0,E14/P14,"NM")</f>
        <v>357.34375</v>
      </c>
    </row>
    <row r="15" spans="1:17" x14ac:dyDescent="0.2">
      <c r="B15" s="87" t="s">
        <v>262</v>
      </c>
      <c r="C15" s="87" t="s">
        <v>307</v>
      </c>
      <c r="D15" s="330">
        <v>186</v>
      </c>
      <c r="E15" s="331">
        <v>131800</v>
      </c>
      <c r="F15" s="331">
        <v>-10000</v>
      </c>
      <c r="G15" s="332">
        <f t="shared" si="0"/>
        <v>121800</v>
      </c>
      <c r="H15" s="332">
        <v>11295</v>
      </c>
      <c r="I15" s="332">
        <v>4150</v>
      </c>
      <c r="J15" s="330">
        <v>3.68</v>
      </c>
      <c r="K15" s="333">
        <v>0.22500000000000001</v>
      </c>
      <c r="L15" s="333">
        <f t="shared" si="1"/>
        <v>0.36741921204072597</v>
      </c>
      <c r="M15" s="334">
        <f t="shared" si="2"/>
        <v>10.783532536520584</v>
      </c>
      <c r="N15" s="334">
        <f t="shared" si="3"/>
        <v>29.349397590361445</v>
      </c>
      <c r="O15" s="334">
        <f t="shared" si="4"/>
        <v>50.543478260869563</v>
      </c>
      <c r="P15" s="335">
        <v>2100</v>
      </c>
      <c r="Q15" s="336">
        <f>IF(P15&gt;0,E15/P15,"NM")</f>
        <v>62.761904761904759</v>
      </c>
    </row>
    <row r="16" spans="1:17" x14ac:dyDescent="0.2">
      <c r="B16" s="87" t="s">
        <v>263</v>
      </c>
      <c r="C16" s="87" t="s">
        <v>308</v>
      </c>
      <c r="D16" s="330">
        <v>81.12</v>
      </c>
      <c r="E16" s="331">
        <v>60700</v>
      </c>
      <c r="F16" s="331">
        <v>-3000</v>
      </c>
      <c r="G16" s="332">
        <f t="shared" si="0"/>
        <v>57700</v>
      </c>
      <c r="H16" s="332">
        <v>7600</v>
      </c>
      <c r="I16" s="332">
        <v>2762</v>
      </c>
      <c r="J16" s="330">
        <v>2.97</v>
      </c>
      <c r="K16" s="333">
        <v>0.12</v>
      </c>
      <c r="L16" s="333">
        <f t="shared" si="1"/>
        <v>0.36342105263157892</v>
      </c>
      <c r="M16" s="334">
        <f t="shared" si="2"/>
        <v>7.5921052631578947</v>
      </c>
      <c r="N16" s="334">
        <f t="shared" si="3"/>
        <v>20.890658942795078</v>
      </c>
      <c r="O16" s="334">
        <f t="shared" si="4"/>
        <v>27.313131313131311</v>
      </c>
      <c r="P16" s="335">
        <v>2080</v>
      </c>
      <c r="Q16" s="336">
        <f>IF(P16&gt;0,E16/P16,"NM")</f>
        <v>29.182692307692307</v>
      </c>
    </row>
    <row r="17" spans="2:17" x14ac:dyDescent="0.2">
      <c r="B17" s="87" t="s">
        <v>264</v>
      </c>
      <c r="C17" s="87" t="s">
        <v>309</v>
      </c>
      <c r="D17" s="330">
        <v>19.5</v>
      </c>
      <c r="E17" s="331">
        <v>2330</v>
      </c>
      <c r="F17" s="331">
        <v>200</v>
      </c>
      <c r="G17" s="332">
        <f t="shared" si="0"/>
        <v>2530</v>
      </c>
      <c r="H17" s="332">
        <v>1070</v>
      </c>
      <c r="I17" s="332">
        <v>220</v>
      </c>
      <c r="J17" s="330">
        <v>1.855</v>
      </c>
      <c r="K17" s="333">
        <v>7.0000000000000007E-2</v>
      </c>
      <c r="L17" s="333">
        <f t="shared" si="1"/>
        <v>0.20560747663551401</v>
      </c>
      <c r="M17" s="334">
        <f t="shared" si="2"/>
        <v>2.3644859813084111</v>
      </c>
      <c r="N17" s="334">
        <f t="shared" si="3"/>
        <v>11.5</v>
      </c>
      <c r="O17" s="334">
        <f t="shared" si="4"/>
        <v>10.512129380053908</v>
      </c>
      <c r="P17" s="335">
        <v>110</v>
      </c>
      <c r="Q17" s="336">
        <f>IF(P17&gt;0,E17/P17,"NM")</f>
        <v>21.181818181818183</v>
      </c>
    </row>
    <row r="18" spans="2:17" x14ac:dyDescent="0.2">
      <c r="B18" s="87" t="s">
        <v>265</v>
      </c>
      <c r="C18" s="87" t="s">
        <v>310</v>
      </c>
      <c r="D18" s="330">
        <v>10.76</v>
      </c>
      <c r="E18" s="331">
        <v>760</v>
      </c>
      <c r="F18" s="331">
        <v>250</v>
      </c>
      <c r="G18" s="332">
        <f t="shared" si="0"/>
        <v>1010</v>
      </c>
      <c r="H18" s="332">
        <v>839</v>
      </c>
      <c r="I18" s="332">
        <v>115</v>
      </c>
      <c r="J18" s="330">
        <v>1.55</v>
      </c>
      <c r="K18" s="333">
        <v>-2.5000000000000001E-2</v>
      </c>
      <c r="L18" s="333">
        <f t="shared" si="1"/>
        <v>0.13706793802145412</v>
      </c>
      <c r="M18" s="334">
        <f t="shared" si="2"/>
        <v>1.2038140643623361</v>
      </c>
      <c r="N18" s="334">
        <f t="shared" si="3"/>
        <v>8.7826086956521738</v>
      </c>
      <c r="O18" s="334">
        <f t="shared" si="4"/>
        <v>6.9419354838709673</v>
      </c>
      <c r="P18" s="335">
        <v>10</v>
      </c>
      <c r="Q18" s="336">
        <f>IF(P18&gt;0,E18/P18,"NM")</f>
        <v>76</v>
      </c>
    </row>
    <row r="19" spans="2:17" x14ac:dyDescent="0.2">
      <c r="B19" s="87" t="s">
        <v>266</v>
      </c>
      <c r="C19" s="87" t="s">
        <v>311</v>
      </c>
      <c r="D19" s="330">
        <v>19</v>
      </c>
      <c r="E19" s="331">
        <v>5700</v>
      </c>
      <c r="F19" s="331">
        <v>-700</v>
      </c>
      <c r="G19" s="332">
        <f t="shared" si="0"/>
        <v>5000</v>
      </c>
      <c r="H19" s="332">
        <v>1220</v>
      </c>
      <c r="I19" s="332">
        <v>55</v>
      </c>
      <c r="J19" s="330">
        <v>0.1</v>
      </c>
      <c r="K19" s="333">
        <v>0.22</v>
      </c>
      <c r="L19" s="333">
        <f t="shared" si="1"/>
        <v>4.5081967213114756E-2</v>
      </c>
      <c r="M19" s="334">
        <f t="shared" si="2"/>
        <v>4.0983606557377046</v>
      </c>
      <c r="N19" s="334">
        <f t="shared" si="3"/>
        <v>90.909090909090907</v>
      </c>
      <c r="O19" s="334">
        <f t="shared" si="4"/>
        <v>190</v>
      </c>
      <c r="P19" s="335">
        <v>-125</v>
      </c>
      <c r="Q19" s="336" t="s">
        <v>331</v>
      </c>
    </row>
    <row r="20" spans="2:17" x14ac:dyDescent="0.2">
      <c r="B20" s="87" t="s">
        <v>268</v>
      </c>
      <c r="C20" s="87" t="s">
        <v>313</v>
      </c>
      <c r="D20" s="330">
        <v>167.36</v>
      </c>
      <c r="E20" s="331">
        <v>28300</v>
      </c>
      <c r="F20" s="331">
        <v>-2000</v>
      </c>
      <c r="G20" s="332">
        <f t="shared" si="0"/>
        <v>26300</v>
      </c>
      <c r="H20" s="332">
        <v>3316</v>
      </c>
      <c r="I20" s="332">
        <v>845</v>
      </c>
      <c r="J20" s="330">
        <v>4</v>
      </c>
      <c r="K20" s="333">
        <v>0.24</v>
      </c>
      <c r="L20" s="333">
        <f t="shared" si="1"/>
        <v>0.25482509047044632</v>
      </c>
      <c r="M20" s="334">
        <f t="shared" si="2"/>
        <v>7.93124246079614</v>
      </c>
      <c r="N20" s="334">
        <f t="shared" si="3"/>
        <v>31.124260355029588</v>
      </c>
      <c r="O20" s="334">
        <f t="shared" si="4"/>
        <v>41.84</v>
      </c>
      <c r="P20" s="335">
        <v>100</v>
      </c>
      <c r="Q20" s="336">
        <f>IF(P20&gt;0,E20/P20,"NM")</f>
        <v>283</v>
      </c>
    </row>
    <row r="21" spans="2:17" x14ac:dyDescent="0.2">
      <c r="B21" s="87" t="s">
        <v>267</v>
      </c>
      <c r="C21" s="87" t="s">
        <v>312</v>
      </c>
      <c r="D21" s="330">
        <v>24</v>
      </c>
      <c r="E21" s="331">
        <v>2900</v>
      </c>
      <c r="F21" s="331">
        <v>400</v>
      </c>
      <c r="G21" s="332">
        <f t="shared" si="0"/>
        <v>3300</v>
      </c>
      <c r="H21" s="332">
        <v>726</v>
      </c>
      <c r="I21" s="332">
        <v>30</v>
      </c>
      <c r="J21" s="330">
        <v>0.08</v>
      </c>
      <c r="K21" s="333">
        <v>0.16</v>
      </c>
      <c r="L21" s="333">
        <f t="shared" si="1"/>
        <v>4.1322314049586778E-2</v>
      </c>
      <c r="M21" s="334">
        <f t="shared" si="2"/>
        <v>4.5454545454545459</v>
      </c>
      <c r="N21" s="334">
        <f t="shared" si="3"/>
        <v>110</v>
      </c>
      <c r="O21" s="334">
        <f t="shared" si="4"/>
        <v>300</v>
      </c>
      <c r="P21" s="335">
        <v>-85</v>
      </c>
      <c r="Q21" s="336" t="s">
        <v>331</v>
      </c>
    </row>
    <row r="22" spans="2:17" x14ac:dyDescent="0.2">
      <c r="B22" s="87" t="s">
        <v>314</v>
      </c>
      <c r="C22" s="87" t="s">
        <v>315</v>
      </c>
      <c r="D22" s="330">
        <v>171.81</v>
      </c>
      <c r="E22" s="331">
        <v>18900</v>
      </c>
      <c r="F22" s="331">
        <v>-2340</v>
      </c>
      <c r="G22" s="332">
        <f t="shared" si="0"/>
        <v>16560</v>
      </c>
      <c r="H22" s="332">
        <v>2890</v>
      </c>
      <c r="I22" s="332">
        <v>1150</v>
      </c>
      <c r="J22" s="330">
        <v>10.45</v>
      </c>
      <c r="K22" s="333">
        <v>0.06</v>
      </c>
      <c r="L22" s="333">
        <f t="shared" si="1"/>
        <v>0.39792387543252594</v>
      </c>
      <c r="M22" s="334">
        <f t="shared" si="2"/>
        <v>5.7301038062283736</v>
      </c>
      <c r="N22" s="334">
        <f t="shared" si="3"/>
        <v>14.4</v>
      </c>
      <c r="O22" s="334">
        <f t="shared" si="4"/>
        <v>16.441148325358853</v>
      </c>
      <c r="P22" s="335">
        <v>1070</v>
      </c>
      <c r="Q22" s="336">
        <f>IF(P22&gt;0,E22/P22,"NM")</f>
        <v>17.66355140186916</v>
      </c>
    </row>
    <row r="23" spans="2:17" x14ac:dyDescent="0.2">
      <c r="B23" s="293"/>
      <c r="C23" s="293"/>
      <c r="D23" s="293"/>
      <c r="E23" s="294"/>
      <c r="F23" s="294"/>
      <c r="G23" s="294"/>
      <c r="H23" s="295"/>
      <c r="I23" s="295"/>
      <c r="J23" s="295"/>
      <c r="K23" s="295"/>
      <c r="L23" s="295"/>
      <c r="M23" s="296"/>
      <c r="N23" s="296"/>
      <c r="O23" s="296"/>
      <c r="P23" s="296"/>
    </row>
    <row r="24" spans="2:17" ht="15" thickBot="1" x14ac:dyDescent="0.25">
      <c r="B24" s="272" t="s">
        <v>503</v>
      </c>
      <c r="C24" s="273"/>
      <c r="D24" s="273"/>
      <c r="E24" s="273"/>
      <c r="F24" s="273"/>
      <c r="G24" s="273"/>
      <c r="H24" s="273"/>
      <c r="I24" s="273"/>
      <c r="J24" s="273"/>
      <c r="K24" s="273"/>
      <c r="L24" s="273"/>
      <c r="M24" s="273"/>
      <c r="N24" s="273"/>
      <c r="O24" s="273"/>
      <c r="P24" s="273"/>
      <c r="Q24" s="273"/>
    </row>
    <row r="25" spans="2:17" x14ac:dyDescent="0.2">
      <c r="B25" s="337" t="s">
        <v>504</v>
      </c>
      <c r="C25" s="337"/>
      <c r="D25" s="330">
        <f t="shared" ref="D25:O25" si="5">MEDIAN(D14:D22)</f>
        <v>81.12</v>
      </c>
      <c r="E25" s="331">
        <f t="shared" si="5"/>
        <v>18900</v>
      </c>
      <c r="F25" s="331">
        <f t="shared" si="5"/>
        <v>-2000</v>
      </c>
      <c r="G25" s="332">
        <f t="shared" si="5"/>
        <v>16560</v>
      </c>
      <c r="H25" s="332">
        <f t="shared" si="5"/>
        <v>2890</v>
      </c>
      <c r="I25" s="332">
        <f t="shared" si="5"/>
        <v>845</v>
      </c>
      <c r="J25" s="330">
        <f t="shared" si="5"/>
        <v>2.97</v>
      </c>
      <c r="K25" s="333">
        <f t="shared" ref="K25" si="6">MEDIAN(K14:K22)</f>
        <v>0.16</v>
      </c>
      <c r="L25" s="333">
        <f t="shared" si="5"/>
        <v>0.21220338983050849</v>
      </c>
      <c r="M25" s="334">
        <f t="shared" si="5"/>
        <v>5.7301038062283736</v>
      </c>
      <c r="N25" s="334">
        <f t="shared" si="5"/>
        <v>29.349397590361445</v>
      </c>
      <c r="O25" s="334">
        <f t="shared" si="5"/>
        <v>41.84</v>
      </c>
      <c r="P25" s="335">
        <f>MEDIAN(P14:P22)</f>
        <v>110</v>
      </c>
      <c r="Q25" s="336">
        <f>MEDIAN(Q14:Q22)</f>
        <v>62.761904761904759</v>
      </c>
    </row>
    <row r="26" spans="2:17" x14ac:dyDescent="0.2">
      <c r="B26" s="119" t="s">
        <v>505</v>
      </c>
      <c r="C26" s="119"/>
      <c r="D26" s="330">
        <f>AVERAGE(D14:D22)</f>
        <v>125.50555555555555</v>
      </c>
      <c r="E26" s="331">
        <f t="shared" ref="E26:O26" si="7">AVERAGE(E14:E22)</f>
        <v>40637.777777777781</v>
      </c>
      <c r="F26" s="331">
        <f t="shared" si="7"/>
        <v>-2354.4444444444443</v>
      </c>
      <c r="G26" s="332">
        <f t="shared" si="7"/>
        <v>38283.333333333336</v>
      </c>
      <c r="H26" s="332">
        <f t="shared" si="7"/>
        <v>3872.8888888888887</v>
      </c>
      <c r="I26" s="332">
        <f t="shared" si="7"/>
        <v>1175.4444444444443</v>
      </c>
      <c r="J26" s="330">
        <f t="shared" si="7"/>
        <v>3.2805555555555554</v>
      </c>
      <c r="K26" s="333">
        <f t="shared" ref="K26" si="8">AVERAGE(K14:K22)</f>
        <v>0.14333333333333331</v>
      </c>
      <c r="L26" s="333">
        <f t="shared" si="7"/>
        <v>0.2249858129250506</v>
      </c>
      <c r="M26" s="334">
        <f t="shared" si="7"/>
        <v>6.994721016008274</v>
      </c>
      <c r="N26" s="334">
        <f t="shared" si="7"/>
        <v>45.010554903190219</v>
      </c>
      <c r="O26" s="334">
        <f t="shared" si="7"/>
        <v>81.840781041650544</v>
      </c>
      <c r="P26" s="335">
        <f>AVERAGE(P14:P22)</f>
        <v>620</v>
      </c>
      <c r="Q26" s="336">
        <f>AVERAGE(Q14:Q22)</f>
        <v>121.01910237904063</v>
      </c>
    </row>
    <row r="27" spans="2:17" x14ac:dyDescent="0.2">
      <c r="B27" s="293"/>
      <c r="C27" s="293"/>
      <c r="D27" s="293"/>
      <c r="E27" s="294"/>
      <c r="F27" s="294"/>
      <c r="G27" s="294"/>
      <c r="H27" s="295"/>
      <c r="I27" s="295"/>
      <c r="J27" s="295"/>
      <c r="K27" s="295"/>
      <c r="L27" s="296"/>
      <c r="M27" s="296"/>
      <c r="N27" s="296"/>
      <c r="O27" s="296"/>
    </row>
    <row r="28" spans="2:17" x14ac:dyDescent="0.2">
      <c r="B28" s="293"/>
      <c r="C28" s="293"/>
      <c r="D28" s="293"/>
      <c r="E28" s="294"/>
      <c r="F28" s="294"/>
      <c r="G28" s="294"/>
      <c r="H28" s="295"/>
      <c r="I28" s="295"/>
      <c r="J28" s="295"/>
      <c r="K28" s="295"/>
      <c r="L28" s="296"/>
      <c r="M28" s="296"/>
      <c r="N28" s="296"/>
      <c r="O28" s="296"/>
    </row>
    <row r="29" spans="2:17" ht="15" thickBot="1" x14ac:dyDescent="0.25">
      <c r="B29" s="272" t="s">
        <v>495</v>
      </c>
      <c r="C29" s="273"/>
      <c r="D29" s="273"/>
      <c r="E29" s="273"/>
      <c r="F29" s="273"/>
      <c r="G29" s="273"/>
      <c r="H29" s="273"/>
      <c r="I29" s="273"/>
      <c r="K29" s="120"/>
      <c r="O29" s="16"/>
    </row>
    <row r="30" spans="2:17" x14ac:dyDescent="0.2">
      <c r="B30" s="321" t="s">
        <v>485</v>
      </c>
      <c r="C30" s="322"/>
      <c r="D30" s="322" t="s">
        <v>496</v>
      </c>
      <c r="E30" s="322" t="s">
        <v>497</v>
      </c>
      <c r="F30" s="322" t="s">
        <v>486</v>
      </c>
      <c r="G30" s="322" t="s">
        <v>498</v>
      </c>
      <c r="H30" s="322" t="s">
        <v>499</v>
      </c>
      <c r="I30" s="322" t="s">
        <v>487</v>
      </c>
      <c r="K30" s="120"/>
      <c r="O30" s="21"/>
    </row>
    <row r="31" spans="2:17" x14ac:dyDescent="0.2">
      <c r="B31" s="305" t="s">
        <v>257</v>
      </c>
      <c r="C31" s="183"/>
      <c r="D31" s="306">
        <f>M25</f>
        <v>5.7301038062283736</v>
      </c>
      <c r="E31" s="307">
        <f>H10</f>
        <v>734.673</v>
      </c>
      <c r="F31" s="308">
        <f>D31*E31</f>
        <v>4209.7525536332178</v>
      </c>
      <c r="G31" s="308">
        <f>F31-F10</f>
        <v>3511.7525536332178</v>
      </c>
      <c r="H31" s="309">
        <f>G31/Assumptions!I64</f>
        <v>99.5911452755456</v>
      </c>
      <c r="I31" s="310">
        <f>H31/D10-1</f>
        <v>0.23684979229440639</v>
      </c>
    </row>
    <row r="32" spans="2:17" x14ac:dyDescent="0.2">
      <c r="B32" s="311" t="s">
        <v>500</v>
      </c>
      <c r="C32" s="29"/>
      <c r="D32" s="299">
        <f>N25</f>
        <v>29.349397590361445</v>
      </c>
      <c r="E32" s="298">
        <f>I10</f>
        <v>178.52553899999998</v>
      </c>
      <c r="F32" s="297">
        <f>D32*E32</f>
        <v>5239.617024144578</v>
      </c>
      <c r="G32" s="297">
        <f>F32-F10</f>
        <v>4541.617024144578</v>
      </c>
      <c r="H32" s="312">
        <f>G32/Assumptions!I64</f>
        <v>128.79746904989773</v>
      </c>
      <c r="I32" s="313">
        <f>H32/D10-1</f>
        <v>0.59957115064453226</v>
      </c>
    </row>
    <row r="33" spans="2:9" x14ac:dyDescent="0.2">
      <c r="B33" s="311" t="s">
        <v>259</v>
      </c>
      <c r="C33" s="29"/>
      <c r="D33" s="299">
        <f>O25</f>
        <v>41.84</v>
      </c>
      <c r="E33" s="338">
        <f>J10</f>
        <v>6.1888986965343298</v>
      </c>
      <c r="F33" s="339" t="s">
        <v>300</v>
      </c>
      <c r="G33" s="339" t="s">
        <v>300</v>
      </c>
      <c r="H33" s="312">
        <f>D33*E33</f>
        <v>258.94352146299639</v>
      </c>
      <c r="I33" s="313">
        <f>H33/D10-1</f>
        <v>2.2158907285518676</v>
      </c>
    </row>
    <row r="34" spans="2:9" x14ac:dyDescent="0.2">
      <c r="B34" s="311" t="s">
        <v>501</v>
      </c>
      <c r="C34" s="29"/>
      <c r="D34" s="299">
        <f>Q25</f>
        <v>62.761904761904759</v>
      </c>
      <c r="E34" s="298">
        <f>P10</f>
        <v>222.50550920547948</v>
      </c>
      <c r="F34" s="339" t="s">
        <v>300</v>
      </c>
      <c r="G34" s="339" t="s">
        <v>300</v>
      </c>
      <c r="H34" s="312">
        <f>D34*E34/Assumptions!I64</f>
        <v>396.03512309920774</v>
      </c>
      <c r="I34" s="313">
        <f>H34/D10-1</f>
        <v>3.9184689903031265</v>
      </c>
    </row>
    <row r="35" spans="2:9" x14ac:dyDescent="0.2">
      <c r="B35" s="340"/>
      <c r="C35" s="56"/>
      <c r="D35" s="341"/>
      <c r="E35" s="342"/>
      <c r="F35" s="343"/>
      <c r="G35" s="343"/>
      <c r="H35" s="344"/>
      <c r="I35" s="345"/>
    </row>
    <row r="36" spans="2:9" ht="15" thickBot="1" x14ac:dyDescent="0.25">
      <c r="B36" s="272" t="s">
        <v>494</v>
      </c>
      <c r="C36" s="273"/>
      <c r="D36" s="273"/>
      <c r="E36" s="273"/>
      <c r="F36" s="273"/>
      <c r="G36" s="273"/>
      <c r="H36" s="273"/>
      <c r="I36" s="273"/>
    </row>
    <row r="37" spans="2:9" ht="14" customHeight="1" x14ac:dyDescent="0.2">
      <c r="B37" s="398" t="s">
        <v>506</v>
      </c>
      <c r="C37" s="398"/>
      <c r="D37" s="398"/>
      <c r="E37" s="398"/>
      <c r="F37" s="398"/>
      <c r="G37" s="398"/>
      <c r="H37" s="398"/>
      <c r="I37" s="398"/>
    </row>
    <row r="38" spans="2:9" x14ac:dyDescent="0.2">
      <c r="B38" s="399"/>
      <c r="C38" s="399"/>
      <c r="D38" s="399"/>
      <c r="E38" s="399"/>
      <c r="F38" s="399"/>
      <c r="G38" s="399"/>
      <c r="H38" s="399"/>
      <c r="I38" s="399"/>
    </row>
    <row r="39" spans="2:9" x14ac:dyDescent="0.2">
      <c r="B39" s="399"/>
      <c r="C39" s="399"/>
      <c r="D39" s="399"/>
      <c r="E39" s="399"/>
      <c r="F39" s="399"/>
      <c r="G39" s="399"/>
      <c r="H39" s="399"/>
      <c r="I39" s="399"/>
    </row>
    <row r="40" spans="2:9" x14ac:dyDescent="0.2">
      <c r="B40" s="399"/>
      <c r="C40" s="399"/>
      <c r="D40" s="399"/>
      <c r="E40" s="399"/>
      <c r="F40" s="399"/>
      <c r="G40" s="399"/>
      <c r="H40" s="399"/>
      <c r="I40" s="399"/>
    </row>
    <row r="41" spans="2:9" x14ac:dyDescent="0.2">
      <c r="B41" s="399"/>
      <c r="C41" s="399"/>
      <c r="D41" s="399"/>
      <c r="E41" s="399"/>
      <c r="F41" s="399"/>
      <c r="G41" s="399"/>
      <c r="H41" s="399"/>
      <c r="I41" s="399"/>
    </row>
    <row r="42" spans="2:9" x14ac:dyDescent="0.2">
      <c r="B42" s="399"/>
      <c r="C42" s="399"/>
      <c r="D42" s="399"/>
      <c r="E42" s="399"/>
      <c r="F42" s="399"/>
      <c r="G42" s="399"/>
      <c r="H42" s="399"/>
      <c r="I42" s="399"/>
    </row>
    <row r="43" spans="2:9" x14ac:dyDescent="0.2">
      <c r="B43" s="399"/>
      <c r="C43" s="399"/>
      <c r="D43" s="399"/>
      <c r="E43" s="399"/>
      <c r="F43" s="399"/>
      <c r="G43" s="399"/>
      <c r="H43" s="399"/>
      <c r="I43" s="399"/>
    </row>
    <row r="44" spans="2:9" x14ac:dyDescent="0.2">
      <c r="B44" s="399"/>
      <c r="C44" s="399"/>
      <c r="D44" s="399"/>
      <c r="E44" s="399"/>
      <c r="F44" s="399"/>
      <c r="G44" s="399"/>
      <c r="H44" s="399"/>
      <c r="I44" s="399"/>
    </row>
    <row r="45" spans="2:9" x14ac:dyDescent="0.2">
      <c r="B45" s="399"/>
      <c r="C45" s="399"/>
      <c r="D45" s="399"/>
      <c r="E45" s="399"/>
      <c r="F45" s="399"/>
      <c r="G45" s="399"/>
      <c r="H45" s="399"/>
      <c r="I45" s="399"/>
    </row>
  </sheetData>
  <mergeCells count="2">
    <mergeCell ref="B6:K7"/>
    <mergeCell ref="B37:I45"/>
  </mergeCell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128" t="s">
        <v>394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25"/>
  <sheetViews>
    <sheetView showGridLines="0" workbookViewId="0"/>
  </sheetViews>
  <sheetFormatPr baseColWidth="10" defaultColWidth="8.83203125" defaultRowHeight="14" x14ac:dyDescent="0.2"/>
  <cols>
    <col min="1" max="1" width="4.1640625" style="21" customWidth="1"/>
    <col min="2" max="2" width="45" style="21" customWidth="1"/>
    <col min="3" max="3" width="65" style="21" customWidth="1"/>
    <col min="4" max="5" width="8.83203125" style="21" customWidth="1"/>
    <col min="6" max="16384" width="8.83203125" style="21"/>
  </cols>
  <sheetData>
    <row r="2" spans="2:3" ht="19" customHeight="1" x14ac:dyDescent="0.2">
      <c r="B2" s="69" t="s">
        <v>269</v>
      </c>
    </row>
    <row r="3" spans="2:3" x14ac:dyDescent="0.2">
      <c r="B3" s="84" t="s">
        <v>270</v>
      </c>
    </row>
    <row r="5" spans="2:3" ht="15" customHeight="1" thickBot="1" x14ac:dyDescent="0.25">
      <c r="B5" s="85" t="s">
        <v>271</v>
      </c>
    </row>
    <row r="6" spans="2:3" x14ac:dyDescent="0.2">
      <c r="B6" s="86" t="s">
        <v>272</v>
      </c>
      <c r="C6" s="86" t="s">
        <v>273</v>
      </c>
    </row>
    <row r="7" spans="2:3" x14ac:dyDescent="0.2">
      <c r="B7" s="68" t="s">
        <v>274</v>
      </c>
      <c r="C7" s="68" t="s">
        <v>275</v>
      </c>
    </row>
    <row r="8" spans="2:3" x14ac:dyDescent="0.2">
      <c r="B8" s="68" t="s">
        <v>276</v>
      </c>
      <c r="C8" s="68" t="s">
        <v>277</v>
      </c>
    </row>
    <row r="10" spans="2:3" ht="15" customHeight="1" thickBot="1" x14ac:dyDescent="0.25">
      <c r="B10" s="85" t="s">
        <v>278</v>
      </c>
    </row>
    <row r="11" spans="2:3" x14ac:dyDescent="0.2">
      <c r="B11" s="86" t="s">
        <v>72</v>
      </c>
      <c r="C11" s="86" t="s">
        <v>279</v>
      </c>
    </row>
    <row r="12" spans="2:3" x14ac:dyDescent="0.2">
      <c r="B12" s="68" t="s">
        <v>73</v>
      </c>
      <c r="C12" s="68" t="s">
        <v>280</v>
      </c>
    </row>
    <row r="13" spans="2:3" x14ac:dyDescent="0.2">
      <c r="B13" s="68" t="s">
        <v>74</v>
      </c>
      <c r="C13" s="68" t="s">
        <v>281</v>
      </c>
    </row>
    <row r="14" spans="2:3" x14ac:dyDescent="0.2">
      <c r="B14" s="68" t="s">
        <v>282</v>
      </c>
      <c r="C14" s="68" t="s">
        <v>283</v>
      </c>
    </row>
    <row r="15" spans="2:3" x14ac:dyDescent="0.2">
      <c r="B15" s="68" t="s">
        <v>284</v>
      </c>
      <c r="C15" s="68" t="s">
        <v>285</v>
      </c>
    </row>
    <row r="16" spans="2:3" x14ac:dyDescent="0.2">
      <c r="B16" s="68" t="s">
        <v>286</v>
      </c>
      <c r="C16" s="68" t="s">
        <v>287</v>
      </c>
    </row>
    <row r="17" spans="2:3" x14ac:dyDescent="0.2">
      <c r="B17" s="68" t="s">
        <v>288</v>
      </c>
      <c r="C17" s="68" t="s">
        <v>289</v>
      </c>
    </row>
    <row r="19" spans="2:3" ht="15" customHeight="1" thickBot="1" x14ac:dyDescent="0.25">
      <c r="B19" s="85" t="s">
        <v>290</v>
      </c>
    </row>
    <row r="20" spans="2:3" x14ac:dyDescent="0.2">
      <c r="B20" s="86" t="s">
        <v>291</v>
      </c>
      <c r="C20" s="86" t="s">
        <v>301</v>
      </c>
    </row>
    <row r="21" spans="2:3" x14ac:dyDescent="0.2">
      <c r="B21" s="68" t="s">
        <v>428</v>
      </c>
      <c r="C21" s="68" t="s">
        <v>429</v>
      </c>
    </row>
    <row r="22" spans="2:3" x14ac:dyDescent="0.2">
      <c r="B22" s="68" t="s">
        <v>292</v>
      </c>
      <c r="C22" s="68" t="s">
        <v>293</v>
      </c>
    </row>
    <row r="23" spans="2:3" x14ac:dyDescent="0.2">
      <c r="B23" s="68" t="s">
        <v>294</v>
      </c>
      <c r="C23" s="68" t="s">
        <v>295</v>
      </c>
    </row>
    <row r="24" spans="2:3" x14ac:dyDescent="0.2">
      <c r="B24" s="68" t="s">
        <v>296</v>
      </c>
      <c r="C24" s="68" t="s">
        <v>301</v>
      </c>
    </row>
    <row r="25" spans="2:3" x14ac:dyDescent="0.2">
      <c r="C25" s="21" t="s">
        <v>302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A1:J112"/>
  <sheetViews>
    <sheetView showGridLines="0" workbookViewId="0">
      <selection activeCell="E9" sqref="E9"/>
    </sheetView>
  </sheetViews>
  <sheetFormatPr baseColWidth="10" defaultRowHeight="14" x14ac:dyDescent="0.2"/>
  <cols>
    <col min="1" max="1" width="3.33203125" style="4" customWidth="1"/>
    <col min="2" max="2" width="40" style="4" customWidth="1"/>
    <col min="3" max="3" width="10" style="4" customWidth="1"/>
    <col min="4" max="4" width="13.33203125" style="4" customWidth="1"/>
    <col min="5" max="9" width="14.1640625" style="4" customWidth="1"/>
    <col min="10" max="16384" width="10.83203125" style="4"/>
  </cols>
  <sheetData>
    <row r="1" spans="1:10" x14ac:dyDescent="0.2">
      <c r="A1" s="4" t="s">
        <v>389</v>
      </c>
    </row>
    <row r="2" spans="1:10" x14ac:dyDescent="0.2">
      <c r="B2" s="400" t="s">
        <v>390</v>
      </c>
      <c r="C2" s="400"/>
      <c r="D2" s="400"/>
      <c r="E2" s="400"/>
    </row>
    <row r="3" spans="1:10" x14ac:dyDescent="0.2">
      <c r="B3" s="127" t="s">
        <v>391</v>
      </c>
    </row>
    <row r="4" spans="1:10" x14ac:dyDescent="0.2">
      <c r="B4" s="127" t="s">
        <v>362</v>
      </c>
    </row>
    <row r="6" spans="1:10" x14ac:dyDescent="0.2">
      <c r="B6" s="346" t="s">
        <v>363</v>
      </c>
      <c r="C6" s="127" t="s">
        <v>364</v>
      </c>
    </row>
    <row r="8" spans="1:10" x14ac:dyDescent="0.2">
      <c r="B8" s="347" t="s">
        <v>365</v>
      </c>
      <c r="C8" s="347" t="s">
        <v>13</v>
      </c>
      <c r="E8" s="366" t="s">
        <v>18</v>
      </c>
      <c r="F8" s="366" t="s">
        <v>19</v>
      </c>
      <c r="G8" s="366" t="s">
        <v>20</v>
      </c>
      <c r="H8" s="366" t="s">
        <v>21</v>
      </c>
      <c r="I8" s="366" t="s">
        <v>22</v>
      </c>
      <c r="J8" s="366" t="s">
        <v>23</v>
      </c>
    </row>
    <row r="9" spans="1:10" x14ac:dyDescent="0.2">
      <c r="B9" s="348" t="s">
        <v>366</v>
      </c>
      <c r="C9" s="6" t="s">
        <v>25</v>
      </c>
      <c r="D9" s="6"/>
      <c r="E9" s="349">
        <v>669.1</v>
      </c>
      <c r="F9" s="349">
        <f>E9*Assumptions!$D$11/100+(Assumptions!$D$12+(Assumptions!$E$12-Assumptions!$D$12)*0/4)*(Assumptions!$D$13+(Assumptions!$E$13-Assumptions!$D$13)*0/4)/1000</f>
        <v>734.673</v>
      </c>
      <c r="G9" s="349">
        <f>F9*(Assumptions!$D$11+(Assumptions!$E$11-Assumptions!$D$11)*1/4)/100+(Assumptions!$D$12+(Assumptions!$E$12-Assumptions!$D$12)*1/4)*(Assumptions!$D$13+(Assumptions!$E$13-Assumptions!$D$13)*1/4)/1000</f>
        <v>781.67597999999998</v>
      </c>
      <c r="H9" s="349">
        <f>G9*(Assumptions!$D$11+(Assumptions!$E$11-Assumptions!$D$11)*2/4)/100+(Assumptions!$D$12+(Assumptions!$E$12-Assumptions!$D$12)*2/4)*(Assumptions!$D$13+(Assumptions!$E$13-Assumptions!$D$13)*2/4)/1000</f>
        <v>807.98422019999998</v>
      </c>
      <c r="I9" s="349">
        <f>H9*(Assumptions!$D$11+(Assumptions!$E$11-Assumptions!$D$11)*3/4)/100+(Assumptions!$D$12+(Assumptions!$E$12-Assumptions!$D$12)*3/4)*(Assumptions!$D$13+(Assumptions!$E$13-Assumptions!$D$13)*3/4)/1000</f>
        <v>812.65094359399995</v>
      </c>
      <c r="J9" s="349">
        <f>I9*(Assumptions!$D$11+(Assumptions!$E$11-Assumptions!$D$11)*4/4)/100+(Assumptions!$D$12+(Assumptions!$E$12-Assumptions!$D$12)*4/4)*(Assumptions!$D$13+(Assumptions!$E$13-Assumptions!$D$13)*4/4)/1000</f>
        <v>796.0183964142999</v>
      </c>
    </row>
    <row r="10" spans="1:10" x14ac:dyDescent="0.2">
      <c r="B10" s="350" t="s">
        <v>367</v>
      </c>
      <c r="C10" s="6" t="s">
        <v>3</v>
      </c>
      <c r="D10" s="6"/>
      <c r="E10" s="6"/>
      <c r="F10" s="351">
        <f>F9/E9-1</f>
        <v>9.800179345389326E-2</v>
      </c>
      <c r="G10" s="351">
        <f>G9/F9-1</f>
        <v>6.3978096377572014E-2</v>
      </c>
      <c r="H10" s="351">
        <f>H9/G9-1</f>
        <v>3.3656196266898197E-2</v>
      </c>
      <c r="I10" s="351">
        <f>I9/H9-1</f>
        <v>5.775760562310106E-3</v>
      </c>
      <c r="J10" s="351">
        <f>J9/I9-1</f>
        <v>-2.0467025001092765E-2</v>
      </c>
    </row>
    <row r="11" spans="1:10" x14ac:dyDescent="0.2">
      <c r="B11" s="6" t="s">
        <v>91</v>
      </c>
      <c r="C11" s="6" t="s">
        <v>3</v>
      </c>
      <c r="D11" s="6"/>
      <c r="E11" s="6"/>
      <c r="F11" s="352">
        <f>Assumptions!$D$15/100+(Assumptions!$E$15/100-Assumptions!$D$15/100)*0/4</f>
        <v>0.83</v>
      </c>
      <c r="G11" s="352">
        <f>Assumptions!$D$15/100+(Assumptions!$E$15/100-Assumptions!$D$15/100)*1/4</f>
        <v>0.82499999999999996</v>
      </c>
      <c r="H11" s="352">
        <f>Assumptions!$D$15/100+(Assumptions!$E$15/100-Assumptions!$D$15/100)*2/4</f>
        <v>0.82000000000000006</v>
      </c>
      <c r="I11" s="352">
        <f>Assumptions!$D$15/100+(Assumptions!$E$15/100-Assumptions!$D$15/100)*3/4</f>
        <v>0.81500000000000006</v>
      </c>
      <c r="J11" s="352">
        <f>Assumptions!$D$15/100+(Assumptions!$E$15/100-Assumptions!$D$15/100)*4/4</f>
        <v>0.81</v>
      </c>
    </row>
    <row r="12" spans="1:10" x14ac:dyDescent="0.2">
      <c r="B12" s="6" t="s">
        <v>368</v>
      </c>
      <c r="C12" s="6" t="s">
        <v>3</v>
      </c>
      <c r="D12" s="6"/>
      <c r="E12" s="6"/>
      <c r="F12" s="352">
        <f>Assumptions!$D$16/100+(Assumptions!$E$16/100-Assumptions!$D$16/100)*0/4</f>
        <v>0.17499999999999999</v>
      </c>
      <c r="G12" s="352">
        <f>Assumptions!$D$16/100+(Assumptions!$E$16/100-Assumptions!$D$16/100)*1/4</f>
        <v>0.18</v>
      </c>
      <c r="H12" s="352">
        <f>Assumptions!$D$16/100+(Assumptions!$E$16/100-Assumptions!$D$16/100)*2/4</f>
        <v>0.185</v>
      </c>
      <c r="I12" s="352">
        <f>Assumptions!$D$16/100+(Assumptions!$E$16/100-Assumptions!$D$16/100)*3/4</f>
        <v>0.19</v>
      </c>
      <c r="J12" s="352">
        <f>Assumptions!$D$16/100+(Assumptions!$E$16/100-Assumptions!$D$16/100)*4/4</f>
        <v>0.19500000000000001</v>
      </c>
    </row>
    <row r="13" spans="1:10" x14ac:dyDescent="0.2">
      <c r="B13" s="6" t="s">
        <v>369</v>
      </c>
      <c r="C13" s="6" t="s">
        <v>3</v>
      </c>
      <c r="D13" s="6"/>
      <c r="E13" s="6"/>
      <c r="F13" s="352">
        <f>Assumptions!$D$17/100+(Assumptions!$E$17/100-Assumptions!$D$17/100)*0/4</f>
        <v>0.21</v>
      </c>
      <c r="G13" s="352">
        <f>Assumptions!$D$17/100+(Assumptions!$E$17/100-Assumptions!$D$17/100)*1/4</f>
        <v>0.22</v>
      </c>
      <c r="H13" s="352">
        <f>Assumptions!$D$17/100+(Assumptions!$E$17/100-Assumptions!$D$17/100)*2/4</f>
        <v>0.22999999999999998</v>
      </c>
      <c r="I13" s="352">
        <f>Assumptions!$D$17/100+(Assumptions!$E$17/100-Assumptions!$D$17/100)*3/4</f>
        <v>0.24</v>
      </c>
      <c r="J13" s="352">
        <f>Assumptions!$D$17/100+(Assumptions!$E$17/100-Assumptions!$D$17/100)*4/4</f>
        <v>0.25</v>
      </c>
    </row>
    <row r="14" spans="1:10" x14ac:dyDescent="0.2">
      <c r="B14" s="6" t="s">
        <v>370</v>
      </c>
      <c r="C14" s="6" t="s">
        <v>3</v>
      </c>
      <c r="D14" s="6"/>
      <c r="E14" s="6"/>
      <c r="F14" s="352">
        <f>Assumptions!$I$46/100</f>
        <v>0.105</v>
      </c>
      <c r="G14" s="352">
        <f>Assumptions!$J$46/100</f>
        <v>0.105</v>
      </c>
      <c r="H14" s="352">
        <f>Assumptions!$K$46/100</f>
        <v>0.1</v>
      </c>
      <c r="I14" s="352">
        <f>Assumptions!$L$46/100</f>
        <v>0.1</v>
      </c>
      <c r="J14" s="352">
        <f>Assumptions!$M$46/100</f>
        <v>0.1</v>
      </c>
    </row>
    <row r="15" spans="1:10" x14ac:dyDescent="0.2">
      <c r="B15" s="348" t="s">
        <v>113</v>
      </c>
      <c r="C15" s="6" t="s">
        <v>3</v>
      </c>
      <c r="D15" s="6"/>
      <c r="E15" s="6"/>
      <c r="F15" s="353">
        <f>F11-F12-F13-F14</f>
        <v>0.34000000000000008</v>
      </c>
      <c r="G15" s="353">
        <f>G11-G12-G13-G14</f>
        <v>0.32000000000000006</v>
      </c>
      <c r="H15" s="353">
        <f>H11-H12-H13-H14</f>
        <v>0.30500000000000005</v>
      </c>
      <c r="I15" s="353">
        <f>I11-I12-I13-I14</f>
        <v>0.28500000000000003</v>
      </c>
      <c r="J15" s="353">
        <f>J11-J12-J13-J14</f>
        <v>0.26500000000000001</v>
      </c>
    </row>
    <row r="16" spans="1:10" x14ac:dyDescent="0.2">
      <c r="B16" s="348" t="s">
        <v>371</v>
      </c>
      <c r="C16" s="6" t="s">
        <v>25</v>
      </c>
      <c r="D16" s="6"/>
      <c r="E16" s="6"/>
      <c r="F16" s="354">
        <f>F9*F15</f>
        <v>249.78882000000007</v>
      </c>
      <c r="G16" s="354">
        <f>G9*G15</f>
        <v>250.13631360000005</v>
      </c>
      <c r="H16" s="354">
        <f>H9*H15</f>
        <v>246.43518716100004</v>
      </c>
      <c r="I16" s="354">
        <f>I9*I15</f>
        <v>231.60551892429001</v>
      </c>
      <c r="J16" s="354">
        <f>J9*J15</f>
        <v>210.94487504978949</v>
      </c>
    </row>
    <row r="17" spans="2:10" x14ac:dyDescent="0.2">
      <c r="B17" s="6" t="s">
        <v>372</v>
      </c>
      <c r="C17" s="6" t="s">
        <v>25</v>
      </c>
      <c r="D17" s="6"/>
      <c r="E17" s="6"/>
      <c r="F17" s="349">
        <f>F9*Assumptions!$I$55/100</f>
        <v>13.224114</v>
      </c>
      <c r="G17" s="349">
        <f>G9*Assumptions!$J$55/100</f>
        <v>11.7251397</v>
      </c>
      <c r="H17" s="349">
        <f>H9*Assumptions!$K$55/100</f>
        <v>10.5037948626</v>
      </c>
      <c r="I17" s="349">
        <f>I9*Assumptions!$L$55/100</f>
        <v>9.751811323127999</v>
      </c>
      <c r="J17" s="349">
        <f>J9*Assumptions!$M$55/100</f>
        <v>8.7562023605572996</v>
      </c>
    </row>
    <row r="18" spans="2:10" x14ac:dyDescent="0.2">
      <c r="B18" s="348" t="s">
        <v>360</v>
      </c>
      <c r="C18" s="6" t="s">
        <v>25</v>
      </c>
      <c r="D18" s="6"/>
      <c r="E18" s="6"/>
      <c r="F18" s="354">
        <f>F16+F17</f>
        <v>263.01293400000009</v>
      </c>
      <c r="G18" s="354">
        <f>G16+G17</f>
        <v>261.86145330000005</v>
      </c>
      <c r="H18" s="354">
        <f>H16+H17</f>
        <v>256.93898202360003</v>
      </c>
      <c r="I18" s="354">
        <f>I16+I17</f>
        <v>241.35733024741802</v>
      </c>
      <c r="J18" s="354">
        <f>J16+J17</f>
        <v>219.70107741034678</v>
      </c>
    </row>
    <row r="19" spans="2:10" x14ac:dyDescent="0.2">
      <c r="B19" s="348" t="s">
        <v>373</v>
      </c>
      <c r="C19" s="6" t="s">
        <v>25</v>
      </c>
      <c r="D19" s="6"/>
      <c r="E19" s="6"/>
      <c r="F19" s="349">
        <f>F16*(1-Assumptions!$I$48/100)</f>
        <v>199.83105600000007</v>
      </c>
      <c r="G19" s="349">
        <f>G16*(1-Assumptions!$J$48/100)</f>
        <v>200.10905088000004</v>
      </c>
      <c r="H19" s="349">
        <f>H16*(1-Assumptions!$K$48/100)</f>
        <v>197.14814972880004</v>
      </c>
      <c r="I19" s="349">
        <f>I16*(1-Assumptions!$L$48/100)</f>
        <v>185.28441513943201</v>
      </c>
      <c r="J19" s="349">
        <f>J16*(1-Assumptions!$M$48/100)</f>
        <v>168.7559000398316</v>
      </c>
    </row>
    <row r="20" spans="2:10" x14ac:dyDescent="0.2">
      <c r="B20" s="348" t="s">
        <v>374</v>
      </c>
      <c r="C20" s="6" t="s">
        <v>25</v>
      </c>
      <c r="D20" s="6"/>
      <c r="E20" s="6"/>
      <c r="F20" s="349">
        <f>F17</f>
        <v>13.224114</v>
      </c>
      <c r="G20" s="349">
        <f>G17</f>
        <v>11.7251397</v>
      </c>
      <c r="H20" s="349">
        <f>H17</f>
        <v>10.5037948626</v>
      </c>
      <c r="I20" s="349">
        <f>I17</f>
        <v>9.751811323127999</v>
      </c>
      <c r="J20" s="349">
        <f>J17</f>
        <v>8.7562023605572996</v>
      </c>
    </row>
    <row r="21" spans="2:10" x14ac:dyDescent="0.2">
      <c r="B21" s="348" t="s">
        <v>375</v>
      </c>
      <c r="C21" s="6" t="s">
        <v>25</v>
      </c>
      <c r="D21" s="6"/>
      <c r="E21" s="6"/>
      <c r="F21" s="349">
        <f>-F9*Assumptions!$I$54/100</f>
        <v>-8.8160759999999989</v>
      </c>
      <c r="G21" s="349">
        <f>-G9*Assumptions!$J$54/100</f>
        <v>-9.3801117600000001</v>
      </c>
      <c r="H21" s="349">
        <f>-H9*Assumptions!$K$54/100</f>
        <v>-8.079842202</v>
      </c>
      <c r="I21" s="349">
        <f>-I9*Assumptions!$L$54/100</f>
        <v>-8.1265094359399992</v>
      </c>
      <c r="J21" s="349">
        <f>-J9*Assumptions!$M$54/100</f>
        <v>-7.960183964142999</v>
      </c>
    </row>
    <row r="22" spans="2:10" x14ac:dyDescent="0.2">
      <c r="B22" s="355" t="s">
        <v>388</v>
      </c>
      <c r="C22" s="6" t="s">
        <v>25</v>
      </c>
      <c r="D22" s="6"/>
      <c r="E22" s="6"/>
      <c r="F22" s="349">
        <f>(F9-E9)*Assumptions!$I$53/100</f>
        <v>39.343799999999987</v>
      </c>
      <c r="G22" s="349">
        <f>(G9-F9)*Assumptions!$J$53/100</f>
        <v>28.201787999999986</v>
      </c>
      <c r="H22" s="349">
        <f>(H9-G9)*Assumptions!$K$53/100</f>
        <v>15.78494412</v>
      </c>
      <c r="I22" s="349">
        <f>(I9-H9)*Assumptions!$L$53/100</f>
        <v>2.800034036399984</v>
      </c>
      <c r="J22" s="349">
        <f>(J9-I9)*Assumptions!$M$53/100</f>
        <v>-9.9795283078200328</v>
      </c>
    </row>
    <row r="23" spans="2:10" x14ac:dyDescent="0.2">
      <c r="B23" s="356" t="s">
        <v>361</v>
      </c>
      <c r="C23" s="4" t="s">
        <v>25</v>
      </c>
      <c r="F23" s="357">
        <f>F19+F20+F21+F22</f>
        <v>243.58289400000007</v>
      </c>
      <c r="G23" s="357">
        <f>G19+G20+G21+G22</f>
        <v>230.65586682000003</v>
      </c>
      <c r="H23" s="357">
        <f>H19+H20+H21+H22</f>
        <v>215.35704650940002</v>
      </c>
      <c r="I23" s="357">
        <f>I19+I20+I21+I22</f>
        <v>189.70975106302001</v>
      </c>
      <c r="J23" s="357">
        <f>J19+J20+J21+J22</f>
        <v>159.57239012842587</v>
      </c>
    </row>
    <row r="25" spans="2:10" x14ac:dyDescent="0.2">
      <c r="B25" s="348" t="s">
        <v>26</v>
      </c>
      <c r="C25" s="6" t="s">
        <v>27</v>
      </c>
      <c r="D25" s="6"/>
      <c r="E25" s="6"/>
      <c r="F25" s="6">
        <v>1</v>
      </c>
      <c r="G25" s="6">
        <v>2</v>
      </c>
      <c r="H25" s="6">
        <v>3</v>
      </c>
      <c r="I25" s="6">
        <v>4</v>
      </c>
      <c r="J25" s="6">
        <v>5</v>
      </c>
    </row>
    <row r="26" spans="2:10" x14ac:dyDescent="0.2">
      <c r="B26" s="348" t="s">
        <v>28</v>
      </c>
      <c r="C26" s="6" t="s">
        <v>5</v>
      </c>
      <c r="D26" s="6"/>
      <c r="E26" s="6"/>
      <c r="F26" s="358">
        <f>1/(1+Assumptions!$D$75/100)^F25</f>
        <v>0.91066387396411974</v>
      </c>
      <c r="G26" s="358">
        <f>1/(1+Assumptions!$D$75/100)^G25</f>
        <v>0.82930869134333829</v>
      </c>
      <c r="H26" s="358">
        <f>1/(1+Assumptions!$D$75/100)^H25</f>
        <v>0.75522146557083891</v>
      </c>
      <c r="I26" s="358">
        <f>1/(1+Assumptions!$D$75/100)^I25</f>
        <v>0.68775290553760027</v>
      </c>
      <c r="J26" s="358">
        <f>1/(1+Assumptions!$D$75/100)^J25</f>
        <v>0.62631172528695034</v>
      </c>
    </row>
    <row r="27" spans="2:10" x14ac:dyDescent="0.2">
      <c r="B27" s="348" t="s">
        <v>376</v>
      </c>
      <c r="C27" s="6" t="s">
        <v>25</v>
      </c>
      <c r="D27" s="6"/>
      <c r="E27" s="6"/>
      <c r="F27" s="354">
        <f>F23*F26</f>
        <v>221.82214188143161</v>
      </c>
      <c r="G27" s="354">
        <f>G23*G26</f>
        <v>191.28491506315754</v>
      </c>
      <c r="H27" s="354">
        <f>H23*H26</f>
        <v>162.6422642858364</v>
      </c>
      <c r="I27" s="354">
        <f>I23*I26</f>
        <v>130.47343250240687</v>
      </c>
      <c r="J27" s="354">
        <f>J23*J26</f>
        <v>99.942058969496728</v>
      </c>
    </row>
    <row r="28" spans="2:10" x14ac:dyDescent="0.2">
      <c r="B28" s="6"/>
      <c r="C28" s="6"/>
      <c r="D28" s="6"/>
    </row>
    <row r="29" spans="2:10" x14ac:dyDescent="0.2">
      <c r="B29" s="348" t="s">
        <v>38</v>
      </c>
      <c r="C29" s="6" t="s">
        <v>25</v>
      </c>
      <c r="D29" s="349">
        <f>SUM(F27:J27)</f>
        <v>806.16481270232919</v>
      </c>
    </row>
    <row r="30" spans="2:10" x14ac:dyDescent="0.2">
      <c r="B30" s="348" t="s">
        <v>377</v>
      </c>
      <c r="C30" s="6" t="s">
        <v>25</v>
      </c>
      <c r="D30" s="349">
        <f>J23*(1+Assumptions!$E$19/100)/(Assumptions!$D$75/100-Assumptions!$E$19/100)</f>
        <v>2084.0440196030013</v>
      </c>
    </row>
    <row r="31" spans="2:10" x14ac:dyDescent="0.2">
      <c r="B31" s="348" t="s">
        <v>378</v>
      </c>
      <c r="C31" s="6" t="s">
        <v>25</v>
      </c>
      <c r="D31" s="349">
        <f>D30*J26</f>
        <v>1305.2612054915066</v>
      </c>
    </row>
    <row r="32" spans="2:10" x14ac:dyDescent="0.2">
      <c r="B32" s="348" t="s">
        <v>379</v>
      </c>
      <c r="C32" s="6" t="s">
        <v>25</v>
      </c>
      <c r="D32" s="349">
        <f>J18*Assumptions!$E$20</f>
        <v>3295.5161611552016</v>
      </c>
    </row>
    <row r="33" spans="2:10" x14ac:dyDescent="0.2">
      <c r="B33" s="348" t="s">
        <v>380</v>
      </c>
      <c r="C33" s="6" t="s">
        <v>25</v>
      </c>
      <c r="D33" s="349">
        <f>D32*J26</f>
        <v>2064.0204126041417</v>
      </c>
    </row>
    <row r="34" spans="2:10" x14ac:dyDescent="0.2">
      <c r="B34" s="348" t="s">
        <v>40</v>
      </c>
      <c r="C34" s="6" t="s">
        <v>25</v>
      </c>
      <c r="D34" s="354">
        <f>D29+D31</f>
        <v>2111.4260181938357</v>
      </c>
    </row>
    <row r="35" spans="2:10" x14ac:dyDescent="0.2">
      <c r="B35" s="348" t="s">
        <v>42</v>
      </c>
      <c r="C35" s="6" t="s">
        <v>25</v>
      </c>
      <c r="D35" s="354">
        <f>D29+D33</f>
        <v>2870.1852253064708</v>
      </c>
    </row>
    <row r="36" spans="2:10" x14ac:dyDescent="0.2">
      <c r="B36" s="348" t="s">
        <v>381</v>
      </c>
      <c r="C36" s="6" t="s">
        <v>25</v>
      </c>
      <c r="D36" s="349">
        <f>'DCF &amp; Sensitivity'!$D$48</f>
        <v>-698</v>
      </c>
    </row>
    <row r="37" spans="2:10" x14ac:dyDescent="0.2">
      <c r="B37" s="348" t="s">
        <v>44</v>
      </c>
      <c r="C37" s="6" t="s">
        <v>25</v>
      </c>
      <c r="D37" s="349">
        <f>D34-D36</f>
        <v>2809.4260181938357</v>
      </c>
    </row>
    <row r="38" spans="2:10" x14ac:dyDescent="0.2">
      <c r="B38" s="348" t="s">
        <v>45</v>
      </c>
      <c r="C38" s="6" t="s">
        <v>25</v>
      </c>
      <c r="D38" s="349">
        <f>D35-D36</f>
        <v>3568.1852253064708</v>
      </c>
    </row>
    <row r="39" spans="2:10" x14ac:dyDescent="0.2">
      <c r="B39" s="359" t="s">
        <v>382</v>
      </c>
      <c r="C39" s="6" t="s">
        <v>49</v>
      </c>
      <c r="D39" s="360">
        <f>D37/'DCF &amp; Sensitivity'!$D$51</f>
        <v>76.970575840927012</v>
      </c>
    </row>
    <row r="40" spans="2:10" x14ac:dyDescent="0.2">
      <c r="B40" s="359" t="s">
        <v>383</v>
      </c>
      <c r="C40" s="6" t="s">
        <v>49</v>
      </c>
      <c r="D40" s="360">
        <f>D38/'DCF &amp; Sensitivity'!$D$51</f>
        <v>97.758499323464946</v>
      </c>
    </row>
    <row r="42" spans="2:10" x14ac:dyDescent="0.2">
      <c r="B42" s="361" t="s">
        <v>384</v>
      </c>
      <c r="C42" s="127" t="s">
        <v>385</v>
      </c>
    </row>
    <row r="44" spans="2:10" x14ac:dyDescent="0.2">
      <c r="B44" s="347" t="s">
        <v>365</v>
      </c>
      <c r="C44" s="347" t="s">
        <v>13</v>
      </c>
      <c r="E44" s="366" t="s">
        <v>18</v>
      </c>
      <c r="F44" s="366" t="s">
        <v>19</v>
      </c>
      <c r="G44" s="366" t="s">
        <v>20</v>
      </c>
      <c r="H44" s="366" t="s">
        <v>21</v>
      </c>
      <c r="I44" s="366" t="s">
        <v>22</v>
      </c>
      <c r="J44" s="366" t="s">
        <v>23</v>
      </c>
    </row>
    <row r="45" spans="2:10" x14ac:dyDescent="0.2">
      <c r="B45" s="348" t="s">
        <v>366</v>
      </c>
      <c r="C45" s="6" t="s">
        <v>25</v>
      </c>
      <c r="D45" s="6"/>
      <c r="E45" s="349">
        <v>669.1</v>
      </c>
      <c r="F45" s="349">
        <f>E45*Assumptions!$D$11/100+(Assumptions!$D$12+(Assumptions!$F$12-Assumptions!$D$12)*0/4)*(Assumptions!$D$13+(Assumptions!$F$13-Assumptions!$D$13)*0/4)/1000</f>
        <v>734.673</v>
      </c>
      <c r="G45" s="349">
        <f>F45*(Assumptions!$D$11+(Assumptions!$F$11-Assumptions!$D$11)*1/4)/100+(Assumptions!$D$12+(Assumptions!$F$12-Assumptions!$D$12)*1/4)*(Assumptions!$D$13+(Assumptions!$F$13-Assumptions!$D$13)*1/4)/1000</f>
        <v>798.53982499999995</v>
      </c>
      <c r="H45" s="349">
        <f>G45*(Assumptions!$D$11+(Assumptions!$F$11-Assumptions!$D$11)*2/4)/100+(Assumptions!$D$12+(Assumptions!$F$12-Assumptions!$D$12)*2/4)*(Assumptions!$D$13+(Assumptions!$F$13-Assumptions!$D$13)*2/4)/1000</f>
        <v>860.01062149999996</v>
      </c>
      <c r="I45" s="349">
        <f>H45*(Assumptions!$D$11+(Assumptions!$F$11-Assumptions!$D$11)*3/4)/100+(Assumptions!$D$12+(Assumptions!$F$12-Assumptions!$D$12)*3/4)*(Assumptions!$D$13+(Assumptions!$F$13-Assumptions!$D$13)*3/4)/1000</f>
        <v>918.41078082249999</v>
      </c>
      <c r="J45" s="349">
        <f>I45*(Assumptions!$D$11+(Assumptions!$F$11-Assumptions!$D$11)*4/4)/100+(Assumptions!$D$12+(Assumptions!$F$12-Assumptions!$D$12)*4/4)*(Assumptions!$D$13+(Assumptions!$F$13-Assumptions!$D$13)*4/4)/1000</f>
        <v>973.09488863072499</v>
      </c>
    </row>
    <row r="46" spans="2:10" x14ac:dyDescent="0.2">
      <c r="B46" s="350" t="s">
        <v>367</v>
      </c>
      <c r="C46" s="6" t="s">
        <v>3</v>
      </c>
      <c r="D46" s="6"/>
      <c r="E46" s="6"/>
      <c r="F46" s="351">
        <f>F45/E45-1</f>
        <v>9.800179345389326E-2</v>
      </c>
      <c r="G46" s="351">
        <f>G45/F45-1</f>
        <v>8.6932315465519938E-2</v>
      </c>
      <c r="H46" s="351">
        <f>H45/G45-1</f>
        <v>7.6978999137582216E-2</v>
      </c>
      <c r="I46" s="351">
        <f>I45/H45-1</f>
        <v>6.7906323320333639E-2</v>
      </c>
      <c r="J46" s="351">
        <f>J45/I45-1</f>
        <v>5.9542101366941269E-2</v>
      </c>
    </row>
    <row r="47" spans="2:10" x14ac:dyDescent="0.2">
      <c r="B47" s="6" t="s">
        <v>91</v>
      </c>
      <c r="C47" s="6" t="s">
        <v>3</v>
      </c>
      <c r="D47" s="6"/>
      <c r="E47" s="6"/>
      <c r="F47" s="352">
        <f>Assumptions!$D$15/100+(Assumptions!$F$15/100-Assumptions!$D$15/100)*0/4</f>
        <v>0.83</v>
      </c>
      <c r="G47" s="352">
        <f>Assumptions!$D$15/100+(Assumptions!$F$15/100-Assumptions!$D$15/100)*1/4</f>
        <v>0.83374999999999999</v>
      </c>
      <c r="H47" s="352">
        <f>Assumptions!$D$15/100+(Assumptions!$F$15/100-Assumptions!$D$15/100)*2/4</f>
        <v>0.83749999999999991</v>
      </c>
      <c r="I47" s="352">
        <f>Assumptions!$D$15/100+(Assumptions!$F$15/100-Assumptions!$D$15/100)*3/4</f>
        <v>0.84124999999999994</v>
      </c>
      <c r="J47" s="352">
        <f>Assumptions!$D$15/100+(Assumptions!$F$15/100-Assumptions!$D$15/100)*4/4</f>
        <v>0.84499999999999997</v>
      </c>
    </row>
    <row r="48" spans="2:10" x14ac:dyDescent="0.2">
      <c r="B48" s="6" t="s">
        <v>368</v>
      </c>
      <c r="C48" s="6" t="s">
        <v>3</v>
      </c>
      <c r="D48" s="6"/>
      <c r="E48" s="6"/>
      <c r="F48" s="352">
        <f>Assumptions!$D$16/100+(Assumptions!$F$16/100-Assumptions!$D$16/100)*0/4</f>
        <v>0.17499999999999999</v>
      </c>
      <c r="G48" s="352">
        <f>Assumptions!$D$16/100+(Assumptions!$F$16/100-Assumptions!$D$16/100)*1/4</f>
        <v>0.17499999999999999</v>
      </c>
      <c r="H48" s="352">
        <f>Assumptions!$D$16/100+(Assumptions!$F$16/100-Assumptions!$D$16/100)*2/4</f>
        <v>0.17499999999999999</v>
      </c>
      <c r="I48" s="352">
        <f>Assumptions!$D$16/100+(Assumptions!$F$16/100-Assumptions!$D$16/100)*3/4</f>
        <v>0.17499999999999999</v>
      </c>
      <c r="J48" s="352">
        <f>Assumptions!$D$16/100+(Assumptions!$F$16/100-Assumptions!$D$16/100)*4/4</f>
        <v>0.17499999999999999</v>
      </c>
    </row>
    <row r="49" spans="2:10" x14ac:dyDescent="0.2">
      <c r="B49" s="6" t="s">
        <v>369</v>
      </c>
      <c r="C49" s="6" t="s">
        <v>3</v>
      </c>
      <c r="D49" s="6"/>
      <c r="E49" s="6"/>
      <c r="F49" s="352">
        <f>Assumptions!$D$17/100+(Assumptions!$F$17/100-Assumptions!$D$17/100)*0/4</f>
        <v>0.21</v>
      </c>
      <c r="G49" s="352">
        <f>Assumptions!$D$17/100+(Assumptions!$F$17/100-Assumptions!$D$17/100)*1/4</f>
        <v>0.21124999999999999</v>
      </c>
      <c r="H49" s="352">
        <f>Assumptions!$D$17/100+(Assumptions!$F$17/100-Assumptions!$D$17/100)*2/4</f>
        <v>0.21249999999999999</v>
      </c>
      <c r="I49" s="352">
        <f>Assumptions!$D$17/100+(Assumptions!$F$17/100-Assumptions!$D$17/100)*3/4</f>
        <v>0.21375</v>
      </c>
      <c r="J49" s="352">
        <f>Assumptions!$D$17/100+(Assumptions!$F$17/100-Assumptions!$D$17/100)*4/4</f>
        <v>0.215</v>
      </c>
    </row>
    <row r="50" spans="2:10" x14ac:dyDescent="0.2">
      <c r="B50" s="6" t="s">
        <v>370</v>
      </c>
      <c r="C50" s="6" t="s">
        <v>3</v>
      </c>
      <c r="D50" s="6"/>
      <c r="E50" s="6"/>
      <c r="F50" s="352">
        <f>Assumptions!$I$46/100</f>
        <v>0.105</v>
      </c>
      <c r="G50" s="352">
        <f>Assumptions!$J$46/100</f>
        <v>0.105</v>
      </c>
      <c r="H50" s="352">
        <f>Assumptions!$K$46/100</f>
        <v>0.1</v>
      </c>
      <c r="I50" s="352">
        <f>Assumptions!$L$46/100</f>
        <v>0.1</v>
      </c>
      <c r="J50" s="352">
        <f>Assumptions!$M$46/100</f>
        <v>0.1</v>
      </c>
    </row>
    <row r="51" spans="2:10" x14ac:dyDescent="0.2">
      <c r="B51" s="348" t="s">
        <v>113</v>
      </c>
      <c r="C51" s="6" t="s">
        <v>3</v>
      </c>
      <c r="D51" s="6"/>
      <c r="E51" s="6"/>
      <c r="F51" s="353">
        <f>F47-F48-F49-F50</f>
        <v>0.34000000000000008</v>
      </c>
      <c r="G51" s="353">
        <f>G47-G48-G49-G50</f>
        <v>0.34249999999999997</v>
      </c>
      <c r="H51" s="353">
        <f>H47-H48-H49-H50</f>
        <v>0.34999999999999987</v>
      </c>
      <c r="I51" s="353">
        <f>I47-I48-I49-I50</f>
        <v>0.35250000000000004</v>
      </c>
      <c r="J51" s="353">
        <f>J47-J48-J49-J50</f>
        <v>0.35499999999999998</v>
      </c>
    </row>
    <row r="52" spans="2:10" x14ac:dyDescent="0.2">
      <c r="B52" s="348" t="s">
        <v>371</v>
      </c>
      <c r="C52" s="6" t="s">
        <v>25</v>
      </c>
      <c r="D52" s="6"/>
      <c r="E52" s="6"/>
      <c r="F52" s="354">
        <f>F45*F51</f>
        <v>249.78882000000007</v>
      </c>
      <c r="G52" s="354">
        <f>G45*G51</f>
        <v>273.49989006249996</v>
      </c>
      <c r="H52" s="354">
        <f>H45*H51</f>
        <v>301.00371752499984</v>
      </c>
      <c r="I52" s="354">
        <f>I45*I51</f>
        <v>323.7398002399313</v>
      </c>
      <c r="J52" s="354">
        <f>J45*J51</f>
        <v>345.44868546390734</v>
      </c>
    </row>
    <row r="53" spans="2:10" x14ac:dyDescent="0.2">
      <c r="B53" s="6" t="s">
        <v>372</v>
      </c>
      <c r="C53" s="6" t="s">
        <v>25</v>
      </c>
      <c r="D53" s="6"/>
      <c r="E53" s="6"/>
      <c r="F53" s="349">
        <f>F45*Assumptions!$I$55/100</f>
        <v>13.224114</v>
      </c>
      <c r="G53" s="349">
        <f>G45*Assumptions!$J$55/100</f>
        <v>11.978097374999999</v>
      </c>
      <c r="H53" s="349">
        <f>H45*Assumptions!$K$55/100</f>
        <v>11.180138079500001</v>
      </c>
      <c r="I53" s="349">
        <f>I45*Assumptions!$L$55/100</f>
        <v>11.02092936987</v>
      </c>
      <c r="J53" s="349">
        <f>J45*Assumptions!$M$55/100</f>
        <v>10.704043774937976</v>
      </c>
    </row>
    <row r="54" spans="2:10" x14ac:dyDescent="0.2">
      <c r="B54" s="348" t="s">
        <v>360</v>
      </c>
      <c r="C54" s="6" t="s">
        <v>25</v>
      </c>
      <c r="D54" s="6"/>
      <c r="E54" s="6"/>
      <c r="F54" s="354">
        <f>F52+F53</f>
        <v>263.01293400000009</v>
      </c>
      <c r="G54" s="354">
        <f>G52+G53</f>
        <v>285.47798743749996</v>
      </c>
      <c r="H54" s="354">
        <f>H52+H53</f>
        <v>312.18385560449985</v>
      </c>
      <c r="I54" s="354">
        <f>I52+I53</f>
        <v>334.76072960980127</v>
      </c>
      <c r="J54" s="354">
        <f>J52+J53</f>
        <v>356.15272923884532</v>
      </c>
    </row>
    <row r="55" spans="2:10" x14ac:dyDescent="0.2">
      <c r="B55" s="348" t="s">
        <v>373</v>
      </c>
      <c r="C55" s="6" t="s">
        <v>25</v>
      </c>
      <c r="D55" s="6"/>
      <c r="E55" s="6"/>
      <c r="F55" s="349">
        <f>F52*(1-Assumptions!$I$48/100)</f>
        <v>199.83105600000007</v>
      </c>
      <c r="G55" s="349">
        <f>G52*(1-Assumptions!$J$48/100)</f>
        <v>218.79991204999999</v>
      </c>
      <c r="H55" s="349">
        <f>H52*(1-Assumptions!$K$48/100)</f>
        <v>240.80297401999988</v>
      </c>
      <c r="I55" s="349">
        <f>I52*(1-Assumptions!$L$48/100)</f>
        <v>258.99184019194507</v>
      </c>
      <c r="J55" s="349">
        <f>J52*(1-Assumptions!$M$48/100)</f>
        <v>276.3589483711259</v>
      </c>
    </row>
    <row r="56" spans="2:10" x14ac:dyDescent="0.2">
      <c r="B56" s="348" t="s">
        <v>374</v>
      </c>
      <c r="C56" s="6" t="s">
        <v>25</v>
      </c>
      <c r="D56" s="6"/>
      <c r="E56" s="6"/>
      <c r="F56" s="349">
        <f>F53</f>
        <v>13.224114</v>
      </c>
      <c r="G56" s="349">
        <f>G53</f>
        <v>11.978097374999999</v>
      </c>
      <c r="H56" s="349">
        <f>H53</f>
        <v>11.180138079500001</v>
      </c>
      <c r="I56" s="349">
        <f>I53</f>
        <v>11.02092936987</v>
      </c>
      <c r="J56" s="349">
        <f>J53</f>
        <v>10.704043774937976</v>
      </c>
    </row>
    <row r="57" spans="2:10" x14ac:dyDescent="0.2">
      <c r="B57" s="348" t="s">
        <v>375</v>
      </c>
      <c r="C57" s="6" t="s">
        <v>25</v>
      </c>
      <c r="D57" s="6"/>
      <c r="E57" s="6"/>
      <c r="F57" s="349">
        <f>-F45*Assumptions!$I$54/100</f>
        <v>-8.8160759999999989</v>
      </c>
      <c r="G57" s="349">
        <f>-G45*Assumptions!$J$54/100</f>
        <v>-9.5824778999999989</v>
      </c>
      <c r="H57" s="349">
        <f>-H45*Assumptions!$K$54/100</f>
        <v>-8.6001062150000003</v>
      </c>
      <c r="I57" s="349">
        <f>-I45*Assumptions!$L$54/100</f>
        <v>-9.1841078082250007</v>
      </c>
      <c r="J57" s="349">
        <f>-J45*Assumptions!$M$54/100</f>
        <v>-9.7309488863072495</v>
      </c>
    </row>
    <row r="58" spans="2:10" x14ac:dyDescent="0.2">
      <c r="B58" s="355" t="s">
        <v>388</v>
      </c>
      <c r="C58" s="6" t="s">
        <v>25</v>
      </c>
      <c r="D58" s="6"/>
      <c r="E58" s="6"/>
      <c r="F58" s="349">
        <f>(F45-E45)*Assumptions!$I$53/100</f>
        <v>39.343799999999987</v>
      </c>
      <c r="G58" s="349">
        <f>(G45-F45)*Assumptions!$J$53/100</f>
        <v>38.320094999999966</v>
      </c>
      <c r="H58" s="349">
        <f>(H45-G45)*Assumptions!$K$53/100</f>
        <v>36.882477900000005</v>
      </c>
      <c r="I58" s="349">
        <f>(I45-H45)*Assumptions!$L$53/100</f>
        <v>35.04009559350002</v>
      </c>
      <c r="J58" s="349">
        <f>(J45-I45)*Assumptions!$M$53/100</f>
        <v>32.810464684935006</v>
      </c>
    </row>
    <row r="59" spans="2:10" x14ac:dyDescent="0.2">
      <c r="B59" s="362" t="s">
        <v>361</v>
      </c>
      <c r="C59" s="6" t="s">
        <v>25</v>
      </c>
      <c r="D59" s="6"/>
      <c r="E59" s="6"/>
      <c r="F59" s="363">
        <f>F55+F56+F57+F58</f>
        <v>243.58289400000007</v>
      </c>
      <c r="G59" s="363">
        <f>G55+G56+G57+G58</f>
        <v>259.51562652499996</v>
      </c>
      <c r="H59" s="363">
        <f>H55+H56+H57+H58</f>
        <v>280.26548378449991</v>
      </c>
      <c r="I59" s="363">
        <f>I55+I56+I57+I58</f>
        <v>295.86875734709008</v>
      </c>
      <c r="J59" s="363">
        <f>J55+J56+J57+J58</f>
        <v>310.14250794469166</v>
      </c>
    </row>
    <row r="61" spans="2:10" x14ac:dyDescent="0.2">
      <c r="B61" s="348" t="s">
        <v>26</v>
      </c>
      <c r="C61" s="6" t="s">
        <v>27</v>
      </c>
      <c r="D61" s="6"/>
      <c r="E61" s="6"/>
      <c r="F61" s="6">
        <v>1</v>
      </c>
      <c r="G61" s="6">
        <v>2</v>
      </c>
      <c r="H61" s="6">
        <v>3</v>
      </c>
      <c r="I61" s="6">
        <v>4</v>
      </c>
      <c r="J61" s="6">
        <v>5</v>
      </c>
    </row>
    <row r="62" spans="2:10" x14ac:dyDescent="0.2">
      <c r="B62" s="348" t="s">
        <v>28</v>
      </c>
      <c r="C62" s="6" t="s">
        <v>5</v>
      </c>
      <c r="D62" s="6"/>
      <c r="E62" s="6"/>
      <c r="F62" s="358">
        <f>1/(1+Assumptions!$D$75/100)^F61</f>
        <v>0.91066387396411974</v>
      </c>
      <c r="G62" s="358">
        <f>1/(1+Assumptions!$D$75/100)^G61</f>
        <v>0.82930869134333829</v>
      </c>
      <c r="H62" s="358">
        <f>1/(1+Assumptions!$D$75/100)^H61</f>
        <v>0.75522146557083891</v>
      </c>
      <c r="I62" s="358">
        <f>1/(1+Assumptions!$D$75/100)^I61</f>
        <v>0.68775290553760027</v>
      </c>
      <c r="J62" s="358">
        <f>1/(1+Assumptions!$D$75/100)^J61</f>
        <v>0.62631172528695034</v>
      </c>
    </row>
    <row r="63" spans="2:10" x14ac:dyDescent="0.2">
      <c r="B63" s="348" t="s">
        <v>376</v>
      </c>
      <c r="C63" s="6" t="s">
        <v>25</v>
      </c>
      <c r="D63" s="6"/>
      <c r="E63" s="6"/>
      <c r="F63" s="354">
        <f>F59*F62</f>
        <v>221.82214188143161</v>
      </c>
      <c r="G63" s="354">
        <f>G59*G62</f>
        <v>215.21856461659425</v>
      </c>
      <c r="H63" s="354">
        <f>H59*H62</f>
        <v>211.66250941265019</v>
      </c>
      <c r="I63" s="354">
        <f>I59*I62</f>
        <v>203.48459752326042</v>
      </c>
      <c r="J63" s="354">
        <f>J59*J62</f>
        <v>194.24588923566154</v>
      </c>
    </row>
    <row r="64" spans="2:10" x14ac:dyDescent="0.2">
      <c r="B64" s="6"/>
      <c r="C64" s="6"/>
      <c r="D64" s="6"/>
    </row>
    <row r="65" spans="2:10" x14ac:dyDescent="0.2">
      <c r="B65" s="348" t="s">
        <v>38</v>
      </c>
      <c r="C65" s="6" t="s">
        <v>25</v>
      </c>
      <c r="D65" s="349">
        <f>SUM(F63:J63)</f>
        <v>1046.433702669598</v>
      </c>
    </row>
    <row r="66" spans="2:10" x14ac:dyDescent="0.2">
      <c r="B66" s="348" t="s">
        <v>377</v>
      </c>
      <c r="C66" s="6" t="s">
        <v>25</v>
      </c>
      <c r="D66" s="349">
        <f>J59*(1+Assumptions!$F$19/100)/(Assumptions!$D$75/100-Assumptions!$F$19/100)</f>
        <v>4690.8485048903449</v>
      </c>
    </row>
    <row r="67" spans="2:10" x14ac:dyDescent="0.2">
      <c r="B67" s="348" t="s">
        <v>378</v>
      </c>
      <c r="C67" s="6" t="s">
        <v>25</v>
      </c>
      <c r="D67" s="349">
        <f>D66*J62</f>
        <v>2937.9334201575834</v>
      </c>
    </row>
    <row r="68" spans="2:10" x14ac:dyDescent="0.2">
      <c r="B68" s="348" t="s">
        <v>379</v>
      </c>
      <c r="C68" s="6" t="s">
        <v>25</v>
      </c>
      <c r="D68" s="349">
        <f>J54*Assumptions!$F$20</f>
        <v>7123.0545847769063</v>
      </c>
    </row>
    <row r="69" spans="2:10" x14ac:dyDescent="0.2">
      <c r="B69" s="348" t="s">
        <v>380</v>
      </c>
      <c r="C69" s="6" t="s">
        <v>25</v>
      </c>
      <c r="D69" s="349">
        <f>D68*J62</f>
        <v>4461.2526063047462</v>
      </c>
    </row>
    <row r="70" spans="2:10" x14ac:dyDescent="0.2">
      <c r="B70" s="348" t="s">
        <v>40</v>
      </c>
      <c r="C70" s="6" t="s">
        <v>25</v>
      </c>
      <c r="D70" s="354">
        <f>D65+D67</f>
        <v>3984.3671228271814</v>
      </c>
    </row>
    <row r="71" spans="2:10" x14ac:dyDescent="0.2">
      <c r="B71" s="348" t="s">
        <v>42</v>
      </c>
      <c r="C71" s="6" t="s">
        <v>25</v>
      </c>
      <c r="D71" s="354">
        <f>D65+D69</f>
        <v>5507.6863089743438</v>
      </c>
    </row>
    <row r="72" spans="2:10" x14ac:dyDescent="0.2">
      <c r="B72" s="348" t="s">
        <v>381</v>
      </c>
      <c r="C72" s="6" t="s">
        <v>25</v>
      </c>
      <c r="D72" s="349">
        <f>'DCF &amp; Sensitivity'!$D$48</f>
        <v>-698</v>
      </c>
    </row>
    <row r="73" spans="2:10" x14ac:dyDescent="0.2">
      <c r="B73" s="348" t="s">
        <v>44</v>
      </c>
      <c r="C73" s="6" t="s">
        <v>25</v>
      </c>
      <c r="D73" s="349">
        <f>D70-D72</f>
        <v>4682.3671228271814</v>
      </c>
    </row>
    <row r="74" spans="2:10" x14ac:dyDescent="0.2">
      <c r="B74" s="348" t="s">
        <v>45</v>
      </c>
      <c r="C74" s="6" t="s">
        <v>25</v>
      </c>
      <c r="D74" s="349">
        <f>D71-D72</f>
        <v>6205.6863089743438</v>
      </c>
    </row>
    <row r="75" spans="2:10" x14ac:dyDescent="0.2">
      <c r="B75" s="359" t="s">
        <v>382</v>
      </c>
      <c r="C75" s="6" t="s">
        <v>49</v>
      </c>
      <c r="D75" s="360">
        <f>D73/'DCF &amp; Sensitivity'!$D$51</f>
        <v>128.28403076238854</v>
      </c>
    </row>
    <row r="76" spans="2:10" x14ac:dyDescent="0.2">
      <c r="B76" s="289" t="s">
        <v>383</v>
      </c>
      <c r="C76" s="4" t="s">
        <v>49</v>
      </c>
      <c r="D76" s="364">
        <f>D74/'DCF &amp; Sensitivity'!$D$51</f>
        <v>170.01880298559846</v>
      </c>
    </row>
    <row r="78" spans="2:10" x14ac:dyDescent="0.2">
      <c r="B78" s="365" t="s">
        <v>386</v>
      </c>
      <c r="C78" s="127" t="s">
        <v>387</v>
      </c>
    </row>
    <row r="80" spans="2:10" x14ac:dyDescent="0.2">
      <c r="B80" s="347" t="s">
        <v>365</v>
      </c>
      <c r="C80" s="347" t="s">
        <v>13</v>
      </c>
      <c r="E80" s="366" t="s">
        <v>18</v>
      </c>
      <c r="F80" s="366" t="s">
        <v>19</v>
      </c>
      <c r="G80" s="366" t="s">
        <v>20</v>
      </c>
      <c r="H80" s="366" t="s">
        <v>21</v>
      </c>
      <c r="I80" s="366" t="s">
        <v>22</v>
      </c>
      <c r="J80" s="366" t="s">
        <v>23</v>
      </c>
    </row>
    <row r="81" spans="2:10" x14ac:dyDescent="0.2">
      <c r="B81" s="348" t="s">
        <v>366</v>
      </c>
      <c r="C81" s="6" t="s">
        <v>25</v>
      </c>
      <c r="D81" s="6"/>
      <c r="E81" s="349">
        <v>669.1</v>
      </c>
      <c r="F81" s="349">
        <f>E81*Assumptions!$D$11/100+(Assumptions!$D$12+(Assumptions!$G$12-Assumptions!$D$12)*0/4)*(Assumptions!$D$13+(Assumptions!$G$13-Assumptions!$D$13)*0/4)/1000</f>
        <v>734.673</v>
      </c>
      <c r="G81" s="349">
        <f>F81*(Assumptions!$D$11+(Assumptions!$G$11-Assumptions!$D$11)*1/4)/100+(Assumptions!$D$12+(Assumptions!$G$12-Assumptions!$D$12)*1/4)*(Assumptions!$D$13+(Assumptions!$G$13-Assumptions!$D$13)*1/4)/1000</f>
        <v>810.23030499999993</v>
      </c>
      <c r="H81" s="349">
        <f>G81*(Assumptions!$D$11+(Assumptions!$G$11-Assumptions!$D$11)*2/4)/100+(Assumptions!$D$12+(Assumptions!$G$12-Assumptions!$D$12)*2/4)*(Assumptions!$D$13+(Assumptions!$G$13-Assumptions!$D$13)*2/4)/1000</f>
        <v>897.0145172</v>
      </c>
      <c r="I81" s="349">
        <f>H81*(Assumptions!$D$11+(Assumptions!$G$11-Assumptions!$D$11)*3/4)/100+(Assumptions!$D$12+(Assumptions!$G$12-Assumptions!$D$12)*3/4)*(Assumptions!$D$13+(Assumptions!$G$13-Assumptions!$D$13)*3/4)/1000</f>
        <v>996.47392047400001</v>
      </c>
      <c r="J81" s="349">
        <f>I81*(Assumptions!$D$11+(Assumptions!$G$11-Assumptions!$D$11)*4/4)/100+(Assumptions!$D$12+(Assumptions!$G$12-Assumptions!$D$12)*4/4)*(Assumptions!$D$13+(Assumptions!$G$13-Assumptions!$D$13)*4/4)/1000</f>
        <v>1110.2976164977001</v>
      </c>
    </row>
    <row r="82" spans="2:10" x14ac:dyDescent="0.2">
      <c r="B82" s="350" t="s">
        <v>367</v>
      </c>
      <c r="C82" s="6" t="s">
        <v>3</v>
      </c>
      <c r="D82" s="6"/>
      <c r="E82" s="6"/>
      <c r="F82" s="351">
        <f>F81/E81-1</f>
        <v>9.800179345389326E-2</v>
      </c>
      <c r="G82" s="351">
        <f>G81/F81-1</f>
        <v>0.10284480986779143</v>
      </c>
      <c r="H82" s="351">
        <f>H81/G81-1</f>
        <v>0.1071105482779986</v>
      </c>
      <c r="I82" s="351">
        <f>I81/H81-1</f>
        <v>0.11087825377058458</v>
      </c>
      <c r="J82" s="351">
        <f>J81/I81-1</f>
        <v>0.11422646763254662</v>
      </c>
    </row>
    <row r="83" spans="2:10" x14ac:dyDescent="0.2">
      <c r="B83" s="6" t="s">
        <v>91</v>
      </c>
      <c r="C83" s="6" t="s">
        <v>3</v>
      </c>
      <c r="D83" s="6"/>
      <c r="E83" s="6"/>
      <c r="F83" s="352">
        <f>Assumptions!$D$15/100+(Assumptions!$G$15/100-Assumptions!$D$15/100)*0/4</f>
        <v>0.83</v>
      </c>
      <c r="G83" s="352">
        <f>Assumptions!$D$15/100+(Assumptions!$G$15/100-Assumptions!$D$15/100)*1/4</f>
        <v>0.83749999999999991</v>
      </c>
      <c r="H83" s="352">
        <f>Assumptions!$D$15/100+(Assumptions!$G$15/100-Assumptions!$D$15/100)*2/4</f>
        <v>0.84499999999999997</v>
      </c>
      <c r="I83" s="352">
        <f>Assumptions!$D$15/100+(Assumptions!$G$15/100-Assumptions!$D$15/100)*3/4</f>
        <v>0.85250000000000004</v>
      </c>
      <c r="J83" s="352">
        <f>Assumptions!$D$15/100+(Assumptions!$G$15/100-Assumptions!$D$15/100)*4/4</f>
        <v>0.86</v>
      </c>
    </row>
    <row r="84" spans="2:10" x14ac:dyDescent="0.2">
      <c r="B84" s="6" t="s">
        <v>368</v>
      </c>
      <c r="C84" s="6" t="s">
        <v>3</v>
      </c>
      <c r="D84" s="6"/>
      <c r="E84" s="6"/>
      <c r="F84" s="352">
        <f>Assumptions!$D$16/100+(Assumptions!$G$16/100-Assumptions!$D$16/100)*0/4</f>
        <v>0.17499999999999999</v>
      </c>
      <c r="G84" s="352">
        <f>Assumptions!$D$16/100+(Assumptions!$G$16/100-Assumptions!$D$16/100)*1/4</f>
        <v>0.16999999999999998</v>
      </c>
      <c r="H84" s="352">
        <f>Assumptions!$D$16/100+(Assumptions!$G$16/100-Assumptions!$D$16/100)*2/4</f>
        <v>0.16499999999999998</v>
      </c>
      <c r="I84" s="352">
        <f>Assumptions!$D$16/100+(Assumptions!$G$16/100-Assumptions!$D$16/100)*3/4</f>
        <v>0.16</v>
      </c>
      <c r="J84" s="352">
        <f>Assumptions!$D$16/100+(Assumptions!$G$16/100-Assumptions!$D$16/100)*4/4</f>
        <v>0.155</v>
      </c>
    </row>
    <row r="85" spans="2:10" x14ac:dyDescent="0.2">
      <c r="B85" s="6" t="s">
        <v>369</v>
      </c>
      <c r="C85" s="6" t="s">
        <v>3</v>
      </c>
      <c r="D85" s="6"/>
      <c r="E85" s="6"/>
      <c r="F85" s="352">
        <f>Assumptions!$D$17/100+(Assumptions!$G$17/100-Assumptions!$D$17/100)*0/4</f>
        <v>0.21</v>
      </c>
      <c r="G85" s="352">
        <f>Assumptions!$D$17/100+(Assumptions!$G$17/100-Assumptions!$D$17/100)*1/4</f>
        <v>0.20249999999999999</v>
      </c>
      <c r="H85" s="352">
        <f>Assumptions!$D$17/100+(Assumptions!$G$17/100-Assumptions!$D$17/100)*2/4</f>
        <v>0.19500000000000001</v>
      </c>
      <c r="I85" s="352">
        <f>Assumptions!$D$17/100+(Assumptions!$G$17/100-Assumptions!$D$17/100)*3/4</f>
        <v>0.1875</v>
      </c>
      <c r="J85" s="352">
        <f>Assumptions!$D$17/100+(Assumptions!$G$17/100-Assumptions!$D$17/100)*4/4</f>
        <v>0.18</v>
      </c>
    </row>
    <row r="86" spans="2:10" x14ac:dyDescent="0.2">
      <c r="B86" s="6" t="s">
        <v>370</v>
      </c>
      <c r="C86" s="6" t="s">
        <v>3</v>
      </c>
      <c r="D86" s="6"/>
      <c r="E86" s="6"/>
      <c r="F86" s="352">
        <f>Assumptions!$I$46/100</f>
        <v>0.105</v>
      </c>
      <c r="G86" s="352">
        <f>Assumptions!$J$46/100</f>
        <v>0.105</v>
      </c>
      <c r="H86" s="352">
        <f>Assumptions!$K$46/100</f>
        <v>0.1</v>
      </c>
      <c r="I86" s="352">
        <f>Assumptions!$L$46/100</f>
        <v>0.1</v>
      </c>
      <c r="J86" s="352">
        <f>Assumptions!$M$46/100</f>
        <v>0.1</v>
      </c>
    </row>
    <row r="87" spans="2:10" x14ac:dyDescent="0.2">
      <c r="B87" s="348" t="s">
        <v>113</v>
      </c>
      <c r="C87" s="6" t="s">
        <v>3</v>
      </c>
      <c r="D87" s="6"/>
      <c r="E87" s="6"/>
      <c r="F87" s="353">
        <f>F83-F84-F85-F86</f>
        <v>0.34000000000000008</v>
      </c>
      <c r="G87" s="353">
        <f>G83-G84-G85-G86</f>
        <v>0.36</v>
      </c>
      <c r="H87" s="353">
        <f>H83-H84-H85-H86</f>
        <v>0.3849999999999999</v>
      </c>
      <c r="I87" s="353">
        <f>I83-I84-I85-I86</f>
        <v>0.40500000000000003</v>
      </c>
      <c r="J87" s="353">
        <f>J83-J84-J85-J86</f>
        <v>0.42499999999999993</v>
      </c>
    </row>
    <row r="88" spans="2:10" x14ac:dyDescent="0.2">
      <c r="B88" s="348" t="s">
        <v>371</v>
      </c>
      <c r="C88" s="6" t="s">
        <v>25</v>
      </c>
      <c r="D88" s="6"/>
      <c r="E88" s="6"/>
      <c r="F88" s="354">
        <f>F81*F87</f>
        <v>249.78882000000007</v>
      </c>
      <c r="G88" s="354">
        <f>G81*G87</f>
        <v>291.68290979999995</v>
      </c>
      <c r="H88" s="354">
        <f>H81*H87</f>
        <v>345.35058912199992</v>
      </c>
      <c r="I88" s="354">
        <f>I81*I87</f>
        <v>403.57193779197002</v>
      </c>
      <c r="J88" s="354">
        <f>J81*J87</f>
        <v>471.8764870115225</v>
      </c>
    </row>
    <row r="89" spans="2:10" x14ac:dyDescent="0.2">
      <c r="B89" s="6" t="s">
        <v>372</v>
      </c>
      <c r="C89" s="6" t="s">
        <v>25</v>
      </c>
      <c r="D89" s="6"/>
      <c r="E89" s="6"/>
      <c r="F89" s="349">
        <f>F81*Assumptions!$I$55/100</f>
        <v>13.224114</v>
      </c>
      <c r="G89" s="349">
        <f>G81*Assumptions!$J$55/100</f>
        <v>12.153454574999998</v>
      </c>
      <c r="H89" s="349">
        <f>H81*Assumptions!$K$55/100</f>
        <v>11.6611887236</v>
      </c>
      <c r="I89" s="349">
        <f>I81*Assumptions!$L$55/100</f>
        <v>11.957687045687999</v>
      </c>
      <c r="J89" s="349">
        <f>J81*Assumptions!$M$55/100</f>
        <v>12.213273781474703</v>
      </c>
    </row>
    <row r="90" spans="2:10" x14ac:dyDescent="0.2">
      <c r="B90" s="348" t="s">
        <v>360</v>
      </c>
      <c r="C90" s="6" t="s">
        <v>25</v>
      </c>
      <c r="D90" s="6"/>
      <c r="E90" s="6"/>
      <c r="F90" s="354">
        <f>F88+F89</f>
        <v>263.01293400000009</v>
      </c>
      <c r="G90" s="354">
        <f>G88+G89</f>
        <v>303.83636437499996</v>
      </c>
      <c r="H90" s="354">
        <f>H88+H89</f>
        <v>357.01177784559991</v>
      </c>
      <c r="I90" s="354">
        <f>I88+I89</f>
        <v>415.52962483765799</v>
      </c>
      <c r="J90" s="354">
        <f>J88+J89</f>
        <v>484.0897607929972</v>
      </c>
    </row>
    <row r="91" spans="2:10" x14ac:dyDescent="0.2">
      <c r="B91" s="348" t="s">
        <v>373</v>
      </c>
      <c r="C91" s="6" t="s">
        <v>25</v>
      </c>
      <c r="D91" s="6"/>
      <c r="E91" s="6"/>
      <c r="F91" s="349">
        <f>F88*(1-Assumptions!$I$48/100)</f>
        <v>199.83105600000007</v>
      </c>
      <c r="G91" s="349">
        <f>G88*(1-Assumptions!$J$48/100)</f>
        <v>233.34632783999996</v>
      </c>
      <c r="H91" s="349">
        <f>H88*(1-Assumptions!$K$48/100)</f>
        <v>276.28047129759995</v>
      </c>
      <c r="I91" s="349">
        <f>I88*(1-Assumptions!$L$48/100)</f>
        <v>322.85755023357603</v>
      </c>
      <c r="J91" s="349">
        <f>J88*(1-Assumptions!$M$48/100)</f>
        <v>377.50118960921805</v>
      </c>
    </row>
    <row r="92" spans="2:10" x14ac:dyDescent="0.2">
      <c r="B92" s="348" t="s">
        <v>374</v>
      </c>
      <c r="C92" s="6" t="s">
        <v>25</v>
      </c>
      <c r="D92" s="6"/>
      <c r="E92" s="6"/>
      <c r="F92" s="349">
        <f>F89</f>
        <v>13.224114</v>
      </c>
      <c r="G92" s="349">
        <f>G89</f>
        <v>12.153454574999998</v>
      </c>
      <c r="H92" s="349">
        <f>H89</f>
        <v>11.6611887236</v>
      </c>
      <c r="I92" s="349">
        <f>I89</f>
        <v>11.957687045687999</v>
      </c>
      <c r="J92" s="349">
        <f>J89</f>
        <v>12.213273781474703</v>
      </c>
    </row>
    <row r="93" spans="2:10" x14ac:dyDescent="0.2">
      <c r="B93" s="348" t="s">
        <v>375</v>
      </c>
      <c r="C93" s="6" t="s">
        <v>25</v>
      </c>
      <c r="D93" s="6"/>
      <c r="E93" s="6"/>
      <c r="F93" s="349">
        <f>-F81*Assumptions!$I$54/100</f>
        <v>-8.8160759999999989</v>
      </c>
      <c r="G93" s="349">
        <f>-G81*Assumptions!$J$54/100</f>
        <v>-9.7227636599999983</v>
      </c>
      <c r="H93" s="349">
        <f>-H81*Assumptions!$K$54/100</f>
        <v>-8.9701451720000005</v>
      </c>
      <c r="I93" s="349">
        <f>-I81*Assumptions!$L$54/100</f>
        <v>-9.9647392047400007</v>
      </c>
      <c r="J93" s="349">
        <f>-J81*Assumptions!$M$54/100</f>
        <v>-11.102976164977001</v>
      </c>
    </row>
    <row r="94" spans="2:10" x14ac:dyDescent="0.2">
      <c r="B94" s="355" t="s">
        <v>388</v>
      </c>
      <c r="C94" s="6" t="s">
        <v>25</v>
      </c>
      <c r="D94" s="6"/>
      <c r="E94" s="6"/>
      <c r="F94" s="349">
        <f>(F81-E81)*Assumptions!$I$53/100</f>
        <v>39.343799999999987</v>
      </c>
      <c r="G94" s="349">
        <f>(G81-F81)*Assumptions!$J$53/100</f>
        <v>45.33438299999996</v>
      </c>
      <c r="H94" s="349">
        <f>(H81-G81)*Assumptions!$K$53/100</f>
        <v>52.070527320000039</v>
      </c>
      <c r="I94" s="349">
        <f>(I81-H81)*Assumptions!$L$53/100</f>
        <v>59.6756419644</v>
      </c>
      <c r="J94" s="349">
        <f>(J81-I81)*Assumptions!$M$53/100</f>
        <v>68.294217614220074</v>
      </c>
    </row>
    <row r="95" spans="2:10" x14ac:dyDescent="0.2">
      <c r="B95" s="362" t="s">
        <v>361</v>
      </c>
      <c r="C95" s="6" t="s">
        <v>25</v>
      </c>
      <c r="D95" s="6"/>
      <c r="E95" s="6"/>
      <c r="F95" s="363">
        <f>F91+F92+F93+F94</f>
        <v>243.58289400000007</v>
      </c>
      <c r="G95" s="363">
        <f>G91+G92+G93+G94</f>
        <v>281.11140175499992</v>
      </c>
      <c r="H95" s="363">
        <f>H91+H92+H93+H94</f>
        <v>331.04204216919999</v>
      </c>
      <c r="I95" s="363">
        <f>I91+I92+I93+I94</f>
        <v>384.52614003892404</v>
      </c>
      <c r="J95" s="363">
        <f>J91+J92+J93+J94</f>
        <v>446.90570483993582</v>
      </c>
    </row>
    <row r="97" spans="2:10" x14ac:dyDescent="0.2">
      <c r="B97" s="348" t="s">
        <v>26</v>
      </c>
      <c r="C97" s="6" t="s">
        <v>27</v>
      </c>
      <c r="D97" s="6"/>
      <c r="E97" s="6"/>
      <c r="F97" s="6">
        <v>1</v>
      </c>
      <c r="G97" s="6">
        <v>2</v>
      </c>
      <c r="H97" s="6">
        <v>3</v>
      </c>
      <c r="I97" s="6">
        <v>4</v>
      </c>
      <c r="J97" s="6">
        <v>5</v>
      </c>
    </row>
    <row r="98" spans="2:10" x14ac:dyDescent="0.2">
      <c r="B98" s="348" t="s">
        <v>28</v>
      </c>
      <c r="C98" s="6" t="s">
        <v>5</v>
      </c>
      <c r="D98" s="6"/>
      <c r="E98" s="6"/>
      <c r="F98" s="358">
        <f>1/(1+Assumptions!$D$75/100)^F97</f>
        <v>0.91066387396411974</v>
      </c>
      <c r="G98" s="358">
        <f>1/(1+Assumptions!$D$75/100)^G97</f>
        <v>0.82930869134333829</v>
      </c>
      <c r="H98" s="358">
        <f>1/(1+Assumptions!$D$75/100)^H97</f>
        <v>0.75522146557083891</v>
      </c>
      <c r="I98" s="358">
        <f>1/(1+Assumptions!$D$75/100)^I97</f>
        <v>0.68775290553760027</v>
      </c>
      <c r="J98" s="358">
        <f>1/(1+Assumptions!$D$75/100)^J97</f>
        <v>0.62631172528695034</v>
      </c>
    </row>
    <row r="99" spans="2:10" x14ac:dyDescent="0.2">
      <c r="B99" s="348" t="s">
        <v>376</v>
      </c>
      <c r="C99" s="6" t="s">
        <v>25</v>
      </c>
      <c r="D99" s="6"/>
      <c r="E99" s="6"/>
      <c r="F99" s="354">
        <f>F95*F98</f>
        <v>221.82214188143161</v>
      </c>
      <c r="G99" s="354">
        <f>G95*G98</f>
        <v>233.12812871113039</v>
      </c>
      <c r="H99" s="354">
        <f>H95*H98</f>
        <v>250.01005625258668</v>
      </c>
      <c r="I99" s="354">
        <f>I95*I98</f>
        <v>264.4589700669282</v>
      </c>
      <c r="J99" s="354">
        <f>J95*J98</f>
        <v>279.9022830388808</v>
      </c>
    </row>
    <row r="100" spans="2:10" x14ac:dyDescent="0.2">
      <c r="B100" s="6"/>
      <c r="C100" s="6"/>
      <c r="D100" s="6"/>
    </row>
    <row r="101" spans="2:10" x14ac:dyDescent="0.2">
      <c r="B101" s="348" t="s">
        <v>38</v>
      </c>
      <c r="C101" s="6" t="s">
        <v>25</v>
      </c>
      <c r="D101" s="349">
        <f>SUM(F99:J99)</f>
        <v>1249.3215799509576</v>
      </c>
    </row>
    <row r="102" spans="2:10" x14ac:dyDescent="0.2">
      <c r="B102" s="348" t="s">
        <v>377</v>
      </c>
      <c r="C102" s="6" t="s">
        <v>25</v>
      </c>
      <c r="D102" s="349">
        <f>J95*(1+Assumptions!$G$19/100)/(Assumptions!$D$75/100-Assumptions!$G$19/100)</f>
        <v>7330.3867592604374</v>
      </c>
    </row>
    <row r="103" spans="2:10" x14ac:dyDescent="0.2">
      <c r="B103" s="348" t="s">
        <v>378</v>
      </c>
      <c r="C103" s="6" t="s">
        <v>25</v>
      </c>
      <c r="D103" s="349">
        <f>D102*J98</f>
        <v>4591.1071782130211</v>
      </c>
    </row>
    <row r="104" spans="2:10" x14ac:dyDescent="0.2">
      <c r="B104" s="348" t="s">
        <v>379</v>
      </c>
      <c r="C104" s="6" t="s">
        <v>25</v>
      </c>
      <c r="D104" s="349">
        <f>J90*Assumptions!$G$20</f>
        <v>12102.24401982493</v>
      </c>
    </row>
    <row r="105" spans="2:10" x14ac:dyDescent="0.2">
      <c r="B105" s="348" t="s">
        <v>380</v>
      </c>
      <c r="C105" s="6" t="s">
        <v>25</v>
      </c>
      <c r="D105" s="349">
        <f>D104*J98</f>
        <v>7579.777331900229</v>
      </c>
    </row>
    <row r="106" spans="2:10" x14ac:dyDescent="0.2">
      <c r="B106" s="348" t="s">
        <v>40</v>
      </c>
      <c r="C106" s="6" t="s">
        <v>25</v>
      </c>
      <c r="D106" s="354">
        <f>D101+D103</f>
        <v>5840.4287581639783</v>
      </c>
    </row>
    <row r="107" spans="2:10" x14ac:dyDescent="0.2">
      <c r="B107" s="348" t="s">
        <v>42</v>
      </c>
      <c r="C107" s="6" t="s">
        <v>25</v>
      </c>
      <c r="D107" s="354">
        <f>D101+D105</f>
        <v>8829.0989118511861</v>
      </c>
    </row>
    <row r="108" spans="2:10" x14ac:dyDescent="0.2">
      <c r="B108" s="348" t="s">
        <v>381</v>
      </c>
      <c r="C108" s="6" t="s">
        <v>25</v>
      </c>
      <c r="D108" s="349">
        <f>'DCF &amp; Sensitivity'!$D$48</f>
        <v>-698</v>
      </c>
    </row>
    <row r="109" spans="2:10" x14ac:dyDescent="0.2">
      <c r="B109" s="348" t="s">
        <v>44</v>
      </c>
      <c r="C109" s="6" t="s">
        <v>25</v>
      </c>
      <c r="D109" s="349">
        <f>D106-D108</f>
        <v>6538.4287581639783</v>
      </c>
    </row>
    <row r="110" spans="2:10" x14ac:dyDescent="0.2">
      <c r="B110" s="348" t="s">
        <v>45</v>
      </c>
      <c r="C110" s="6" t="s">
        <v>25</v>
      </c>
      <c r="D110" s="349">
        <f>D107-D108</f>
        <v>9527.0989118511861</v>
      </c>
    </row>
    <row r="111" spans="2:10" x14ac:dyDescent="0.2">
      <c r="B111" s="359" t="s">
        <v>382</v>
      </c>
      <c r="C111" s="6" t="s">
        <v>49</v>
      </c>
      <c r="D111" s="360">
        <f>D109/'DCF &amp; Sensitivity'!$D$51</f>
        <v>179.13503447024598</v>
      </c>
    </row>
    <row r="112" spans="2:10" x14ac:dyDescent="0.2">
      <c r="B112" s="359" t="s">
        <v>383</v>
      </c>
      <c r="C112" s="6" t="s">
        <v>49</v>
      </c>
      <c r="D112" s="360">
        <f>D110/'DCF &amp; Sensitivity'!$D$51</f>
        <v>261.01640854386812</v>
      </c>
    </row>
  </sheetData>
  <mergeCells count="1">
    <mergeCell ref="B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65B70-30E5-5B46-9048-CB162BF8DCF0}">
  <dimension ref="A1:I11"/>
  <sheetViews>
    <sheetView workbookViewId="0"/>
  </sheetViews>
  <sheetFormatPr baseColWidth="10" defaultRowHeight="15" x14ac:dyDescent="0.2"/>
  <cols>
    <col min="1" max="1" width="36.6640625" customWidth="1"/>
    <col min="2" max="4" width="11.6640625" customWidth="1"/>
    <col min="5" max="5" width="46.6640625" customWidth="1"/>
    <col min="6" max="6" width="25" customWidth="1"/>
  </cols>
  <sheetData>
    <row r="1" spans="1:9" ht="16" x14ac:dyDescent="0.2">
      <c r="A1" s="165" t="s">
        <v>511</v>
      </c>
    </row>
    <row r="3" spans="1:9" x14ac:dyDescent="0.2">
      <c r="A3" s="381" t="s">
        <v>512</v>
      </c>
    </row>
    <row r="5" spans="1:9" x14ac:dyDescent="0.2">
      <c r="A5" s="382" t="s">
        <v>485</v>
      </c>
      <c r="B5" s="382" t="s">
        <v>513</v>
      </c>
      <c r="C5" s="382" t="s">
        <v>514</v>
      </c>
      <c r="D5" s="382" t="s">
        <v>515</v>
      </c>
      <c r="E5" s="382" t="s">
        <v>516</v>
      </c>
      <c r="F5" s="382" t="s">
        <v>525</v>
      </c>
      <c r="H5" s="382" t="s">
        <v>526</v>
      </c>
      <c r="I5" s="382" t="s">
        <v>527</v>
      </c>
    </row>
    <row r="6" spans="1:9" x14ac:dyDescent="0.2">
      <c r="A6" t="s">
        <v>517</v>
      </c>
      <c r="B6" s="383">
        <f>'Scenario Summary'!D8</f>
        <v>76.970575840927012</v>
      </c>
      <c r="C6" s="383">
        <f>D6-B6</f>
        <v>102.16445862931897</v>
      </c>
      <c r="D6" s="383">
        <f>'Scenario Summary'!F8</f>
        <v>179.13503447024598</v>
      </c>
      <c r="E6" t="s">
        <v>518</v>
      </c>
      <c r="F6" t="str">
        <f>"$"&amp;TEXT(B6,"#,##0")&amp;" – $"&amp;TEXT(D6,"#,##0")</f>
        <v>$77 – $179</v>
      </c>
      <c r="H6" s="383">
        <f>B11</f>
        <v>80.52</v>
      </c>
      <c r="I6">
        <v>0</v>
      </c>
    </row>
    <row r="7" spans="1:9" x14ac:dyDescent="0.2">
      <c r="A7" t="s">
        <v>519</v>
      </c>
      <c r="B7" s="383">
        <f>'Scenario Summary'!D9</f>
        <v>97.758499323464946</v>
      </c>
      <c r="C7" s="383">
        <f>D7-B7</f>
        <v>163.25790922040318</v>
      </c>
      <c r="D7" s="383">
        <f>'Scenario Summary'!F9</f>
        <v>261.01640854386812</v>
      </c>
      <c r="E7" t="s">
        <v>518</v>
      </c>
      <c r="F7" t="str">
        <f>"$"&amp;TEXT(B7,"#,##0")&amp;" – $"&amp;TEXT(D7,"#,##0")</f>
        <v>$98 – $261</v>
      </c>
      <c r="H7" s="383">
        <f>B11</f>
        <v>80.52</v>
      </c>
      <c r="I7">
        <v>1</v>
      </c>
    </row>
    <row r="8" spans="1:9" x14ac:dyDescent="0.2">
      <c r="A8" t="s">
        <v>520</v>
      </c>
      <c r="B8" s="383">
        <f>(PERCENTILE(Comps!N14:N22,0.25)*'Income Statement'!I47-'DCF &amp; Sensitivity'!D48)/Assumptions!I64</f>
        <v>34.414681777548381</v>
      </c>
      <c r="C8" s="383">
        <f>D8-B8</f>
        <v>74.864677555996167</v>
      </c>
      <c r="D8" s="383">
        <f>(PERCENTILE(Comps!N14:N22,0.75)*'Income Statement'!I47-'DCF &amp; Sensitivity'!D48)/Assumptions!I64</f>
        <v>109.27935933354455</v>
      </c>
      <c r="E8" t="s">
        <v>521</v>
      </c>
      <c r="F8" t="str">
        <f>"$"&amp;TEXT(B8,"#,##0")&amp;" – $"&amp;TEXT(D8,"#,##0")</f>
        <v>$34 – $109</v>
      </c>
    </row>
    <row r="9" spans="1:9" x14ac:dyDescent="0.2">
      <c r="A9" t="s">
        <v>522</v>
      </c>
      <c r="B9" s="383">
        <v>74.510000000000005</v>
      </c>
      <c r="C9" s="383">
        <f>D9-B9</f>
        <v>80.959999999999994</v>
      </c>
      <c r="D9" s="383">
        <v>155.47</v>
      </c>
      <c r="E9" t="s">
        <v>523</v>
      </c>
      <c r="F9" t="str">
        <f>"$"&amp;TEXT(B9,"#,##0")&amp;" – $"&amp;TEXT(D9,"#,##0")</f>
        <v>$75 – $155</v>
      </c>
    </row>
    <row r="11" spans="1:9" x14ac:dyDescent="0.2">
      <c r="A11" s="125" t="s">
        <v>524</v>
      </c>
      <c r="B11" s="383">
        <f>'DCF &amp; Sensitivity'!D55</f>
        <v>80.52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Appendix &gt;&gt;&gt;</vt:lpstr>
      <vt:lpstr>Sources</vt:lpstr>
      <vt:lpstr>Shadow DCF</vt:lpstr>
      <vt:lpstr>FootballField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2026-04-24T17:11:12Z</dcterms:modified>
</cp:coreProperties>
</file>