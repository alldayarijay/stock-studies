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arijaymehta/Library/CloudStorage/GoogleDrive-asmehta4@gmail.com/My Drive/Stock Studies/"/>
    </mc:Choice>
  </mc:AlternateContent>
  <xr:revisionPtr revIDLastSave="0" documentId="13_ncr:1_{F2401C05-60D1-C947-86D7-41299D92C0F7}" xr6:coauthVersionLast="47" xr6:coauthVersionMax="47" xr10:uidLastSave="{00000000-0000-0000-0000-000000000000}"/>
  <bookViews>
    <workbookView xWindow="4680" yWindow="600" windowWidth="33720" windowHeight="21000" xr2:uid="{00000000-000D-0000-FFFF-FFFF00000000}"/>
  </bookViews>
  <sheets>
    <sheet name="Basis of Presentation" sheetId="1" r:id="rId1"/>
    <sheet name="SWOT" sheetId="2" r:id="rId2"/>
    <sheet name="Assumptions" sheetId="3" r:id="rId3"/>
    <sheet name="Revenue Build" sheetId="4" r:id="rId4"/>
    <sheet name="Income Statement" sheetId="5" r:id="rId5"/>
    <sheet name="Balance Sheet" sheetId="6" r:id="rId6"/>
    <sheet name="Cash Flow" sheetId="7" r:id="rId7"/>
    <sheet name="DCF &amp; Sensitivity" sheetId="8" r:id="rId8"/>
    <sheet name="Comps" sheetId="10" r:id="rId9"/>
    <sheet name="Sources" sheetId="11" r:id="rId10"/>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41" i="3" l="1"/>
  <c r="M51" i="10"/>
  <c r="M52" i="10"/>
  <c r="E51" i="10"/>
  <c r="O51" i="10"/>
  <c r="O52" i="10"/>
  <c r="N52" i="10"/>
  <c r="L52" i="10"/>
  <c r="K52" i="10"/>
  <c r="J52" i="10"/>
  <c r="I52" i="10"/>
  <c r="H52" i="10"/>
  <c r="G52" i="10"/>
  <c r="F52" i="10"/>
  <c r="N51" i="10"/>
  <c r="L51" i="10"/>
  <c r="K51" i="10"/>
  <c r="J51" i="10"/>
  <c r="I51" i="10"/>
  <c r="H51" i="10"/>
  <c r="G51" i="10"/>
  <c r="F51" i="10"/>
  <c r="E52" i="10"/>
  <c r="D68" i="3"/>
  <c r="D67" i="3"/>
  <c r="D30" i="8" s="1"/>
  <c r="I9" i="4"/>
  <c r="L41" i="3"/>
  <c r="K41" i="3"/>
  <c r="J41" i="3"/>
  <c r="I41" i="3"/>
  <c r="J40" i="3"/>
  <c r="M40" i="3"/>
  <c r="L40" i="3"/>
  <c r="K40" i="3"/>
  <c r="I40" i="3"/>
  <c r="M39" i="3"/>
  <c r="L39" i="3"/>
  <c r="K39" i="3"/>
  <c r="J39" i="3"/>
  <c r="I39" i="3"/>
  <c r="H37" i="7"/>
  <c r="G37" i="7"/>
  <c r="F37" i="7"/>
  <c r="E37" i="7"/>
  <c r="D37" i="7"/>
  <c r="H36" i="7"/>
  <c r="H38" i="7" s="1"/>
  <c r="G36" i="7"/>
  <c r="G38" i="7" s="1"/>
  <c r="F36" i="7"/>
  <c r="F38" i="7" s="1"/>
  <c r="E36" i="7"/>
  <c r="E38" i="7" s="1"/>
  <c r="D36" i="7"/>
  <c r="D38" i="7" s="1"/>
  <c r="M24" i="7"/>
  <c r="M28" i="7" s="1"/>
  <c r="L24" i="7"/>
  <c r="L28" i="7" s="1"/>
  <c r="K24" i="7"/>
  <c r="K28" i="7" s="1"/>
  <c r="J24" i="7"/>
  <c r="J28" i="7" s="1"/>
  <c r="I24" i="7"/>
  <c r="I28" i="7" s="1"/>
  <c r="H24" i="7"/>
  <c r="H28" i="7" s="1"/>
  <c r="H31" i="7" s="1"/>
  <c r="H33" i="7" s="1"/>
  <c r="I32" i="7" s="1"/>
  <c r="G24" i="7"/>
  <c r="G28" i="7" s="1"/>
  <c r="G31" i="7" s="1"/>
  <c r="G33" i="7" s="1"/>
  <c r="F24" i="7"/>
  <c r="F28" i="7" s="1"/>
  <c r="F31" i="7" s="1"/>
  <c r="F33" i="7" s="1"/>
  <c r="E24" i="7"/>
  <c r="E28" i="7" s="1"/>
  <c r="E31" i="7" s="1"/>
  <c r="E33" i="7" s="1"/>
  <c r="D24" i="7"/>
  <c r="D28" i="7" s="1"/>
  <c r="D31" i="7" s="1"/>
  <c r="D33" i="7" s="1"/>
  <c r="H20" i="7"/>
  <c r="G20" i="7"/>
  <c r="F20" i="7"/>
  <c r="E20" i="7"/>
  <c r="D20" i="7"/>
  <c r="H11" i="7"/>
  <c r="G11" i="7"/>
  <c r="F11" i="7"/>
  <c r="E11" i="7"/>
  <c r="D11" i="7"/>
  <c r="H10" i="7"/>
  <c r="G10" i="7"/>
  <c r="F10" i="7"/>
  <c r="E10" i="7"/>
  <c r="D10" i="7"/>
  <c r="H43" i="6"/>
  <c r="H41" i="6"/>
  <c r="G41" i="6"/>
  <c r="G43" i="6" s="1"/>
  <c r="F41" i="6"/>
  <c r="F43" i="6" s="1"/>
  <c r="E41" i="6"/>
  <c r="E43" i="6" s="1"/>
  <c r="M41" i="5"/>
  <c r="L41" i="5"/>
  <c r="K41" i="5"/>
  <c r="J41" i="5"/>
  <c r="I41" i="5"/>
  <c r="H41" i="5"/>
  <c r="G41" i="5"/>
  <c r="F41" i="5"/>
  <c r="E41" i="5"/>
  <c r="D41" i="5"/>
  <c r="M36" i="5"/>
  <c r="L36" i="5"/>
  <c r="K36" i="5"/>
  <c r="J36" i="5"/>
  <c r="I36" i="5"/>
  <c r="H36" i="5"/>
  <c r="G36" i="5"/>
  <c r="F36" i="5"/>
  <c r="E36" i="5"/>
  <c r="D36" i="5"/>
  <c r="H24" i="5"/>
  <c r="G24" i="5"/>
  <c r="F24" i="5"/>
  <c r="E24" i="5"/>
  <c r="D24" i="5"/>
  <c r="H32" i="4"/>
  <c r="H33" i="4" s="1"/>
  <c r="G32" i="4"/>
  <c r="G33" i="4" s="1"/>
  <c r="F32" i="4"/>
  <c r="F33" i="4" s="1"/>
  <c r="E32" i="4"/>
  <c r="E33" i="4" s="1"/>
  <c r="D32" i="4"/>
  <c r="H28" i="4"/>
  <c r="G28" i="4"/>
  <c r="F28" i="4"/>
  <c r="E28" i="4"/>
  <c r="M27" i="4"/>
  <c r="L27" i="4"/>
  <c r="K27" i="4"/>
  <c r="J27" i="4"/>
  <c r="I27" i="4"/>
  <c r="H27" i="4"/>
  <c r="G27" i="4"/>
  <c r="F27" i="4"/>
  <c r="E27" i="4"/>
  <c r="H22" i="4"/>
  <c r="G22" i="4"/>
  <c r="F22" i="4"/>
  <c r="E22" i="4"/>
  <c r="M16" i="4"/>
  <c r="L16" i="4"/>
  <c r="K16" i="4"/>
  <c r="J16" i="4"/>
  <c r="I16" i="4"/>
  <c r="M15" i="4"/>
  <c r="L15" i="4"/>
  <c r="K15" i="4"/>
  <c r="J15" i="4"/>
  <c r="I15" i="4"/>
  <c r="H12" i="4"/>
  <c r="H11" i="4"/>
  <c r="G11" i="4"/>
  <c r="F11" i="4"/>
  <c r="E11" i="4"/>
  <c r="M10" i="4"/>
  <c r="M24" i="3" s="1"/>
  <c r="L10" i="4"/>
  <c r="L24" i="3" s="1"/>
  <c r="K10" i="4"/>
  <c r="K24" i="3" s="1"/>
  <c r="J10" i="4"/>
  <c r="J24" i="3" s="1"/>
  <c r="I10" i="4"/>
  <c r="I11" i="4"/>
  <c r="D63" i="3"/>
  <c r="D66" i="3" s="1"/>
  <c r="M36" i="3"/>
  <c r="L36" i="3"/>
  <c r="K36" i="3"/>
  <c r="J36" i="3"/>
  <c r="I36" i="3"/>
  <c r="H36" i="3"/>
  <c r="G36" i="3"/>
  <c r="F36" i="3"/>
  <c r="E36" i="3"/>
  <c r="D36" i="3"/>
  <c r="M30" i="3"/>
  <c r="L30" i="3"/>
  <c r="K30" i="3"/>
  <c r="J30" i="3"/>
  <c r="I30" i="3"/>
  <c r="H30" i="3"/>
  <c r="G30" i="3"/>
  <c r="F30" i="3"/>
  <c r="E30" i="3"/>
  <c r="D30" i="3"/>
  <c r="H26" i="3"/>
  <c r="G26" i="3"/>
  <c r="F26" i="3"/>
  <c r="E26" i="3"/>
  <c r="D26" i="3"/>
  <c r="M25" i="3"/>
  <c r="L25" i="3"/>
  <c r="K25" i="3"/>
  <c r="J25" i="3"/>
  <c r="I25" i="3"/>
  <c r="H25" i="3"/>
  <c r="G25" i="3"/>
  <c r="F25" i="3"/>
  <c r="E25" i="3"/>
  <c r="D25" i="3"/>
  <c r="I24" i="3"/>
  <c r="H24" i="3"/>
  <c r="G24" i="3"/>
  <c r="F24" i="3"/>
  <c r="E24" i="3"/>
  <c r="H22" i="3"/>
  <c r="G22" i="3"/>
  <c r="F22" i="3"/>
  <c r="E22" i="3"/>
  <c r="D22" i="3"/>
  <c r="D51" i="8"/>
  <c r="D55" i="10" s="1"/>
  <c r="D37" i="8"/>
  <c r="D18" i="8"/>
  <c r="D19" i="8" s="1"/>
  <c r="D16" i="8"/>
  <c r="D15" i="8"/>
  <c r="D17" i="8" s="1"/>
  <c r="D13" i="8"/>
  <c r="D12" i="8"/>
  <c r="D11" i="8"/>
  <c r="D58" i="10" l="1"/>
  <c r="D14" i="8"/>
  <c r="D20" i="8" s="1"/>
  <c r="I43" i="3"/>
  <c r="J43" i="3"/>
  <c r="L43" i="3"/>
  <c r="M43" i="3"/>
  <c r="K43" i="3"/>
  <c r="H40" i="7"/>
  <c r="H42" i="7"/>
  <c r="G42" i="7"/>
  <c r="G40" i="7"/>
  <c r="F40" i="7"/>
  <c r="F42" i="7"/>
  <c r="E40" i="7"/>
  <c r="E42" i="7"/>
  <c r="D40" i="7"/>
  <c r="D42" i="7"/>
  <c r="H29" i="4"/>
  <c r="H30" i="4" s="1"/>
  <c r="G29" i="4"/>
  <c r="G30" i="4" s="1"/>
  <c r="F29" i="4"/>
  <c r="F30" i="4" s="1"/>
  <c r="E29" i="4"/>
  <c r="E30" i="4" s="1"/>
  <c r="M28" i="4"/>
  <c r="M29" i="4" s="1"/>
  <c r="M30" i="4" s="1"/>
  <c r="M17" i="4"/>
  <c r="L17" i="4"/>
  <c r="L28" i="4"/>
  <c r="L29" i="4" s="1"/>
  <c r="L30" i="4" s="1"/>
  <c r="K17" i="4"/>
  <c r="K28" i="4"/>
  <c r="K29" i="4" s="1"/>
  <c r="K30" i="4" s="1"/>
  <c r="J17" i="4"/>
  <c r="J28" i="4"/>
  <c r="J29" i="4" s="1"/>
  <c r="J30" i="4" s="1"/>
  <c r="I17" i="4"/>
  <c r="I21" i="4" s="1"/>
  <c r="I12" i="4" s="1"/>
  <c r="I28" i="4"/>
  <c r="I29" i="4" s="1"/>
  <c r="I30" i="4" s="1"/>
  <c r="H16" i="4"/>
  <c r="H23" i="4"/>
  <c r="H17" i="4"/>
  <c r="G23" i="4"/>
  <c r="G16" i="4"/>
  <c r="G12" i="4"/>
  <c r="G17" i="4"/>
  <c r="F23" i="4"/>
  <c r="F12" i="4"/>
  <c r="F17" i="4"/>
  <c r="F16" i="4"/>
  <c r="E17" i="4"/>
  <c r="E23" i="4"/>
  <c r="E16" i="4"/>
  <c r="E12" i="4"/>
  <c r="I23" i="4"/>
  <c r="H9" i="5"/>
  <c r="H39" i="7" s="1"/>
  <c r="H23" i="3"/>
  <c r="H31" i="3"/>
  <c r="H32" i="3"/>
  <c r="G31" i="3"/>
  <c r="G9" i="5"/>
  <c r="G39" i="7" s="1"/>
  <c r="G32" i="3"/>
  <c r="G23" i="3"/>
  <c r="F32" i="3"/>
  <c r="F9" i="5"/>
  <c r="F39" i="7" s="1"/>
  <c r="F23" i="3"/>
  <c r="F31" i="3"/>
  <c r="E9" i="5"/>
  <c r="E39" i="7" s="1"/>
  <c r="E31" i="3"/>
  <c r="E32" i="3"/>
  <c r="E23" i="3"/>
  <c r="D9" i="5"/>
  <c r="D39" i="7" s="1"/>
  <c r="D32" i="3"/>
  <c r="D31" i="3"/>
  <c r="I25" i="8" l="1"/>
  <c r="J25" i="8"/>
  <c r="M25" i="8"/>
  <c r="L25" i="8"/>
  <c r="K25" i="8"/>
  <c r="J24" i="4"/>
  <c r="I24" i="4"/>
  <c r="I18" i="4"/>
  <c r="H18" i="4"/>
  <c r="H24" i="4"/>
  <c r="G18" i="4"/>
  <c r="G24" i="4"/>
  <c r="F18" i="4"/>
  <c r="F24" i="4"/>
  <c r="E18" i="4"/>
  <c r="E24" i="4"/>
  <c r="I22" i="3"/>
  <c r="I22" i="4"/>
  <c r="J9" i="4"/>
  <c r="J11" i="4" s="1"/>
  <c r="I32" i="4"/>
  <c r="H25" i="5"/>
  <c r="H48" i="3"/>
  <c r="H50" i="3"/>
  <c r="H50" i="5"/>
  <c r="H51" i="3"/>
  <c r="H49" i="3"/>
  <c r="H52" i="3"/>
  <c r="H10" i="5"/>
  <c r="H14" i="5"/>
  <c r="H19" i="5"/>
  <c r="H40" i="3" s="1"/>
  <c r="H21" i="5"/>
  <c r="H41" i="3" s="1"/>
  <c r="H23" i="5"/>
  <c r="H42" i="3" s="1"/>
  <c r="G25" i="5"/>
  <c r="G50" i="5"/>
  <c r="G51" i="3"/>
  <c r="G50" i="3"/>
  <c r="G10" i="5"/>
  <c r="G14" i="5"/>
  <c r="G19" i="5"/>
  <c r="G40" i="3" s="1"/>
  <c r="G21" i="5"/>
  <c r="G41" i="3" s="1"/>
  <c r="G23" i="5"/>
  <c r="G42" i="3" s="1"/>
  <c r="G48" i="3"/>
  <c r="G49" i="3"/>
  <c r="G52" i="3"/>
  <c r="F10" i="5"/>
  <c r="F14" i="5"/>
  <c r="F19" i="5"/>
  <c r="F40" i="3" s="1"/>
  <c r="F21" i="5"/>
  <c r="F41" i="3" s="1"/>
  <c r="F23" i="5"/>
  <c r="F42" i="3" s="1"/>
  <c r="F25" i="5"/>
  <c r="F51" i="3"/>
  <c r="F50" i="5"/>
  <c r="F48" i="3"/>
  <c r="F49" i="3"/>
  <c r="F50" i="3"/>
  <c r="F52" i="3"/>
  <c r="E25" i="5"/>
  <c r="E48" i="3"/>
  <c r="E50" i="3"/>
  <c r="E50" i="5"/>
  <c r="E51" i="3"/>
  <c r="E49" i="3"/>
  <c r="E52" i="3"/>
  <c r="E10" i="5"/>
  <c r="E14" i="5"/>
  <c r="E19" i="5"/>
  <c r="E40" i="3" s="1"/>
  <c r="E21" i="5"/>
  <c r="E41" i="3" s="1"/>
  <c r="E23" i="5"/>
  <c r="E42" i="3" s="1"/>
  <c r="D25" i="5"/>
  <c r="D50" i="5"/>
  <c r="D50" i="3"/>
  <c r="D51" i="3"/>
  <c r="D14" i="5"/>
  <c r="D19" i="5"/>
  <c r="D40" i="3" s="1"/>
  <c r="D21" i="5"/>
  <c r="D41" i="3" s="1"/>
  <c r="D23" i="5"/>
  <c r="D42" i="3" s="1"/>
  <c r="D52" i="3"/>
  <c r="H43" i="7"/>
  <c r="G43" i="7"/>
  <c r="F43" i="7"/>
  <c r="E43" i="7"/>
  <c r="D43" i="7"/>
  <c r="I23" i="3" l="1"/>
  <c r="I32" i="3"/>
  <c r="I9" i="5"/>
  <c r="I14" i="7" s="1"/>
  <c r="I31" i="3"/>
  <c r="J21" i="4"/>
  <c r="J12" i="4" s="1"/>
  <c r="J23" i="4"/>
  <c r="I33" i="4"/>
  <c r="I26" i="3"/>
  <c r="H15" i="5"/>
  <c r="H39" i="3" s="1"/>
  <c r="H43" i="3" s="1"/>
  <c r="H28" i="5"/>
  <c r="G15" i="5"/>
  <c r="G39" i="3" s="1"/>
  <c r="G43" i="3" s="1"/>
  <c r="G28" i="5"/>
  <c r="F15" i="5"/>
  <c r="F39" i="3" s="1"/>
  <c r="F43" i="3" s="1"/>
  <c r="F28" i="5"/>
  <c r="E15" i="5"/>
  <c r="E39" i="3" s="1"/>
  <c r="E43" i="3" s="1"/>
  <c r="E28" i="5"/>
  <c r="D15" i="5"/>
  <c r="D39" i="3" s="1"/>
  <c r="D43" i="3" s="1"/>
  <c r="D28" i="5"/>
  <c r="I23" i="6" l="1"/>
  <c r="I10" i="5"/>
  <c r="I13" i="5"/>
  <c r="I14" i="5" s="1"/>
  <c r="I18" i="5"/>
  <c r="I20" i="5"/>
  <c r="I21" i="5" s="1"/>
  <c r="I22" i="5"/>
  <c r="I23" i="5" s="1"/>
  <c r="I46" i="5"/>
  <c r="I10" i="7" s="1"/>
  <c r="I49" i="5"/>
  <c r="I36" i="6" s="1"/>
  <c r="I10" i="6"/>
  <c r="I12" i="7" s="1"/>
  <c r="I15" i="6"/>
  <c r="I24" i="6"/>
  <c r="I29" i="6"/>
  <c r="I18" i="7"/>
  <c r="J18" i="4"/>
  <c r="K24" i="4"/>
  <c r="J32" i="4"/>
  <c r="J22" i="3"/>
  <c r="J22" i="4"/>
  <c r="K9" i="4"/>
  <c r="K11" i="4" s="1"/>
  <c r="H29" i="5"/>
  <c r="H45" i="3" s="1"/>
  <c r="H34" i="5"/>
  <c r="H47" i="5"/>
  <c r="G29" i="5"/>
  <c r="G45" i="3" s="1"/>
  <c r="G34" i="5"/>
  <c r="G47" i="5"/>
  <c r="G48" i="5" s="1"/>
  <c r="F29" i="5"/>
  <c r="F45" i="3" s="1"/>
  <c r="F34" i="5"/>
  <c r="F47" i="5"/>
  <c r="F48" i="5" s="1"/>
  <c r="E29" i="5"/>
  <c r="E45" i="3" s="1"/>
  <c r="E34" i="5"/>
  <c r="E47" i="5"/>
  <c r="E48" i="5" s="1"/>
  <c r="D29" i="5"/>
  <c r="D45" i="3" s="1"/>
  <c r="D34" i="5"/>
  <c r="D47" i="5"/>
  <c r="D48" i="5" s="1"/>
  <c r="H48" i="5" l="1"/>
  <c r="D56" i="10"/>
  <c r="I15" i="5"/>
  <c r="I19" i="5"/>
  <c r="I24" i="5"/>
  <c r="I50" i="5"/>
  <c r="I11" i="7"/>
  <c r="I26" i="6"/>
  <c r="I33" i="6" s="1"/>
  <c r="I13" i="7"/>
  <c r="I37" i="7"/>
  <c r="J33" i="4"/>
  <c r="J26" i="3"/>
  <c r="J31" i="3"/>
  <c r="J23" i="3"/>
  <c r="J32" i="3"/>
  <c r="J9" i="5"/>
  <c r="J14" i="7" s="1"/>
  <c r="J23" i="6" s="1"/>
  <c r="K23" i="4"/>
  <c r="K21" i="4"/>
  <c r="K12" i="4" s="1"/>
  <c r="H35" i="5"/>
  <c r="H37" i="5" s="1"/>
  <c r="G35" i="5"/>
  <c r="G37" i="5" s="1"/>
  <c r="F35" i="5"/>
  <c r="F37" i="5"/>
  <c r="E35" i="5"/>
  <c r="E37" i="5"/>
  <c r="E42" i="5" s="1"/>
  <c r="D35" i="5"/>
  <c r="D37" i="5" s="1"/>
  <c r="J10" i="5" l="1"/>
  <c r="J13" i="5"/>
  <c r="J14" i="5" s="1"/>
  <c r="J18" i="5"/>
  <c r="J20" i="5"/>
  <c r="J21" i="5" s="1"/>
  <c r="J22" i="5"/>
  <c r="J23" i="5" s="1"/>
  <c r="J46" i="5"/>
  <c r="J49" i="5"/>
  <c r="J36" i="6" s="1"/>
  <c r="J10" i="6"/>
  <c r="J12" i="7" s="1"/>
  <c r="J24" i="6"/>
  <c r="J29" i="6"/>
  <c r="J18" i="7"/>
  <c r="K18" i="4"/>
  <c r="L24" i="4"/>
  <c r="L9" i="4"/>
  <c r="L11" i="4" s="1"/>
  <c r="K22" i="4"/>
  <c r="K32" i="4"/>
  <c r="K22" i="3"/>
  <c r="H38" i="5"/>
  <c r="H42" i="5"/>
  <c r="D57" i="10" s="1"/>
  <c r="H9" i="7"/>
  <c r="H14" i="7" s="1"/>
  <c r="G38" i="5"/>
  <c r="G42" i="5"/>
  <c r="G9" i="7"/>
  <c r="G14" i="7" s="1"/>
  <c r="F38" i="5"/>
  <c r="F42" i="5"/>
  <c r="F9" i="7"/>
  <c r="F14" i="7" s="1"/>
  <c r="E38" i="5"/>
  <c r="E9" i="7"/>
  <c r="E14" i="7" s="1"/>
  <c r="D38" i="5"/>
  <c r="D42" i="5"/>
  <c r="D9" i="7"/>
  <c r="D14" i="7" s="1"/>
  <c r="I25" i="5"/>
  <c r="I28" i="5"/>
  <c r="J10" i="7" l="1"/>
  <c r="J15" i="6"/>
  <c r="H43" i="5"/>
  <c r="F43" i="5"/>
  <c r="E43" i="5"/>
  <c r="J15" i="5"/>
  <c r="J19" i="5"/>
  <c r="J24" i="5"/>
  <c r="J50" i="5"/>
  <c r="J11" i="7"/>
  <c r="J26" i="6"/>
  <c r="J33" i="6" s="1"/>
  <c r="J13" i="7"/>
  <c r="J37" i="7"/>
  <c r="L23" i="4"/>
  <c r="L21" i="4"/>
  <c r="L12" i="4" s="1"/>
  <c r="K26" i="3"/>
  <c r="K33" i="4"/>
  <c r="K9" i="5"/>
  <c r="K14" i="7" s="1"/>
  <c r="K23" i="6" s="1"/>
  <c r="K23" i="3"/>
  <c r="K31" i="3"/>
  <c r="K32" i="3"/>
  <c r="I47" i="5"/>
  <c r="I48" i="5" s="1"/>
  <c r="I34" i="5"/>
  <c r="I29" i="5"/>
  <c r="I45" i="3" s="1"/>
  <c r="G43" i="5"/>
  <c r="J25" i="5" l="1"/>
  <c r="J28" i="5"/>
  <c r="M24" i="4"/>
  <c r="L18" i="4"/>
  <c r="L32" i="4"/>
  <c r="L22" i="4"/>
  <c r="L22" i="3"/>
  <c r="M9" i="4"/>
  <c r="M11" i="4" s="1"/>
  <c r="K10" i="5"/>
  <c r="K13" i="5"/>
  <c r="K14" i="5" s="1"/>
  <c r="K18" i="5"/>
  <c r="K20" i="5"/>
  <c r="K21" i="5" s="1"/>
  <c r="K22" i="5"/>
  <c r="K23" i="5" s="1"/>
  <c r="K46" i="5"/>
  <c r="K49" i="5"/>
  <c r="K10" i="6"/>
  <c r="K12" i="7" s="1"/>
  <c r="K24" i="6"/>
  <c r="K29" i="6"/>
  <c r="K18" i="7"/>
  <c r="I35" i="5"/>
  <c r="I37" i="5"/>
  <c r="J29" i="5" l="1"/>
  <c r="J45" i="3" s="1"/>
  <c r="J34" i="5"/>
  <c r="J35" i="5" s="1"/>
  <c r="J37" i="5" s="1"/>
  <c r="J47" i="5"/>
  <c r="J48" i="5" s="1"/>
  <c r="K10" i="7"/>
  <c r="K15" i="6"/>
  <c r="L33" i="4"/>
  <c r="L26" i="3"/>
  <c r="L31" i="3"/>
  <c r="L32" i="3"/>
  <c r="L23" i="3"/>
  <c r="L9" i="5"/>
  <c r="L14" i="7" s="1"/>
  <c r="L23" i="6" s="1"/>
  <c r="M21" i="4"/>
  <c r="M12" i="4" s="1"/>
  <c r="M23" i="4"/>
  <c r="K15" i="5"/>
  <c r="K19" i="5"/>
  <c r="K24" i="5"/>
  <c r="K36" i="6"/>
  <c r="K50" i="5"/>
  <c r="K11" i="7"/>
  <c r="K26" i="6"/>
  <c r="K33" i="6" s="1"/>
  <c r="K13" i="7"/>
  <c r="K37" i="7"/>
  <c r="I38" i="5"/>
  <c r="I42" i="5"/>
  <c r="I43" i="5" s="1"/>
  <c r="I37" i="6"/>
  <c r="I9" i="7"/>
  <c r="I15" i="7" s="1"/>
  <c r="J38" i="5" l="1"/>
  <c r="J42" i="5"/>
  <c r="J43" i="5" s="1"/>
  <c r="J9" i="7"/>
  <c r="J15" i="7" s="1"/>
  <c r="L46" i="5"/>
  <c r="L49" i="5"/>
  <c r="L36" i="6" s="1"/>
  <c r="L10" i="6"/>
  <c r="L12" i="7" s="1"/>
  <c r="L24" i="6"/>
  <c r="L29" i="6"/>
  <c r="L18" i="7"/>
  <c r="L10" i="5"/>
  <c r="L13" i="5"/>
  <c r="L14" i="5" s="1"/>
  <c r="L18" i="5"/>
  <c r="L20" i="5"/>
  <c r="L21" i="5" s="1"/>
  <c r="L22" i="5"/>
  <c r="L23" i="5" s="1"/>
  <c r="M18" i="4"/>
  <c r="M32" i="4"/>
  <c r="M22" i="4"/>
  <c r="M22" i="3"/>
  <c r="I39" i="6"/>
  <c r="I41" i="6" s="1"/>
  <c r="J37" i="6"/>
  <c r="I20" i="7"/>
  <c r="I36" i="7"/>
  <c r="I38" i="7" s="1"/>
  <c r="K25" i="5"/>
  <c r="K28" i="5"/>
  <c r="L10" i="7" l="1"/>
  <c r="L15" i="6"/>
  <c r="J20" i="7"/>
  <c r="J21" i="7" s="1"/>
  <c r="J31" i="7" s="1"/>
  <c r="J36" i="7"/>
  <c r="J38" i="7" s="1"/>
  <c r="L50" i="5"/>
  <c r="L11" i="7"/>
  <c r="L26" i="6"/>
  <c r="L33" i="6" s="1"/>
  <c r="L13" i="7"/>
  <c r="L37" i="7"/>
  <c r="L15" i="5"/>
  <c r="L19" i="5"/>
  <c r="L24" i="5"/>
  <c r="M33" i="4"/>
  <c r="M26" i="3"/>
  <c r="M23" i="3"/>
  <c r="M9" i="5"/>
  <c r="M31" i="3"/>
  <c r="M32" i="3"/>
  <c r="J39" i="6"/>
  <c r="J41" i="6" s="1"/>
  <c r="I21" i="7"/>
  <c r="I31" i="7" s="1"/>
  <c r="I9" i="6" s="1"/>
  <c r="I18" i="6"/>
  <c r="I39" i="7"/>
  <c r="I40" i="7"/>
  <c r="I42" i="7"/>
  <c r="K47" i="5"/>
  <c r="K48" i="5" s="1"/>
  <c r="K34" i="5"/>
  <c r="K29" i="5"/>
  <c r="K45" i="3" s="1"/>
  <c r="M20" i="5" l="1"/>
  <c r="M21" i="5" s="1"/>
  <c r="M14" i="7"/>
  <c r="M23" i="6" s="1"/>
  <c r="J18" i="6"/>
  <c r="J39" i="7"/>
  <c r="J40" i="7"/>
  <c r="J42" i="7"/>
  <c r="M10" i="5"/>
  <c r="M13" i="5"/>
  <c r="M14" i="5" s="1"/>
  <c r="M18" i="5"/>
  <c r="M22" i="5"/>
  <c r="M23" i="5" s="1"/>
  <c r="M46" i="5"/>
  <c r="M49" i="5"/>
  <c r="M10" i="6"/>
  <c r="M12" i="7" s="1"/>
  <c r="M24" i="6"/>
  <c r="M29" i="6"/>
  <c r="M18" i="7"/>
  <c r="I23" i="8"/>
  <c r="I26" i="8" s="1"/>
  <c r="I43" i="7"/>
  <c r="K35" i="5"/>
  <c r="K37" i="5" s="1"/>
  <c r="L25" i="5"/>
  <c r="L28" i="5"/>
  <c r="I33" i="7"/>
  <c r="J32" i="7" s="1"/>
  <c r="J33" i="7" s="1"/>
  <c r="K32" i="7" s="1"/>
  <c r="M10" i="7" l="1"/>
  <c r="M15" i="6"/>
  <c r="J43" i="7"/>
  <c r="J23" i="8"/>
  <c r="J26" i="8" s="1"/>
  <c r="M15" i="5"/>
  <c r="M19" i="5"/>
  <c r="M24" i="5"/>
  <c r="M36" i="6"/>
  <c r="M50" i="5"/>
  <c r="M11" i="7"/>
  <c r="M26" i="6"/>
  <c r="M33" i="6" s="1"/>
  <c r="M13" i="7"/>
  <c r="M37" i="7"/>
  <c r="K37" i="6"/>
  <c r="K38" i="5"/>
  <c r="K42" i="5"/>
  <c r="K43" i="5" s="1"/>
  <c r="K9" i="7"/>
  <c r="K15" i="7" s="1"/>
  <c r="L47" i="5"/>
  <c r="L48" i="5" s="1"/>
  <c r="L34" i="5"/>
  <c r="L29" i="5"/>
  <c r="L45" i="3" s="1"/>
  <c r="I12" i="6"/>
  <c r="I19" i="6" s="1"/>
  <c r="I43" i="6" s="1"/>
  <c r="J9" i="6"/>
  <c r="M25" i="5" l="1"/>
  <c r="M28" i="5"/>
  <c r="M29" i="5" s="1"/>
  <c r="M45" i="3" s="1"/>
  <c r="K39" i="6"/>
  <c r="K41" i="6" s="1"/>
  <c r="K20" i="7"/>
  <c r="K36" i="7"/>
  <c r="K38" i="7" s="1"/>
  <c r="L35" i="5"/>
  <c r="L37" i="5" s="1"/>
  <c r="L37" i="6" s="1"/>
  <c r="J12" i="6"/>
  <c r="J19" i="6" s="1"/>
  <c r="J43" i="6" s="1"/>
  <c r="M34" i="5" l="1"/>
  <c r="M35" i="5" s="1"/>
  <c r="M37" i="5" s="1"/>
  <c r="M37" i="6" s="1"/>
  <c r="M39" i="6" s="1"/>
  <c r="M41" i="6" s="1"/>
  <c r="M47" i="5"/>
  <c r="L39" i="6"/>
  <c r="L41" i="6" s="1"/>
  <c r="K18" i="6"/>
  <c r="K21" i="7"/>
  <c r="K31" i="7" s="1"/>
  <c r="K39" i="7"/>
  <c r="K40" i="7"/>
  <c r="K42" i="7"/>
  <c r="L38" i="5"/>
  <c r="L42" i="5"/>
  <c r="L43" i="5" s="1"/>
  <c r="L9" i="7"/>
  <c r="L15" i="7" s="1"/>
  <c r="M48" i="5" l="1"/>
  <c r="D36" i="8"/>
  <c r="D38" i="8" s="1"/>
  <c r="M38" i="5"/>
  <c r="M42" i="5"/>
  <c r="M43" i="5" s="1"/>
  <c r="M9" i="7"/>
  <c r="M15" i="7" s="1"/>
  <c r="K9" i="6"/>
  <c r="K33" i="7"/>
  <c r="L32" i="7" s="1"/>
  <c r="K43" i="7"/>
  <c r="K23" i="8"/>
  <c r="K26" i="8" s="1"/>
  <c r="L20" i="7"/>
  <c r="L36" i="7"/>
  <c r="L38" i="7" s="1"/>
  <c r="D39" i="8" l="1"/>
  <c r="D45" i="8" s="1"/>
  <c r="M20" i="7"/>
  <c r="M21" i="7" s="1"/>
  <c r="M31" i="7" s="1"/>
  <c r="M36" i="7"/>
  <c r="M38" i="7" s="1"/>
  <c r="K12" i="6"/>
  <c r="K19" i="6" s="1"/>
  <c r="K43" i="6" s="1"/>
  <c r="L18" i="6"/>
  <c r="L21" i="7"/>
  <c r="L31" i="7" s="1"/>
  <c r="L39" i="7"/>
  <c r="L40" i="7"/>
  <c r="L42" i="7"/>
  <c r="M18" i="6" l="1"/>
  <c r="M40" i="7"/>
  <c r="M39" i="7"/>
  <c r="M42" i="7"/>
  <c r="L43" i="7"/>
  <c r="L23" i="8"/>
  <c r="L26" i="8" s="1"/>
  <c r="L33" i="7"/>
  <c r="M32" i="7" s="1"/>
  <c r="M33" i="7" s="1"/>
  <c r="L9" i="6"/>
  <c r="M43" i="7" l="1"/>
  <c r="M23" i="8"/>
  <c r="D31" i="8" s="1"/>
  <c r="D32" i="8" s="1"/>
  <c r="L12" i="6"/>
  <c r="L19" i="6" s="1"/>
  <c r="L43" i="6" s="1"/>
  <c r="M9" i="6"/>
  <c r="M12" i="6" s="1"/>
  <c r="M19" i="6" s="1"/>
  <c r="M43" i="6" s="1"/>
  <c r="M26" i="8" l="1"/>
  <c r="D42" i="8" s="1"/>
  <c r="D46" i="8" l="1"/>
  <c r="D33" i="8"/>
  <c r="D43" i="8" s="1"/>
  <c r="D44" i="8" l="1"/>
  <c r="D50" i="8"/>
  <c r="D54" i="8" s="1"/>
  <c r="B77" i="8" s="1"/>
  <c r="D60" i="8"/>
  <c r="D49" i="8" l="1"/>
  <c r="D59" i="8"/>
  <c r="D57" i="8"/>
  <c r="D53" i="8" l="1"/>
  <c r="B66" i="8" l="1"/>
  <c r="D56" i="8"/>
</calcChain>
</file>

<file path=xl/sharedStrings.xml><?xml version="1.0" encoding="utf-8"?>
<sst xmlns="http://schemas.openxmlformats.org/spreadsheetml/2006/main" count="847" uniqueCount="492">
  <si>
    <t>Qualys, Inc. (QLYS)</t>
  </si>
  <si>
    <t>All amounts in $ millions unless noted</t>
  </si>
  <si>
    <t>WACC CALCULATION</t>
  </si>
  <si>
    <t>Risk-Free Rate</t>
  </si>
  <si>
    <t>%</t>
  </si>
  <si>
    <t>Equity Risk Premium</t>
  </si>
  <si>
    <t>Beta</t>
  </si>
  <si>
    <t>x</t>
  </si>
  <si>
    <t>Cost of Equity</t>
  </si>
  <si>
    <t>Cost of Debt (pre-tax)</t>
  </si>
  <si>
    <t>Tax Rate</t>
  </si>
  <si>
    <t>Cost of Debt (after-tax)</t>
  </si>
  <si>
    <t>Debt / Total Capital</t>
  </si>
  <si>
    <t>Equity / Total Capital</t>
  </si>
  <si>
    <t>WACC</t>
  </si>
  <si>
    <t>FCF PROJECTION</t>
  </si>
  <si>
    <t>Units</t>
  </si>
  <si>
    <t>2021A</t>
  </si>
  <si>
    <t>2022A</t>
  </si>
  <si>
    <t>2023A</t>
  </si>
  <si>
    <t>2024A</t>
  </si>
  <si>
    <t>2025A</t>
  </si>
  <si>
    <t>2026E</t>
  </si>
  <si>
    <t>2027E</t>
  </si>
  <si>
    <t>2028E</t>
  </si>
  <si>
    <t>2029E</t>
  </si>
  <si>
    <t>2030E</t>
  </si>
  <si>
    <t>Free Cash Flow (ex-SBC)</t>
  </si>
  <si>
    <t>$M</t>
  </si>
  <si>
    <t>Discount Period</t>
  </si>
  <si>
    <t>#</t>
  </si>
  <si>
    <t>Discount Factor</t>
  </si>
  <si>
    <t>Present Value of FCF</t>
  </si>
  <si>
    <t>TERMINAL VALUE</t>
  </si>
  <si>
    <t>Method 1: Perpetuity Growth</t>
  </si>
  <si>
    <t>Terminal Growth Rate</t>
  </si>
  <si>
    <t>Terminal FCF (ex-SBC)</t>
  </si>
  <si>
    <t>Terminal Value</t>
  </si>
  <si>
    <t>PV of Terminal Value</t>
  </si>
  <si>
    <t>Method 2: Exit Multiple</t>
  </si>
  <si>
    <t>Terminal EBITDA</t>
  </si>
  <si>
    <t>Exit EV/EBITDA Multiple</t>
  </si>
  <si>
    <t>VALUATION SUMMARY</t>
  </si>
  <si>
    <t>Sum of PV of FCFs</t>
  </si>
  <si>
    <t>PV of Terminal Value (Perpetuity)</t>
  </si>
  <si>
    <t>Enterprise Value (Perpetuity)</t>
  </si>
  <si>
    <t>PV of Terminal Value (Multiple)</t>
  </si>
  <si>
    <t>Enterprise Value (Multiple)</t>
  </si>
  <si>
    <t>Less: Net Debt (neg = net cash)</t>
  </si>
  <si>
    <t>Equity Value (Perpetuity)</t>
  </si>
  <si>
    <t>Equity Value (Multiple)</t>
  </si>
  <si>
    <t>Shares Outstanding</t>
  </si>
  <si>
    <t>M</t>
  </si>
  <si>
    <t>Implied Share Price (Perpetuity)</t>
  </si>
  <si>
    <t>$/sh</t>
  </si>
  <si>
    <t>Implied Share Price (Multiple)</t>
  </si>
  <si>
    <t>Current Share Price</t>
  </si>
  <si>
    <t>Upside / (Downside) — Perpetuity</t>
  </si>
  <si>
    <t>Upside / (Downside) — Multiple</t>
  </si>
  <si>
    <t>TV as % of EV (Perpetuity)</t>
  </si>
  <si>
    <t>TV as % of EV (Multiple)</t>
  </si>
  <si>
    <t>Financial Model — April 2026</t>
  </si>
  <si>
    <t>Data through FY2025 10-K (filed February 20, 2026)</t>
  </si>
  <si>
    <t>Company Overview</t>
  </si>
  <si>
    <t>Sector</t>
  </si>
  <si>
    <t>Technology: Cybersecurity</t>
  </si>
  <si>
    <t>Product</t>
  </si>
  <si>
    <t>Enterprise TruRisk Platform: 20+ integrated cloud-based IT security and compliance solutions</t>
  </si>
  <si>
    <t>Customers</t>
  </si>
  <si>
    <t>10,000+ globally, majority of Forbes Global 100</t>
  </si>
  <si>
    <t>Revenue Model</t>
  </si>
  <si>
    <t>100% subscription/SaaS. ~94% from existing customer expansion, ~6% from new logos</t>
  </si>
  <si>
    <t>Capital Structure</t>
  </si>
  <si>
    <t>Zero debt. Consistent buybacks (~2% annual share reduction)</t>
  </si>
  <si>
    <t>Bear</t>
  </si>
  <si>
    <t>Bull</t>
  </si>
  <si>
    <t>Table of Contents</t>
  </si>
  <si>
    <t>Tab</t>
  </si>
  <si>
    <t>Description</t>
  </si>
  <si>
    <t>Assumptions</t>
  </si>
  <si>
    <t>All editable inputs in one place (blue font). Revenue, margins, BS drivers, capital allocation, DCF inputs.</t>
  </si>
  <si>
    <t>Revenue Build</t>
  </si>
  <si>
    <t>Income Statement</t>
  </si>
  <si>
    <t>Full GAAP P&amp;L with EBITDA, Adjusted EBITDA, SBC supplemental. Forward periods driven by Assumptions.</t>
  </si>
  <si>
    <t>Balance Sheet</t>
  </si>
  <si>
    <t>Consolidated balance sheets FY2021-2025 from 10-K filings.</t>
  </si>
  <si>
    <t>Cash Flow</t>
  </si>
  <si>
    <t>CFO/CFI/CFF with FCF and FCF ex-SBC. Forward periods linked to IS and Assumptions.</t>
  </si>
  <si>
    <t>SWOT</t>
  </si>
  <si>
    <t>Strengths, weaknesses, opportunities, and threats to the investment thesis.</t>
  </si>
  <si>
    <t>Comps</t>
  </si>
  <si>
    <t>Sources</t>
  </si>
  <si>
    <t>All data sources, methodology notes, and disclaimers.</t>
  </si>
  <si>
    <t>SWOT Analysis</t>
  </si>
  <si>
    <t>Strengths</t>
  </si>
  <si>
    <t>Zero debt, consistent FCF generation, disciplined buyback program (~$185M/yr)</t>
  </si>
  <si>
    <t>Margins expanding as legacy on-prem hardware fully depreciates and cloud hosting scales</t>
  </si>
  <si>
    <t>Weaknesses</t>
  </si>
  <si>
    <t>S&amp;M % of revenue increasing (18.6% to 21.4%) despite growing partner channel</t>
  </si>
  <si>
    <t>Opportunities</t>
  </si>
  <si>
    <t>Threats</t>
  </si>
  <si>
    <t>Metric</t>
  </si>
  <si>
    <t>2026E Start</t>
  </si>
  <si>
    <t>Base</t>
  </si>
  <si>
    <t>Scenario</t>
  </si>
  <si>
    <t>Net Dollar Expansion Rate</t>
  </si>
  <si>
    <t>New Customer Logos Added</t>
  </si>
  <si>
    <t>New Customer ARPU</t>
  </si>
  <si>
    <t>$K</t>
  </si>
  <si>
    <t>Gross Margin %</t>
  </si>
  <si>
    <t>R&amp;D % of Revenue</t>
  </si>
  <si>
    <t>S&amp;M % of Revenue</t>
  </si>
  <si>
    <t>Exit EV/EBITDA</t>
  </si>
  <si>
    <t>Notes</t>
  </si>
  <si>
    <t>REVENUE DRIVERS</t>
  </si>
  <si>
    <t>Total Revenue</t>
  </si>
  <si>
    <t>Revenue Growth %</t>
  </si>
  <si>
    <t>Ending Customer Count</t>
  </si>
  <si>
    <t>Blended ARPU</t>
  </si>
  <si>
    <t>GEOGRAPHIC MIX</t>
  </si>
  <si>
    <t>US Revenue %</t>
  </si>
  <si>
    <t>Actuals from 10-K Item 1. Trending down ~2pts/yr. Floored at 50%.</t>
  </si>
  <si>
    <t>International Revenue %</t>
  </si>
  <si>
    <t>US Revenue</t>
  </si>
  <si>
    <t>International Revenue</t>
  </si>
  <si>
    <t>CHANNEL MIX</t>
  </si>
  <si>
    <t>Direct Revenue %</t>
  </si>
  <si>
    <t>Actuals from 10-K. Partner share rising ~2-3 pts/yr. Direct = 100 - Partner.</t>
  </si>
  <si>
    <t>Channel Partner Revenue %</t>
  </si>
  <si>
    <t>FY25: 49% partner (10-K Item 1). FY21: 41%.</t>
  </si>
  <si>
    <t>MARGIN ASSUMPTIONS</t>
  </si>
  <si>
    <t>Has been expanding as D&amp;A declines and cloud costs scale.</t>
  </si>
  <si>
    <t>R&amp;D dollars growing but slower than revenue — R&amp;D as % of revenue declining over time. 10-K says they will "continue to devote resources".</t>
  </si>
  <si>
    <t>Sales &amp; Marketing % of Revenue</t>
  </si>
  <si>
    <t>G&amp;A % of Revenue</t>
  </si>
  <si>
    <t>2021 was 18.6% due to $27.3M CEO accelerated SBC vesting (one-time). Normalized ~11%. Do not trend from 2021 base.</t>
  </si>
  <si>
    <t>Operating Margin %</t>
  </si>
  <si>
    <t>Formula: Gross Margin - R&amp;D% - S&amp;M% - G&amp;A%. Should match IS operating margin.</t>
  </si>
  <si>
    <t>Effective Tax Rate</t>
  </si>
  <si>
    <t>2023 low (15.2%) due to IRS foreign tax credit rule change. 2025 higher (19.7%) due to OBBBA. Normalized at 20%.</t>
  </si>
  <si>
    <t>Check</t>
  </si>
  <si>
    <t>BALANCE SHEET DRIVERS</t>
  </si>
  <si>
    <t>Days Sales Outstanding (DSO)</t>
  </si>
  <si>
    <t>days</t>
  </si>
  <si>
    <t>Deferred Revenue % of Revenue</t>
  </si>
  <si>
    <t>Most likely DR is decreasing because they are switching from multiyear upfront to annual billing</t>
  </si>
  <si>
    <t>Capex % of Revenue</t>
  </si>
  <si>
    <t>Capex dropped from 5.9% (2021) to 0.7% (2025) as QLYS shifted to cloud hosting. Normalizing ~1%.</t>
  </si>
  <si>
    <t>Depreciation % of Revenue</t>
  </si>
  <si>
    <t>Declining as legacy hardware fully depreciates. PP&amp;E net: $47M(2022)→$23M(2025).</t>
  </si>
  <si>
    <t>SBC % of Revenue</t>
  </si>
  <si>
    <t>2021 elevated (16.4%) due to $27.3M CEO vesting. Risk: SBC is ~11% of revenue — FCF ex-SBC is materially lower than headline FCF.</t>
  </si>
  <si>
    <t>CAPITAL ALLOCATION</t>
  </si>
  <si>
    <t>Dividends</t>
  </si>
  <si>
    <t>QLYS has never paid dividends. All 10-Ks: "We do not anticipate declaring or paying any cash dividends."</t>
  </si>
  <si>
    <t>Share Buybacks</t>
  </si>
  <si>
    <t>From 10-K CF statements. Board has authorized $1.6B cumulative. Forward ~$185-200M/yr.</t>
  </si>
  <si>
    <t>Diluted Shares Outstanding</t>
  </si>
  <si>
    <t>From 10-K EPS denominator. ~2%/yr decline: buybacks retire ~1.4M shares, offset by ~0.7M issuances.</t>
  </si>
  <si>
    <t>DCF ASSUMPTIONS</t>
  </si>
  <si>
    <t>10-Year US Treasury yield as of April 2026.</t>
  </si>
  <si>
    <t>Standard Damodaran US ERP estimate.</t>
  </si>
  <si>
    <t xml:space="preserve">Price volatility measure, not representative of risk on the overall company </t>
  </si>
  <si>
    <t>Cost of Equity per CAPM</t>
  </si>
  <si>
    <t>QLYS has zero debt.</t>
  </si>
  <si>
    <t>Terminal EV/EBITDA Multiple</t>
  </si>
  <si>
    <t>Conservative for high-margin SaaS. Peer median is higher.</t>
  </si>
  <si>
    <t>EXISTING CUSTOMER REVENUE</t>
  </si>
  <si>
    <t>Prior Year Revenue</t>
  </si>
  <si>
    <t>Existing Customer Revenue</t>
  </si>
  <si>
    <t xml:space="preserve">  Existing as % of Total Revenue</t>
  </si>
  <si>
    <t>NEW CUSTOMER REVENUE</t>
  </si>
  <si>
    <t xml:space="preserve">New Revenue / New Customer ARPU. Backed into this based on New Customer ARPU Assumption. </t>
  </si>
  <si>
    <t xml:space="preserve">Company says that customers usually start with 1-2 products. We have estimated this to be half Blended ARPU in Row 39. </t>
  </si>
  <si>
    <t>New Customer Revenue</t>
  </si>
  <si>
    <t>New Customer Revenue = The residual revenue after existing customer expansion</t>
  </si>
  <si>
    <t xml:space="preserve">  New as % of Total Revenue</t>
  </si>
  <si>
    <t>TOTAL REVENUE</t>
  </si>
  <si>
    <t xml:space="preserve">  Growth from Existing Customers</t>
  </si>
  <si>
    <t xml:space="preserve">  Growth from New Customers</t>
  </si>
  <si>
    <t>CUSTOMER METRICS</t>
  </si>
  <si>
    <t>Beginning Customer Count</t>
  </si>
  <si>
    <t>(+) New Logos Added</t>
  </si>
  <si>
    <t>(-) Logos Churned (implied)</t>
  </si>
  <si>
    <t>Implied Logo Churn Rate</t>
  </si>
  <si>
    <t>Risk: if QLYS is quietly churning logos and masking it with NDER, growth is weaker than it appears.</t>
  </si>
  <si>
    <t>ARPU Growth %</t>
  </si>
  <si>
    <t>ARPU growth ≈ revenue growth when customer count flat. Driven by upsell.</t>
  </si>
  <si>
    <t>REVENUE</t>
  </si>
  <si>
    <t>COST OF REVENUE</t>
  </si>
  <si>
    <t>Cost of Revenue</t>
  </si>
  <si>
    <t>Actuals from 10-K. Forward = Revenue × (1 - Gross Margin %).</t>
  </si>
  <si>
    <t>Gross Profit</t>
  </si>
  <si>
    <t>OPERATING EXPENSES</t>
  </si>
  <si>
    <t>Research &amp; Development</t>
  </si>
  <si>
    <t xml:space="preserve">  R&amp;D % of Revenue</t>
  </si>
  <si>
    <t>Sales &amp; Marketing</t>
  </si>
  <si>
    <t xml:space="preserve">  S&amp;M % of Revenue</t>
  </si>
  <si>
    <t>General &amp; Administrative</t>
  </si>
  <si>
    <t xml:space="preserve">  G&amp;A % of Revenue</t>
  </si>
  <si>
    <t>Total Operating Expenses</t>
  </si>
  <si>
    <t xml:space="preserve">  OpEx % of Revenue</t>
  </si>
  <si>
    <t>OPERATING INCOME</t>
  </si>
  <si>
    <t>Operating Income (EBIT)</t>
  </si>
  <si>
    <t>BELOW THE LINE</t>
  </si>
  <si>
    <t>Interest Income</t>
  </si>
  <si>
    <t xml:space="preserve">QLYS has zero debt, so there's no interest expense. This is purely interest earned on their cash balance that is invested in low risk securities </t>
  </si>
  <si>
    <t>Other Income / (Expense)</t>
  </si>
  <si>
    <t>Mostly due to FX gains and losses</t>
  </si>
  <si>
    <t>Pre-Tax Income</t>
  </si>
  <si>
    <t>Income Tax Expense</t>
  </si>
  <si>
    <t>Net Income</t>
  </si>
  <si>
    <t>Net Margin %</t>
  </si>
  <si>
    <t>PER SHARE</t>
  </si>
  <si>
    <t>EPS (Diluted)</t>
  </si>
  <si>
    <t>EPS Growth %</t>
  </si>
  <si>
    <t>SUPPLEMENTAL</t>
  </si>
  <si>
    <t>Depreciation &amp; Amortization</t>
  </si>
  <si>
    <t>Embedded inside Cost of Revenue, R&amp;D, S&amp;M, and G&amp;A on the GAAP income statement. Broken out individually in CF Statement as Non-Cash Exp.</t>
  </si>
  <si>
    <t>EBITDA</t>
  </si>
  <si>
    <t>EBITDA Margin %</t>
  </si>
  <si>
    <t>Stock-Based Compensation</t>
  </si>
  <si>
    <t>CURRENT ASSETS</t>
  </si>
  <si>
    <t>Cash &amp; Short-Term Investments</t>
  </si>
  <si>
    <t>Cash + cash equiv + restricted cash (current) + ST marketable securities.</t>
  </si>
  <si>
    <t>Accounts Receivable</t>
  </si>
  <si>
    <t>Forward: Revenue × DSO / 365.</t>
  </si>
  <si>
    <t>Prepaid &amp; Other Current Assets</t>
  </si>
  <si>
    <t>Held flat. Prepaid expenses and other. Stable at ~$40M.</t>
  </si>
  <si>
    <t>Total Current Assets</t>
  </si>
  <si>
    <t>NON-CURRENT ASSETS</t>
  </si>
  <si>
    <t>PP&amp;E, net</t>
  </si>
  <si>
    <t>Goodwill &amp; Intangibles</t>
  </si>
  <si>
    <t>Held flat. No acquisitions assumed. Intangibles amortize down slightly but immaterial.</t>
  </si>
  <si>
    <t>Operating Lease ROU Assets</t>
  </si>
  <si>
    <t>Held flat. Mirror of lease liabilities. Changes only with new lease agreements.</t>
  </si>
  <si>
    <t>Other Non-Current Assets</t>
  </si>
  <si>
    <t>Includes long-term marketable securities, deferred tax assets, and other. Forward years grow as excess cash is invested in marketable securities (linked to CF net purchases).</t>
  </si>
  <si>
    <t>Total Assets</t>
  </si>
  <si>
    <t>CURRENT LIABILITIES</t>
  </si>
  <si>
    <t>Accounts Payable</t>
  </si>
  <si>
    <t>Held flat. Minimal for a SaaS company with no inventory or physical supply chain.</t>
  </si>
  <si>
    <t>Accrued Liabilities</t>
  </si>
  <si>
    <t>Deferred Revenue (Current)</t>
  </si>
  <si>
    <t>Current Lease Liabilities</t>
  </si>
  <si>
    <t>Held flat. Annual lease payment obligations. Stable unless they sign or exit major leases.</t>
  </si>
  <si>
    <t>Total Current Liabilities</t>
  </si>
  <si>
    <t>NON-CURRENT LIABILITIES</t>
  </si>
  <si>
    <t>Deferred Revenue (Non-Current)</t>
  </si>
  <si>
    <t>Non-Current Lease Liabilities</t>
  </si>
  <si>
    <t>Held flat. Long-term portion of operating leases (primarily offices). Jumped in 2024 from a new lease, now stable.</t>
  </si>
  <si>
    <t>Long-Term Debt</t>
  </si>
  <si>
    <t>QLYS has zero debt across all periods.</t>
  </si>
  <si>
    <t>Other Non-Current Liabilities</t>
  </si>
  <si>
    <t>Held flat. Declining slightly over time ($7M → $5.3M). Likely includes uncertain tax positions and other small items</t>
  </si>
  <si>
    <t>Total Liabilities</t>
  </si>
  <si>
    <t>SHAREHOLDERS' EQUITY</t>
  </si>
  <si>
    <t>Common Stock &amp; APIC</t>
  </si>
  <si>
    <t>Accumulated Deficit / Retained Earnings</t>
  </si>
  <si>
    <t>Repurchased shares retired (no treasury). Deficit shrinking as NI &gt; buyback impact.</t>
  </si>
  <si>
    <t>Other Comprehensive Income/(Loss)</t>
  </si>
  <si>
    <t>Held flat. FX translation adjustments on foreign subsidiaries. Small and volatile, not worth projecting.</t>
  </si>
  <si>
    <t>Total Shareholders' Equity</t>
  </si>
  <si>
    <t>Total Liabilities + Equity</t>
  </si>
  <si>
    <t>CHECK: Assets - (L+E)</t>
  </si>
  <si>
    <t>Cash Flow Statement</t>
  </si>
  <si>
    <t>OPERATING ACTIVITIES</t>
  </si>
  <si>
    <t>Change in Accounts Receivable</t>
  </si>
  <si>
    <t>Actuals from 10-K CF. Forward estimated at ~1.3% of revenue.</t>
  </si>
  <si>
    <t>Change in Deferred Revenue</t>
  </si>
  <si>
    <t>Actuals from 10-K CF. Forward estimated at ~3% of revenue.</t>
  </si>
  <si>
    <t>Other Working Capital Changes</t>
  </si>
  <si>
    <t>Cash from Operations (CFO)</t>
  </si>
  <si>
    <t>Actuals from 10-K. Forward = sum of components above.</t>
  </si>
  <si>
    <t>INVESTING ACTIVITIES</t>
  </si>
  <si>
    <t>Capital Expenditures</t>
  </si>
  <si>
    <t>Actuals from 10-K. Forward = Revenue × Capex% assumption.</t>
  </si>
  <si>
    <t>Acquisitions</t>
  </si>
  <si>
    <t>Net Purchases of Marketable Securities</t>
  </si>
  <si>
    <t>Cash from Investing (CFI)</t>
  </si>
  <si>
    <t>FINANCING ACTIVITIES</t>
  </si>
  <si>
    <t>Dividends Paid</t>
  </si>
  <si>
    <t>Debt Issuance / (Repayment)</t>
  </si>
  <si>
    <t>Other Financing (Options/ESPP/Tax Withholding)</t>
  </si>
  <si>
    <t>Net of option proceeds, ESPP proceeds, and tax withholding on RSU vesting.</t>
  </si>
  <si>
    <t>Cash from Financing (CFF)</t>
  </si>
  <si>
    <t>SUMMARY</t>
  </si>
  <si>
    <t>Net Change in Cash</t>
  </si>
  <si>
    <t>Beginning Cash</t>
  </si>
  <si>
    <t>Ending Cash</t>
  </si>
  <si>
    <t>FREE CASH FLOW</t>
  </si>
  <si>
    <t>Cash from Operations</t>
  </si>
  <si>
    <t>Less: Capital Expenditures</t>
  </si>
  <si>
    <t>Free Cash Flow</t>
  </si>
  <si>
    <t>FCF Margin %</t>
  </si>
  <si>
    <t>FCF per Share</t>
  </si>
  <si>
    <t>FCF (ex-SBC)</t>
  </si>
  <si>
    <t>FCF minus stock-based compensation. Conservative measure for DCF.</t>
  </si>
  <si>
    <t>FCF (ex-SBC) Margin %</t>
  </si>
  <si>
    <t>SENSITIVITY: WACC vs Terminal Growth Rate</t>
  </si>
  <si>
    <t>Implied Share Price (Perpetuity Method)</t>
  </si>
  <si>
    <t>Implied Share Price (Exit Multiple Method)</t>
  </si>
  <si>
    <t>Comparable Company Analysis</t>
  </si>
  <si>
    <t>Company</t>
  </si>
  <si>
    <t>Ticker</t>
  </si>
  <si>
    <t>Market Cap ($M)</t>
  </si>
  <si>
    <t>EV ($M)</t>
  </si>
  <si>
    <t>Revenue ($M)</t>
  </si>
  <si>
    <t>Rev Growth %</t>
  </si>
  <si>
    <t>EV/Revenue</t>
  </si>
  <si>
    <t>EV/EBITDA</t>
  </si>
  <si>
    <t>P/E</t>
  </si>
  <si>
    <t>P/FCF</t>
  </si>
  <si>
    <t>QLYS</t>
  </si>
  <si>
    <t>CRWD</t>
  </si>
  <si>
    <t>PANW</t>
  </si>
  <si>
    <t>FTNT</t>
  </si>
  <si>
    <t>TENB</t>
  </si>
  <si>
    <t>RPD</t>
  </si>
  <si>
    <t>S</t>
  </si>
  <si>
    <t>VRNS</t>
  </si>
  <si>
    <t>ZS</t>
  </si>
  <si>
    <t>QLYS Implied Valuation</t>
  </si>
  <si>
    <t>At Peer Median EV/Revenue</t>
  </si>
  <si>
    <t>At Peer Median EV/EBITDA</t>
  </si>
  <si>
    <t>At Peer Median P/E</t>
  </si>
  <si>
    <t>At Peer Median P/FCF</t>
  </si>
  <si>
    <t>Data Sources &amp; References</t>
  </si>
  <si>
    <t>Qualys, Inc. (QLYS) Financial Model</t>
  </si>
  <si>
    <t>SEC FILINGS</t>
  </si>
  <si>
    <t>FY2023 10-K</t>
  </si>
  <si>
    <t>Filed Feb 22, 2024. FY2021-2023. Accession: 0001107843-24-000008.</t>
  </si>
  <si>
    <t>FY2024 10-K</t>
  </si>
  <si>
    <t>Filed Feb 21, 2025. FY2022-2024. Accession: 0001107843-25-000009.</t>
  </si>
  <si>
    <t>FY2025 10-K</t>
  </si>
  <si>
    <t>Filed Feb 20, 2026. FY2023-2025. Accession: 0001107843-26-000008.</t>
  </si>
  <si>
    <t>FINANCIAL DATA</t>
  </si>
  <si>
    <t>Consolidated Statements of Operations from each 10-K.</t>
  </si>
  <si>
    <t>Consolidated Balance Sheets (FY2022-2025).</t>
  </si>
  <si>
    <t>Consolidated Statements of Cash Flows.</t>
  </si>
  <si>
    <t>Revenue Drivers</t>
  </si>
  <si>
    <t>Item 7 MD&amp;A: NDER, geo/channel mix, existing vs new customer splits.</t>
  </si>
  <si>
    <t>SBC</t>
  </si>
  <si>
    <t>Note 9/10 (Stockholders Equity). Includes PRSU detail.</t>
  </si>
  <si>
    <t>Tax</t>
  </si>
  <si>
    <t>Note 11/12 (Income Taxes). Effective rate reconciliation, OBBBA impact.</t>
  </si>
  <si>
    <t>Segments</t>
  </si>
  <si>
    <t>Note 12/13 (Segment &amp; Geographic). US vs Foreign revenue.</t>
  </si>
  <si>
    <t>MARKET DATA (April 2026)</t>
  </si>
  <si>
    <t>Stock Price: $80.52</t>
  </si>
  <si>
    <t>Beta: 0.61 (5Y monthly)</t>
  </si>
  <si>
    <t>Risk-Free Rate: 4.31%</t>
  </si>
  <si>
    <t>US 10-Year Treasury. CNBC, Treasury.gov.</t>
  </si>
  <si>
    <t>Equity Risk Premium: 5.5%</t>
  </si>
  <si>
    <t>Damodaran (NYU Stern).</t>
  </si>
  <si>
    <t>Peer Data</t>
  </si>
  <si>
    <t>SCENARIO SELECTOR</t>
  </si>
  <si>
    <t>No Debt</t>
  </si>
  <si>
    <t>No Dividends - Use Buybacks to return $ to shareholders</t>
  </si>
  <si>
    <t>n.a</t>
  </si>
  <si>
    <t>SENSITIVITY: WACC vs. Exit Multiple</t>
  </si>
  <si>
    <t>The terminal growth rate does not effect the valuation nearly as much as WACC</t>
  </si>
  <si>
    <t>Yahoo Finance</t>
  </si>
  <si>
    <t xml:space="preserve">   </t>
  </si>
  <si>
    <t>DCF Valuation &amp; Sensitivity Analysis</t>
  </si>
  <si>
    <t xml:space="preserve">Based on the revenue and cost assumptions in the assumptions toggle, finding the current market price within this table tells you what WACC and Multiple the market is placing on Qualys. </t>
  </si>
  <si>
    <t>Qualys, Inc.</t>
  </si>
  <si>
    <t>CrowdStrike Holdings, Inc.</t>
  </si>
  <si>
    <t>Palo Alto Networks, Inc.</t>
  </si>
  <si>
    <t>Fortinet, Inc.</t>
  </si>
  <si>
    <t>Tenable Holdings</t>
  </si>
  <si>
    <t>Rapid7 Inc</t>
  </si>
  <si>
    <t>SentinelOne Inc</t>
  </si>
  <si>
    <t>Varonis Systems</t>
  </si>
  <si>
    <t>Zscaler, Inc.</t>
  </si>
  <si>
    <t>NET</t>
  </si>
  <si>
    <t>Cloudflare, Inc.</t>
  </si>
  <si>
    <t>OKTA</t>
  </si>
  <si>
    <t>Okta, Inc.</t>
  </si>
  <si>
    <t>DDOG</t>
  </si>
  <si>
    <t>Datadog, Inc.</t>
  </si>
  <si>
    <t>ESTC</t>
  </si>
  <si>
    <t>Elastic NV</t>
  </si>
  <si>
    <t>MNDY</t>
  </si>
  <si>
    <t>Monday.com Ltd</t>
  </si>
  <si>
    <t>GTLB</t>
  </si>
  <si>
    <t>GitLab Inc</t>
  </si>
  <si>
    <t>Direct</t>
  </si>
  <si>
    <t>CHKP</t>
  </si>
  <si>
    <t>Check Point Software Technologies Ltd.</t>
  </si>
  <si>
    <t>Broader</t>
  </si>
  <si>
    <t>ADBE</t>
  </si>
  <si>
    <t>Adobe Inc.</t>
  </si>
  <si>
    <t>NOW</t>
  </si>
  <si>
    <t>ServiceNow, Inc.</t>
  </si>
  <si>
    <t>INTU</t>
  </si>
  <si>
    <t>Intuit Inc.</t>
  </si>
  <si>
    <t>WDAY</t>
  </si>
  <si>
    <t>Workday, Inc.</t>
  </si>
  <si>
    <t>PLTR</t>
  </si>
  <si>
    <t>Palantir Technologies</t>
  </si>
  <si>
    <t>CDNS</t>
  </si>
  <si>
    <t>Cadence Design Systems, Inc.</t>
  </si>
  <si>
    <t>SNPS</t>
  </si>
  <si>
    <t>Synopsys, Inc.</t>
  </si>
  <si>
    <t>SNOW</t>
  </si>
  <si>
    <t>Snowflake Inc.</t>
  </si>
  <si>
    <t>HUBS</t>
  </si>
  <si>
    <t>HubSpot, Inc.</t>
  </si>
  <si>
    <t>PTC</t>
  </si>
  <si>
    <t>PTC Inc.</t>
  </si>
  <si>
    <t>DT</t>
  </si>
  <si>
    <t>Dynatrace, Inc.</t>
  </si>
  <si>
    <t>NTNX</t>
  </si>
  <si>
    <t>Nutanix Inc</t>
  </si>
  <si>
    <t>VEEV</t>
  </si>
  <si>
    <t>Veeva Systems</t>
  </si>
  <si>
    <t>TEAM</t>
  </si>
  <si>
    <t>Atlassian Corporation</t>
  </si>
  <si>
    <t>DOCU</t>
  </si>
  <si>
    <t>DocuSign, Inc.</t>
  </si>
  <si>
    <t>PATH</t>
  </si>
  <si>
    <t>UiPath, Inc.</t>
  </si>
  <si>
    <t>BILL</t>
  </si>
  <si>
    <t>BILL Holdings, Inc.</t>
  </si>
  <si>
    <t>FRSH</t>
  </si>
  <si>
    <t>Freshworks Inc</t>
  </si>
  <si>
    <t>GEN</t>
  </si>
  <si>
    <t>Gen Digital Inc.</t>
  </si>
  <si>
    <t>FFIV</t>
  </si>
  <si>
    <t>F5, Inc.</t>
  </si>
  <si>
    <t>Comparison Tier</t>
  </si>
  <si>
    <t>DIRECT Peer Median (excl. QLYS)</t>
  </si>
  <si>
    <t>DIRECT Peer Mean (excl. QLYS)</t>
  </si>
  <si>
    <t>If the market valued QLYS at the same revenue multiple as peers, what would the stock be worth? Converts from enterprise value to share price by adding net cash and dividing by shares.</t>
  </si>
  <si>
    <t>If QLYS traded at the same earnings multiple as profitable peers, what would one share cost? Already an equity multiple so no net cash adjustment.</t>
  </si>
  <si>
    <t>Same as P/E but using cash flow instead of earnings. Most complete comp set since almost every peer has positive FCF.</t>
  </si>
  <si>
    <t>Same logic as EV/Revenue but using profitability. Rewards QLYS for actually generating EBITDA, which half the peer group doesn't.</t>
  </si>
  <si>
    <t>Comps confirm QLYS trades at a significant discount to cybersecurity peers on every metric. Part of this is justified by slower growth. The degree of discount, particularly on profitability multiples, suggests the market may be undervaluing Qualys' cash flow quality.</t>
  </si>
  <si>
    <t>94% of revenue from existing customer base. Highly recurring, low churn risk on revenue</t>
  </si>
  <si>
    <t>Deep enterprise stickiness - 20+ modules on single platform, high switching costs once deployed</t>
  </si>
  <si>
    <t>Blue-chip customer base - majority of Forbes Global 100, validates enterprise credibility</t>
  </si>
  <si>
    <t>NDER flat at 103% for 3 consecutive years. No visible catalyst for expansion to re-accelerate</t>
  </si>
  <si>
    <t>Module upsell. New customers start with 1-2 of 20+ products, significant whitespace within existing base</t>
  </si>
  <si>
    <t>International revenue mix trending up (44% to 50%). Geographic diversification without new product investment</t>
  </si>
  <si>
    <t>Cloud migration complete - legacy on-prem security competitors still transitioning, creates share opportunity</t>
  </si>
  <si>
    <t>Buybacks compounding per-share value. ~2% annual share count reduction on top of organic growth</t>
  </si>
  <si>
    <t>Platform is deep but narrow. Only provide vulnerability management and compliance. Bigger players offer end-to-end incl. endpoint, network and cloud</t>
  </si>
  <si>
    <t>CrowdStrike, Palo Alto, Zscaler competing for same enterprise wallet. Platform consolidation may favor larger vendors</t>
  </si>
  <si>
    <t>Asset-light model - no inventory, no hardware (moved to cloud), minimal capex (&lt;1% of revenue). Nearly all revenue converts to cash.</t>
  </si>
  <si>
    <t>Management provides minimal disclosure - no exact customer count, no cohort data, no segment breakdowns. Makes independent verification of growth drivers difficult.</t>
  </si>
  <si>
    <t>Regulatory and government tailwinds - SEC cyber disclosure rules and expanding FedRAMP/defense compliance mandates both drive demand for vulnerability assessment and compliance reporting.</t>
  </si>
  <si>
    <t>Terminal value is 80%+ of enterprise value - small changes in WACC or exit multiple swing the implied price by 30%+. Valuation is highly assumption-dependent.</t>
  </si>
  <si>
    <t xml:space="preserve">Even non-discretionary cybersecurity budgets get reviewed in downturns. The bigger players may be cheaper. </t>
  </si>
  <si>
    <t>AI could shift competitive dynamics in security tooling - TBD whether this benefits incumbents like QLYS (who have the data and platform to integrate AI) or enables new entrants to commoditize vulnerability scanning.</t>
  </si>
  <si>
    <t>Bottoms-up: NDER on existing base + new logo acquisition.</t>
  </si>
  <si>
    <t>DCF &amp; Sensitivity Analysis</t>
  </si>
  <si>
    <t>WACC-based DCF. Sensitivity Analysis: Can see how various exit multiples, discount rates, and terminal growth rates affect valuation</t>
  </si>
  <si>
    <t>9 cybersecurity peers and 26 broader SaaS peers with valuation multiples. Market data as of April 2026.</t>
  </si>
  <si>
    <t>NM</t>
  </si>
  <si>
    <t>S&amp;M as % of revenue has been increasing historically (18.6% to 21.4%), not declining. Forward projections assume leverage, but history does not support this yet. Partner channel growth has not reduced S&amp;M spend.</t>
  </si>
  <si>
    <t>Actuals = CFO residual (accrued expenses, tax payables, etc.). Forward = -1% of revenue; offset flows through Accrued Liabilities on BS</t>
  </si>
  <si>
    <t>Linked to CF Other Working Capital Changes (prior period + CF change). Forward reflects small net cash outflows from accrued expenses, tax payables, and other accruals.</t>
  </si>
  <si>
    <t>BS = prior period + CF Change in Deferred Revenue. Represents billings collected but not yet recognized. Grows with subscription base.</t>
  </si>
  <si>
    <t>Multi-year prepaid subscriptions recognized beyond 12 months. Small relative to current DR. Most QLYS contracts are annual.</t>
  </si>
  <si>
    <t>Prior period + SBC + Other Financing (tax withholding on RSU vesting). Grows primarily with stock-based compensation, which is the main driver of APIC increases.</t>
  </si>
  <si>
    <t>Forward grows with PP&amp;E and capitalized software. Linked to Assumptions page.</t>
  </si>
  <si>
    <t>Forward as % of revenue from Assumptions page. ~11% of revenue. Treated as real cost (FCF ex-SBC used in DCF).</t>
  </si>
  <si>
    <t>Actuals volatile — depends on treasury decisions. Forward = ~15% of CFO reinvested in securities (smoothing assumption).</t>
  </si>
  <si>
    <t>Forward held flat at ~$200M/year. QLYS has been a consistent repurchaser; no disclosed buyback program size to anchor to.</t>
  </si>
  <si>
    <t>Actuals = Cash + cash equiv + restricted cash from 10-K CF reconciliation. Forward = Beginning Cash + Net Change in Cash.</t>
  </si>
  <si>
    <t xml:space="preserve"> FCF / diluted shares outstanding. Share count declines with buybacks.</t>
  </si>
  <si>
    <t>Uses FCF ex-SBC, not headline FCF. SBC is ~11% of revenue. Treating it as a real economic cost to shareholders.</t>
  </si>
  <si>
    <t>Find the current market price ($80.50) in this grid to see what terminal growth rate the market is implying at various WACCs.</t>
  </si>
  <si>
    <t>FY25: Cash $250 + ST Mkt $196 + LT Mkt $251 = $698. Net cash position...negative net debt adds to equity value.</t>
  </si>
  <si>
    <t>Terminal value = ~80%+ of EV. Model is far more sensitive to WACC and exit multiple than terminal growth rate, Sensitivity tables below confirm this.</t>
  </si>
  <si>
    <t>Driven by Revenue Build page (NDER on existing base + new logo acquisition). Not a top-line growth rate assumption.</t>
  </si>
  <si>
    <t>Forward from Assumptions page scenario toggle. Reflects scale leverage on cloud hosting costs.</t>
  </si>
  <si>
    <t>From Assumptions scenario toggle. Largest opex line. Driven by headcount growth.</t>
  </si>
  <si>
    <t>From Assumptions scenario toggle. Key lever. Thesis question is whether S&amp;M leverage is real.</t>
  </si>
  <si>
    <t>Hardcoded at 10%. Not in scenario toggle. Stable metric, not a key uncertainty.</t>
  </si>
  <si>
    <t>Held flat at 20% in forward periods. Actuals fluctuate (15-21%) due to stock comp tax benefits and R&amp;D credits.</t>
  </si>
  <si>
    <t>Declines annually with ~$200M/year buyback on CF page, partially offset by SBC dilution.</t>
  </si>
  <si>
    <t>Found in 10-K MD&amp;A. Risk: has been flat at 103% for 3 years. Deceleration below 100% would mean net contraction of existing revenue.</t>
  </si>
  <si>
    <t>High concentration on existing customers is both a strength (predictable) and a risk (dependent on NDER staying above 100%).</t>
  </si>
  <si>
    <t>Back-solved: ~13% annual logo churn. High vs. enterprise SaaS peers (~5-10%), but offset by strong NDER. QLYS loses small customers but expands larger ones.</t>
  </si>
  <si>
    <t xml:space="preserve">Company says in all Annual Reports "Customers are over 10,000". Held flat at 10,000 which is a key model limitation. </t>
  </si>
  <si>
    <t>If actual count is growing, model understates new logo ARPU. If shrinking, model overstates it. No way to verify with current disclosure.</t>
  </si>
  <si>
    <t>2026E Start is fixed. 2030E = Bear/Base/Bull terminal values. 2027-2029 interpolate linearly between start and terminal. Each metric toggles independently via column H dropdown.</t>
  </si>
  <si>
    <t>Actuals = AR / Revenue × 365. Fluctuates with billing timing. Held flat at FY25 level. No disclosed trend in collection terms.</t>
  </si>
  <si>
    <t>Risk-Free Rate + Beta × Equity Risk Premium</t>
  </si>
  <si>
    <t>Should be slighlty  above nominal GDP (~2.5%) for Cybersecurity SaaS. Mimimal impact on valuation vs. WACC and Exit Multiple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</si>
</sst>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0.0"/>
    <numFmt numFmtId="165" formatCode="#,##0.0"/>
    <numFmt numFmtId="166" formatCode="_(* #,##0.0_);_(* \(#,##0.0\);_(* &quot;-&quot;??_);_(@_)"/>
    <numFmt numFmtId="167" formatCode="_(* #,##0_);_(* \(#,##0\);_(* &quot;-&quot;??_);_(@_)"/>
    <numFmt numFmtId="168" formatCode="0.0\x"/>
    <numFmt numFmtId="169" formatCode="0.0%"/>
    <numFmt numFmtId="170" formatCode="0&quot;%&quot;"/>
  </numFmts>
  <fonts count="47" x14ac:knownFonts="1">
    <font>
      <sz val="11"/>
      <color theme="1"/>
      <name val="Calibri"/>
      <family val="2"/>
      <scheme val="minor"/>
    </font>
    <font>
      <sz val="11"/>
      <color theme="1"/>
      <name val="Calibri"/>
      <family val="2"/>
      <scheme val="minor"/>
    </font>
    <font>
      <sz val="10"/>
      <color rgb="FF0000FF"/>
      <name val="Calibri"/>
      <family val="2"/>
    </font>
    <font>
      <b/>
      <sz val="10"/>
      <color rgb="FF000000"/>
      <name val="Calibri"/>
      <family val="2"/>
    </font>
    <font>
      <sz val="10"/>
      <color rgb="FF000000"/>
      <name val="Calibri"/>
      <family val="2"/>
    </font>
    <font>
      <i/>
      <sz val="10"/>
      <color rgb="FF000000"/>
      <name val="Calibri"/>
      <family val="2"/>
    </font>
    <font>
      <b/>
      <sz val="12"/>
      <color rgb="FF000000"/>
      <name val="Calibri"/>
      <family val="2"/>
    </font>
    <font>
      <b/>
      <sz val="10"/>
      <color rgb="FF000000"/>
      <name val="Calibri"/>
      <family val="2"/>
      <scheme val="minor"/>
    </font>
    <font>
      <sz val="10"/>
      <color rgb="FF000000"/>
      <name val="Calibri"/>
      <family val="2"/>
      <scheme val="minor"/>
    </font>
    <font>
      <sz val="10"/>
      <color rgb="FF008000"/>
      <name val="Calibri"/>
      <family val="2"/>
      <scheme val="minor"/>
    </font>
    <font>
      <i/>
      <sz val="10"/>
      <color rgb="FF000000"/>
      <name val="Calibri"/>
      <family val="2"/>
      <scheme val="minor"/>
    </font>
    <font>
      <sz val="10"/>
      <color theme="1"/>
      <name val="Calibri"/>
      <family val="2"/>
      <scheme val="minor"/>
    </font>
    <font>
      <i/>
      <sz val="10"/>
      <color theme="1"/>
      <name val="Calibri"/>
      <family val="2"/>
      <scheme val="minor"/>
    </font>
    <font>
      <sz val="10"/>
      <color rgb="FF0000FF"/>
      <name val="Calibri"/>
      <family val="2"/>
      <scheme val="minor"/>
    </font>
    <font>
      <sz val="10"/>
      <color rgb="FF008000"/>
      <name val="Calibri"/>
      <family val="2"/>
    </font>
    <font>
      <i/>
      <sz val="10"/>
      <color theme="1"/>
      <name val="Calibri (Body)"/>
    </font>
    <font>
      <b/>
      <i/>
      <sz val="10"/>
      <color rgb="FF000000"/>
      <name val="Calibri (Body)"/>
    </font>
    <font>
      <i/>
      <sz val="10"/>
      <color rgb="FF000000"/>
      <name val="Calibri (Body)"/>
    </font>
    <font>
      <b/>
      <sz val="10"/>
      <color rgb="FF000000"/>
      <name val="Calibri (Body)"/>
    </font>
    <font>
      <sz val="10"/>
      <color theme="1"/>
      <name val="Calibri (Body)"/>
    </font>
    <font>
      <sz val="10"/>
      <color rgb="FF000000"/>
      <name val="Calibri (Body)"/>
    </font>
    <font>
      <sz val="10"/>
      <color rgb="FF008000"/>
      <name val="Calibri (Body)"/>
    </font>
    <font>
      <sz val="10"/>
      <color rgb="FF0000FF"/>
      <name val="Calibri (Body)"/>
    </font>
    <font>
      <i/>
      <sz val="10"/>
      <color rgb="FF008000"/>
      <name val="Calibri (Body)"/>
    </font>
    <font>
      <b/>
      <sz val="12"/>
      <color rgb="FF000000"/>
      <name val="Calibri"/>
      <family val="2"/>
      <scheme val="minor"/>
    </font>
    <font>
      <i/>
      <sz val="10"/>
      <color rgb="FF888888"/>
      <name val="Calibri (Body)"/>
    </font>
    <font>
      <i/>
      <sz val="10"/>
      <color rgb="FF0000FF"/>
      <name val="Calibri (Body)"/>
    </font>
    <font>
      <sz val="10"/>
      <name val="Calibri (Body)"/>
    </font>
    <font>
      <b/>
      <sz val="10"/>
      <name val="Calibri (Body)"/>
    </font>
    <font>
      <b/>
      <sz val="12"/>
      <name val="Calibri"/>
      <family val="2"/>
      <scheme val="minor"/>
    </font>
    <font>
      <i/>
      <sz val="10"/>
      <color rgb="FF008000"/>
      <name val="Calibri"/>
      <family val="2"/>
    </font>
    <font>
      <b/>
      <i/>
      <sz val="10"/>
      <color rgb="FF000000"/>
      <name val="Calibri"/>
      <family val="2"/>
      <scheme val="minor"/>
    </font>
    <font>
      <i/>
      <sz val="10"/>
      <color rgb="FF555555"/>
      <name val="Calibri (Body)"/>
    </font>
    <font>
      <b/>
      <sz val="10"/>
      <color rgb="FF1F4E79"/>
      <name val="Calibri (Body)"/>
    </font>
    <font>
      <b/>
      <sz val="9"/>
      <color rgb="FFFFFFFF"/>
      <name val="Arial"/>
      <family val="2"/>
    </font>
    <font>
      <sz val="10"/>
      <color rgb="FF000000"/>
      <name val="Calibri"/>
      <family val="2"/>
    </font>
    <font>
      <sz val="10"/>
      <color rgb="FF008000"/>
      <name val="Calibri"/>
      <family val="2"/>
    </font>
    <font>
      <sz val="10"/>
      <color rgb="FF008000"/>
      <name val="Calibri"/>
      <family val="2"/>
    </font>
    <font>
      <sz val="10"/>
      <color rgb="FF000000"/>
      <name val="Calibri"/>
      <family val="2"/>
    </font>
    <font>
      <sz val="10"/>
      <color rgb="FF0000FF"/>
      <name val="Calibri"/>
      <family val="2"/>
    </font>
    <font>
      <b/>
      <sz val="10"/>
      <color rgb="FF0000FF"/>
      <name val="Calibri"/>
      <family val="2"/>
    </font>
    <font>
      <i/>
      <sz val="9"/>
      <color rgb="FF000000"/>
      <name val="Calibri"/>
      <family val="2"/>
    </font>
    <font>
      <b/>
      <sz val="10"/>
      <color theme="1"/>
      <name val="Calibri"/>
      <family val="2"/>
    </font>
    <font>
      <b/>
      <sz val="10"/>
      <color theme="0"/>
      <name val="Calibri"/>
      <family val="2"/>
    </font>
    <font>
      <b/>
      <sz val="11"/>
      <name val="Calibri"/>
      <family val="2"/>
      <scheme val="minor"/>
    </font>
    <font>
      <b/>
      <sz val="10"/>
      <color theme="1"/>
      <name val="Calibri (Body)"/>
    </font>
    <font>
      <sz val="10"/>
      <color theme="1"/>
      <name val="Calibri"/>
      <family val="2"/>
    </font>
  </fonts>
  <fills count="7">
    <fill>
      <patternFill patternType="none"/>
    </fill>
    <fill>
      <patternFill patternType="gray125"/>
    </fill>
    <fill>
      <patternFill patternType="solid">
        <fgColor rgb="FFD6E4F0"/>
        <bgColor rgb="FFD6E4F0"/>
      </patternFill>
    </fill>
    <fill>
      <patternFill patternType="solid">
        <fgColor theme="4" tint="0.79998168889431442"/>
        <bgColor indexed="64"/>
      </patternFill>
    </fill>
    <fill>
      <patternFill patternType="solid">
        <fgColor theme="4" tint="0.79998168889431442"/>
        <bgColor rgb="FFFFF2CC"/>
      </patternFill>
    </fill>
    <fill>
      <patternFill patternType="darkGray">
        <fgColor rgb="FF0B1F3A"/>
        <bgColor theme="0" tint="-0.249977111117893"/>
      </patternFill>
    </fill>
    <fill>
      <patternFill patternType="solid">
        <fgColor theme="1" tint="0.499984740745262"/>
        <bgColor indexed="64"/>
      </patternFill>
    </fill>
  </fills>
  <borders count="12">
    <border>
      <left/>
      <right/>
      <top/>
      <bottom/>
      <diagonal/>
    </border>
    <border>
      <left/>
      <right/>
      <top/>
      <bottom style="medium">
        <color auto="1"/>
      </bottom>
      <diagonal/>
    </border>
    <border>
      <left/>
      <right/>
      <top/>
      <bottom style="medium">
        <color rgb="FF333333"/>
      </bottom>
      <diagonal/>
    </border>
    <border>
      <left/>
      <right/>
      <top style="thin">
        <color theme="0" tint="-4.9989318521683403E-2"/>
      </top>
      <bottom style="thin">
        <color theme="0" tint="-4.9989318521683403E-2"/>
      </bottom>
      <diagonal/>
    </border>
    <border>
      <left/>
      <right/>
      <top style="medium">
        <color theme="1"/>
      </top>
      <bottom style="thin">
        <color theme="0" tint="-4.9989318521683403E-2"/>
      </bottom>
      <diagonal/>
    </border>
    <border>
      <left/>
      <right/>
      <top style="medium">
        <color auto="1"/>
      </top>
      <bottom style="thin">
        <color theme="0" tint="-4.9989318521683403E-2"/>
      </bottom>
      <diagonal/>
    </border>
    <border>
      <left/>
      <right/>
      <top/>
      <bottom style="thin">
        <color theme="0" tint="-4.9989318521683403E-2"/>
      </bottom>
      <diagonal/>
    </border>
    <border>
      <left/>
      <right/>
      <top style="thin">
        <color theme="0" tint="-4.9989318521683403E-2"/>
      </top>
      <bottom/>
      <diagonal/>
    </border>
    <border>
      <left/>
      <right/>
      <top/>
      <bottom style="thin">
        <color rgb="FFD9D9D9"/>
      </bottom>
      <diagonal/>
    </border>
    <border>
      <left/>
      <right/>
      <top style="medium">
        <color theme="1"/>
      </top>
      <bottom style="thin">
        <color rgb="FFD9D9D9"/>
      </bottom>
      <diagonal/>
    </border>
    <border>
      <left/>
      <right/>
      <top style="thin">
        <color theme="1"/>
      </top>
      <bottom style="thin">
        <color theme="0" tint="-4.9989318521683403E-2"/>
      </bottom>
      <diagonal/>
    </border>
    <border>
      <left/>
      <right/>
      <top style="thin">
        <color theme="1"/>
      </top>
      <bottom style="thin">
        <color theme="1"/>
      </bottom>
      <diagonal/>
    </border>
  </borders>
  <cellStyleXfs count="3">
    <xf numFmtId="0" fontId="0" fillId="0" borderId="0"/>
    <xf numFmtId="43" fontId="1" fillId="0" borderId="0"/>
    <xf numFmtId="9" fontId="1" fillId="0" borderId="0" applyFont="0" applyFill="0" applyBorder="0" applyAlignment="0" applyProtection="0"/>
  </cellStyleXfs>
  <cellXfs count="178">
    <xf numFmtId="0" fontId="0" fillId="0" borderId="0" xfId="0"/>
    <xf numFmtId="0" fontId="3" fillId="0" borderId="0" xfId="0" applyFont="1"/>
    <xf numFmtId="0" fontId="5" fillId="0" borderId="0" xfId="0" applyFont="1"/>
    <xf numFmtId="0" fontId="6" fillId="0" borderId="0" xfId="0" applyFont="1"/>
    <xf numFmtId="0" fontId="7" fillId="0" borderId="0" xfId="0" applyFont="1"/>
    <xf numFmtId="0" fontId="10" fillId="0" borderId="0" xfId="0" applyFont="1"/>
    <xf numFmtId="0" fontId="11" fillId="0" borderId="0" xfId="0" applyFont="1"/>
    <xf numFmtId="0" fontId="12" fillId="0" borderId="0" xfId="0" applyFont="1"/>
    <xf numFmtId="0" fontId="11" fillId="0" borderId="3" xfId="0" applyFont="1" applyBorder="1"/>
    <xf numFmtId="0" fontId="4" fillId="0" borderId="3" xfId="0" applyFont="1" applyBorder="1"/>
    <xf numFmtId="0" fontId="8" fillId="0" borderId="3" xfId="0" applyFont="1" applyBorder="1"/>
    <xf numFmtId="0" fontId="8" fillId="0" borderId="4" xfId="0" applyFont="1" applyBorder="1"/>
    <xf numFmtId="164" fontId="9" fillId="0" borderId="4" xfId="0" applyNumberFormat="1" applyFont="1" applyBorder="1"/>
    <xf numFmtId="164" fontId="13" fillId="0" borderId="3" xfId="0" applyNumberFormat="1" applyFont="1" applyBorder="1"/>
    <xf numFmtId="0" fontId="4" fillId="0" borderId="4" xfId="0" applyFont="1" applyBorder="1"/>
    <xf numFmtId="164" fontId="14" fillId="0" borderId="3" xfId="0" applyNumberFormat="1" applyFont="1" applyBorder="1"/>
    <xf numFmtId="0" fontId="2" fillId="0" borderId="3" xfId="0" applyFont="1" applyBorder="1"/>
    <xf numFmtId="164" fontId="3" fillId="3" borderId="0" xfId="0" applyNumberFormat="1" applyFont="1" applyFill="1" applyAlignment="1">
      <alignment horizontal="right"/>
    </xf>
    <xf numFmtId="164" fontId="3" fillId="4" borderId="0" xfId="0" applyNumberFormat="1" applyFont="1" applyFill="1" applyAlignment="1">
      <alignment horizontal="right"/>
    </xf>
    <xf numFmtId="0" fontId="3" fillId="2" borderId="2" xfId="0" applyFont="1" applyFill="1" applyBorder="1" applyAlignment="1">
      <alignment horizontal="right" vertical="center"/>
    </xf>
    <xf numFmtId="0" fontId="15" fillId="0" borderId="0" xfId="0" applyFont="1"/>
    <xf numFmtId="164" fontId="16" fillId="4" borderId="0" xfId="0" applyNumberFormat="1" applyFont="1" applyFill="1" applyAlignment="1">
      <alignment horizontal="center"/>
    </xf>
    <xf numFmtId="0" fontId="17" fillId="0" borderId="0" xfId="0" applyFont="1"/>
    <xf numFmtId="165" fontId="2" fillId="0" borderId="4" xfId="0" applyNumberFormat="1" applyFont="1" applyBorder="1"/>
    <xf numFmtId="165" fontId="2" fillId="0" borderId="3" xfId="0" applyNumberFormat="1" applyFont="1" applyBorder="1"/>
    <xf numFmtId="165" fontId="4" fillId="0" borderId="4" xfId="0" applyNumberFormat="1" applyFont="1" applyBorder="1"/>
    <xf numFmtId="0" fontId="18" fillId="0" borderId="0" xfId="0" applyFont="1"/>
    <xf numFmtId="0" fontId="19" fillId="0" borderId="0" xfId="0" applyFont="1"/>
    <xf numFmtId="164" fontId="19" fillId="0" borderId="0" xfId="0" applyNumberFormat="1" applyFont="1"/>
    <xf numFmtId="164" fontId="18" fillId="3" borderId="0" xfId="0" applyNumberFormat="1" applyFont="1" applyFill="1" applyAlignment="1">
      <alignment horizontal="right"/>
    </xf>
    <xf numFmtId="164" fontId="18" fillId="4" borderId="0" xfId="0" applyNumberFormat="1" applyFont="1" applyFill="1" applyAlignment="1">
      <alignment horizontal="right"/>
    </xf>
    <xf numFmtId="0" fontId="20" fillId="0" borderId="4" xfId="0" applyFont="1" applyBorder="1"/>
    <xf numFmtId="164" fontId="21" fillId="0" borderId="4" xfId="0" applyNumberFormat="1" applyFont="1" applyBorder="1"/>
    <xf numFmtId="0" fontId="17" fillId="0" borderId="3" xfId="0" applyFont="1" applyBorder="1"/>
    <xf numFmtId="164" fontId="15" fillId="0" borderId="3" xfId="0" applyNumberFormat="1" applyFont="1" applyBorder="1"/>
    <xf numFmtId="164" fontId="17" fillId="0" borderId="3" xfId="0" applyNumberFormat="1" applyFont="1" applyBorder="1"/>
    <xf numFmtId="164" fontId="22" fillId="0" borderId="4" xfId="0" applyNumberFormat="1" applyFont="1" applyBorder="1"/>
    <xf numFmtId="0" fontId="20" fillId="0" borderId="3" xfId="0" applyFont="1" applyBorder="1"/>
    <xf numFmtId="164" fontId="20" fillId="0" borderId="3" xfId="0" applyNumberFormat="1" applyFont="1" applyBorder="1"/>
    <xf numFmtId="164" fontId="22" fillId="0" borderId="3" xfId="0" applyNumberFormat="1" applyFont="1" applyBorder="1"/>
    <xf numFmtId="164" fontId="21" fillId="0" borderId="3" xfId="0" applyNumberFormat="1" applyFont="1" applyBorder="1"/>
    <xf numFmtId="164" fontId="20" fillId="0" borderId="4" xfId="0" applyNumberFormat="1" applyFont="1" applyBorder="1"/>
    <xf numFmtId="0" fontId="17" fillId="0" borderId="0" xfId="0" applyFont="1" applyAlignment="1">
      <alignment wrapText="1"/>
    </xf>
    <xf numFmtId="164" fontId="19" fillId="0" borderId="3" xfId="0" applyNumberFormat="1" applyFont="1" applyBorder="1"/>
    <xf numFmtId="164" fontId="23" fillId="0" borderId="3" xfId="0" applyNumberFormat="1" applyFont="1" applyBorder="1"/>
    <xf numFmtId="0" fontId="24" fillId="0" borderId="0" xfId="0" applyFont="1"/>
    <xf numFmtId="0" fontId="25" fillId="0" borderId="0" xfId="0" applyFont="1"/>
    <xf numFmtId="0" fontId="19" fillId="0" borderId="4" xfId="0" applyFont="1" applyBorder="1"/>
    <xf numFmtId="0" fontId="22" fillId="0" borderId="4" xfId="0" applyFont="1" applyBorder="1"/>
    <xf numFmtId="166" fontId="20" fillId="0" borderId="4" xfId="1" applyNumberFormat="1" applyFont="1" applyBorder="1"/>
    <xf numFmtId="0" fontId="15" fillId="0" borderId="3" xfId="0" applyFont="1" applyBorder="1"/>
    <xf numFmtId="164" fontId="26" fillId="0" borderId="3" xfId="0" applyNumberFormat="1" applyFont="1" applyBorder="1"/>
    <xf numFmtId="0" fontId="19" fillId="0" borderId="3" xfId="0" applyFont="1" applyBorder="1"/>
    <xf numFmtId="166" fontId="20" fillId="0" borderId="3" xfId="1" applyNumberFormat="1" applyFont="1" applyBorder="1"/>
    <xf numFmtId="166" fontId="17" fillId="0" borderId="3" xfId="1" applyNumberFormat="1" applyFont="1" applyBorder="1"/>
    <xf numFmtId="0" fontId="18" fillId="0" borderId="4" xfId="0" applyFont="1" applyBorder="1"/>
    <xf numFmtId="164" fontId="18" fillId="0" borderId="4" xfId="0" applyNumberFormat="1" applyFont="1" applyBorder="1"/>
    <xf numFmtId="167" fontId="22" fillId="0" borderId="4" xfId="1" applyNumberFormat="1" applyFont="1" applyBorder="1"/>
    <xf numFmtId="167" fontId="20" fillId="0" borderId="4" xfId="1" applyNumberFormat="1" applyFont="1" applyBorder="1"/>
    <xf numFmtId="167" fontId="20" fillId="0" borderId="3" xfId="1" applyNumberFormat="1" applyFont="1" applyBorder="1"/>
    <xf numFmtId="167" fontId="22" fillId="0" borderId="3" xfId="1" applyNumberFormat="1" applyFont="1" applyBorder="1"/>
    <xf numFmtId="166" fontId="15" fillId="0" borderId="3" xfId="1" applyNumberFormat="1" applyFont="1" applyBorder="1"/>
    <xf numFmtId="0" fontId="19" fillId="3" borderId="0" xfId="0" applyFont="1" applyFill="1"/>
    <xf numFmtId="0" fontId="22" fillId="0" borderId="3" xfId="0" applyFont="1" applyBorder="1"/>
    <xf numFmtId="0" fontId="18" fillId="3" borderId="0" xfId="0" applyFont="1" applyFill="1" applyAlignment="1">
      <alignment horizontal="right"/>
    </xf>
    <xf numFmtId="0" fontId="18" fillId="4" borderId="0" xfId="0" applyFont="1" applyFill="1" applyAlignment="1">
      <alignment horizontal="right"/>
    </xf>
    <xf numFmtId="3" fontId="21" fillId="0" borderId="3" xfId="0" applyNumberFormat="1" applyFont="1" applyBorder="1"/>
    <xf numFmtId="0" fontId="20" fillId="0" borderId="0" xfId="0" applyFont="1"/>
    <xf numFmtId="0" fontId="17" fillId="0" borderId="4" xfId="0" applyFont="1" applyBorder="1"/>
    <xf numFmtId="0" fontId="26" fillId="0" borderId="4" xfId="0" applyFont="1" applyBorder="1"/>
    <xf numFmtId="166" fontId="19" fillId="0" borderId="3" xfId="1" applyNumberFormat="1" applyFont="1" applyBorder="1"/>
    <xf numFmtId="164" fontId="23" fillId="0" borderId="4" xfId="0" applyNumberFormat="1" applyFont="1" applyBorder="1"/>
    <xf numFmtId="1" fontId="15" fillId="0" borderId="0" xfId="0" applyNumberFormat="1" applyFont="1"/>
    <xf numFmtId="1" fontId="19" fillId="0" borderId="4" xfId="0" applyNumberFormat="1" applyFont="1" applyBorder="1"/>
    <xf numFmtId="1" fontId="21" fillId="0" borderId="4" xfId="0" applyNumberFormat="1" applyFont="1" applyBorder="1"/>
    <xf numFmtId="1" fontId="22" fillId="0" borderId="4" xfId="0" applyNumberFormat="1" applyFont="1" applyBorder="1"/>
    <xf numFmtId="0" fontId="20" fillId="0" borderId="1" xfId="0" applyFont="1" applyBorder="1"/>
    <xf numFmtId="0" fontId="19" fillId="0" borderId="1" xfId="0" applyFont="1" applyBorder="1"/>
    <xf numFmtId="0" fontId="27" fillId="0" borderId="0" xfId="0" applyFont="1"/>
    <xf numFmtId="0" fontId="28" fillId="0" borderId="0" xfId="0" applyFont="1"/>
    <xf numFmtId="0" fontId="28" fillId="3" borderId="0" xfId="0" applyFont="1" applyFill="1"/>
    <xf numFmtId="0" fontId="28" fillId="0" borderId="3" xfId="0" applyFont="1" applyBorder="1" applyAlignment="1">
      <alignment horizontal="left"/>
    </xf>
    <xf numFmtId="0" fontId="27" fillId="0" borderId="3" xfId="0" applyFont="1" applyBorder="1"/>
    <xf numFmtId="0" fontId="29" fillId="0" borderId="0" xfId="0" applyFont="1"/>
    <xf numFmtId="0" fontId="28" fillId="0" borderId="3" xfId="0" applyFont="1" applyBorder="1"/>
    <xf numFmtId="0" fontId="4" fillId="0" borderId="5" xfId="0" applyFont="1" applyBorder="1"/>
    <xf numFmtId="164" fontId="14" fillId="0" borderId="5" xfId="0" applyNumberFormat="1" applyFont="1" applyBorder="1"/>
    <xf numFmtId="164" fontId="2" fillId="0" borderId="3" xfId="0" applyNumberFormat="1" applyFont="1" applyBorder="1"/>
    <xf numFmtId="164" fontId="4" fillId="0" borderId="3" xfId="0" applyNumberFormat="1" applyFont="1" applyBorder="1"/>
    <xf numFmtId="164" fontId="2" fillId="0" borderId="5" xfId="0" applyNumberFormat="1" applyFont="1" applyBorder="1"/>
    <xf numFmtId="0" fontId="14" fillId="0" borderId="5" xfId="0" applyFont="1" applyBorder="1"/>
    <xf numFmtId="164" fontId="4" fillId="0" borderId="5" xfId="0" applyNumberFormat="1" applyFont="1" applyBorder="1"/>
    <xf numFmtId="164" fontId="11" fillId="0" borderId="0" xfId="0" applyNumberFormat="1" applyFont="1"/>
    <xf numFmtId="0" fontId="4" fillId="0" borderId="6" xfId="0" applyFont="1" applyBorder="1"/>
    <xf numFmtId="164" fontId="4" fillId="0" borderId="6" xfId="0" applyNumberFormat="1" applyFont="1" applyBorder="1"/>
    <xf numFmtId="0" fontId="5" fillId="0" borderId="7" xfId="0" applyFont="1" applyBorder="1"/>
    <xf numFmtId="164" fontId="30" fillId="0" borderId="7" xfId="0" applyNumberFormat="1" applyFont="1" applyBorder="1"/>
    <xf numFmtId="0" fontId="11" fillId="0" borderId="4" xfId="0" applyFont="1" applyBorder="1"/>
    <xf numFmtId="0" fontId="9" fillId="0" borderId="3" xfId="0" applyFont="1" applyBorder="1"/>
    <xf numFmtId="0" fontId="31" fillId="0" borderId="0" xfId="0" applyFont="1"/>
    <xf numFmtId="0" fontId="8" fillId="0" borderId="0" xfId="0" applyFont="1"/>
    <xf numFmtId="0" fontId="32" fillId="0" borderId="0" xfId="0" applyFont="1"/>
    <xf numFmtId="0" fontId="33" fillId="0" borderId="0" xfId="0" applyFont="1"/>
    <xf numFmtId="0" fontId="27" fillId="0" borderId="5" xfId="0" applyFont="1" applyBorder="1"/>
    <xf numFmtId="165" fontId="19" fillId="0" borderId="3" xfId="0" applyNumberFormat="1" applyFont="1" applyBorder="1"/>
    <xf numFmtId="165" fontId="11" fillId="0" borderId="0" xfId="0" applyNumberFormat="1" applyFont="1"/>
    <xf numFmtId="165" fontId="14" fillId="0" borderId="3" xfId="0" applyNumberFormat="1" applyFont="1" applyBorder="1"/>
    <xf numFmtId="165" fontId="4" fillId="0" borderId="3" xfId="0" applyNumberFormat="1" applyFont="1" applyBorder="1"/>
    <xf numFmtId="165" fontId="14" fillId="0" borderId="4" xfId="0" applyNumberFormat="1" applyFont="1" applyBorder="1"/>
    <xf numFmtId="165" fontId="11" fillId="0" borderId="3" xfId="0" applyNumberFormat="1" applyFont="1" applyBorder="1"/>
    <xf numFmtId="0" fontId="17" fillId="0" borderId="3" xfId="0" applyFont="1" applyBorder="1" applyAlignment="1">
      <alignment horizontal="left" indent="1"/>
    </xf>
    <xf numFmtId="164" fontId="8" fillId="0" borderId="3" xfId="0" applyNumberFormat="1" applyFont="1" applyBorder="1"/>
    <xf numFmtId="0" fontId="34" fillId="5" borderId="8" xfId="0" applyFont="1" applyFill="1" applyBorder="1" applyAlignment="1">
      <alignment vertical="center"/>
    </xf>
    <xf numFmtId="0" fontId="34" fillId="5" borderId="9" xfId="0" applyFont="1" applyFill="1" applyBorder="1" applyAlignment="1">
      <alignment vertical="center"/>
    </xf>
    <xf numFmtId="164" fontId="35" fillId="0" borderId="4" xfId="0" applyNumberFormat="1" applyFont="1" applyBorder="1"/>
    <xf numFmtId="0" fontId="36" fillId="0" borderId="0" xfId="0" applyFont="1"/>
    <xf numFmtId="0" fontId="3" fillId="3" borderId="0" xfId="0" applyFont="1" applyFill="1"/>
    <xf numFmtId="0" fontId="37" fillId="0" borderId="4" xfId="0" applyFont="1" applyBorder="1"/>
    <xf numFmtId="0" fontId="37" fillId="0" borderId="3" xfId="0" applyFont="1" applyBorder="1"/>
    <xf numFmtId="0" fontId="38" fillId="0" borderId="0" xfId="0" applyFont="1"/>
    <xf numFmtId="0" fontId="38" fillId="0" borderId="3" xfId="0" applyFont="1" applyBorder="1"/>
    <xf numFmtId="0" fontId="39" fillId="0" borderId="3" xfId="0" applyFont="1" applyBorder="1"/>
    <xf numFmtId="0" fontId="39" fillId="0" borderId="0" xfId="0" applyFont="1"/>
    <xf numFmtId="164" fontId="38" fillId="0" borderId="3" xfId="0" applyNumberFormat="1" applyFont="1" applyBorder="1"/>
    <xf numFmtId="164" fontId="37" fillId="0" borderId="3" xfId="0" applyNumberFormat="1" applyFont="1" applyBorder="1"/>
    <xf numFmtId="166" fontId="37" fillId="0" borderId="3" xfId="1" applyNumberFormat="1" applyFont="1" applyBorder="1"/>
    <xf numFmtId="168" fontId="39" fillId="0" borderId="3" xfId="0" applyNumberFormat="1" applyFont="1" applyBorder="1"/>
    <xf numFmtId="0" fontId="42" fillId="3" borderId="3" xfId="0" applyFont="1" applyFill="1" applyBorder="1" applyAlignment="1">
      <alignment horizontal="right"/>
    </xf>
    <xf numFmtId="0" fontId="38" fillId="0" borderId="6" xfId="0" applyFont="1" applyBorder="1"/>
    <xf numFmtId="0" fontId="41" fillId="0" borderId="0" xfId="0" applyFont="1"/>
    <xf numFmtId="0" fontId="39" fillId="0" borderId="6" xfId="0" applyFont="1" applyBorder="1"/>
    <xf numFmtId="0" fontId="42" fillId="3" borderId="6" xfId="0" applyFont="1" applyFill="1" applyBorder="1" applyAlignment="1">
      <alignment horizontal="right"/>
    </xf>
    <xf numFmtId="0" fontId="43" fillId="6" borderId="11" xfId="0" applyFont="1" applyFill="1" applyBorder="1" applyAlignment="1">
      <alignment horizontal="left"/>
    </xf>
    <xf numFmtId="0" fontId="43" fillId="6" borderId="11" xfId="0" applyFont="1" applyFill="1" applyBorder="1" applyAlignment="1">
      <alignment horizontal="right"/>
    </xf>
    <xf numFmtId="0" fontId="3" fillId="3" borderId="11" xfId="0" applyFont="1" applyFill="1" applyBorder="1" applyAlignment="1">
      <alignment horizontal="right"/>
    </xf>
    <xf numFmtId="0" fontId="40" fillId="0" borderId="0" xfId="0" applyFont="1" applyAlignment="1">
      <alignment horizontal="right"/>
    </xf>
    <xf numFmtId="0" fontId="2" fillId="0" borderId="3" xfId="0" applyFont="1" applyBorder="1" applyAlignment="1">
      <alignment horizontal="right"/>
    </xf>
    <xf numFmtId="164" fontId="39" fillId="0" borderId="3" xfId="0" applyNumberFormat="1" applyFont="1" applyBorder="1"/>
    <xf numFmtId="165" fontId="37" fillId="0" borderId="3" xfId="0" applyNumberFormat="1" applyFont="1" applyBorder="1"/>
    <xf numFmtId="165" fontId="8" fillId="0" borderId="3" xfId="0" applyNumberFormat="1" applyFont="1" applyBorder="1"/>
    <xf numFmtId="165" fontId="9" fillId="0" borderId="3" xfId="0" applyNumberFormat="1" applyFont="1" applyBorder="1"/>
    <xf numFmtId="165" fontId="13" fillId="0" borderId="3" xfId="0" applyNumberFormat="1" applyFont="1" applyBorder="1"/>
    <xf numFmtId="165" fontId="7" fillId="0" borderId="3" xfId="0" applyNumberFormat="1" applyFont="1" applyBorder="1"/>
    <xf numFmtId="165" fontId="8" fillId="0" borderId="4" xfId="0" applyNumberFormat="1" applyFont="1" applyBorder="1"/>
    <xf numFmtId="0" fontId="31" fillId="0" borderId="4" xfId="0" applyFont="1" applyBorder="1"/>
    <xf numFmtId="0" fontId="44" fillId="0" borderId="0" xfId="0" applyFont="1"/>
    <xf numFmtId="0" fontId="29" fillId="0" borderId="0" xfId="0" applyFont="1" applyAlignment="1">
      <alignment horizontal="left"/>
    </xf>
    <xf numFmtId="165" fontId="28" fillId="3" borderId="11" xfId="0" applyNumberFormat="1" applyFont="1" applyFill="1" applyBorder="1" applyAlignment="1">
      <alignment horizontal="left"/>
    </xf>
    <xf numFmtId="164" fontId="19" fillId="0" borderId="6" xfId="0" applyNumberFormat="1" applyFont="1" applyBorder="1" applyAlignment="1">
      <alignment horizontal="right"/>
    </xf>
    <xf numFmtId="164" fontId="19" fillId="0" borderId="3" xfId="0" applyNumberFormat="1" applyFont="1" applyBorder="1" applyAlignment="1">
      <alignment horizontal="right"/>
    </xf>
    <xf numFmtId="170" fontId="28" fillId="3" borderId="11" xfId="2" applyNumberFormat="1" applyFont="1" applyFill="1" applyBorder="1" applyAlignment="1">
      <alignment horizontal="right"/>
    </xf>
    <xf numFmtId="168" fontId="28" fillId="0" borderId="10" xfId="0" applyNumberFormat="1" applyFont="1" applyBorder="1" applyAlignment="1">
      <alignment horizontal="left"/>
    </xf>
    <xf numFmtId="168" fontId="28" fillId="0" borderId="3" xfId="0" applyNumberFormat="1" applyFont="1" applyBorder="1" applyAlignment="1">
      <alignment horizontal="left"/>
    </xf>
    <xf numFmtId="169" fontId="28" fillId="0" borderId="6" xfId="2" applyNumberFormat="1" applyFont="1" applyBorder="1" applyAlignment="1">
      <alignment horizontal="left"/>
    </xf>
    <xf numFmtId="169" fontId="28" fillId="0" borderId="3" xfId="2" applyNumberFormat="1" applyFont="1" applyBorder="1" applyAlignment="1">
      <alignment horizontal="left"/>
    </xf>
    <xf numFmtId="165" fontId="19" fillId="0" borderId="10" xfId="0" applyNumberFormat="1" applyFont="1" applyBorder="1"/>
    <xf numFmtId="165" fontId="18" fillId="2" borderId="11" xfId="0" applyNumberFormat="1" applyFont="1" applyFill="1" applyBorder="1"/>
    <xf numFmtId="165" fontId="18" fillId="2" borderId="11" xfId="0" applyNumberFormat="1" applyFont="1" applyFill="1" applyBorder="1" applyAlignment="1">
      <alignment horizontal="right"/>
    </xf>
    <xf numFmtId="165" fontId="18" fillId="2" borderId="11" xfId="0" applyNumberFormat="1" applyFont="1" applyFill="1" applyBorder="1" applyAlignment="1">
      <alignment horizontal="left"/>
    </xf>
    <xf numFmtId="165" fontId="19" fillId="0" borderId="10" xfId="0" applyNumberFormat="1" applyFont="1" applyBorder="1" applyAlignment="1">
      <alignment horizontal="right"/>
    </xf>
    <xf numFmtId="165" fontId="19" fillId="0" borderId="3" xfId="0" applyNumberFormat="1" applyFont="1" applyBorder="1" applyAlignment="1">
      <alignment horizontal="right"/>
    </xf>
    <xf numFmtId="165" fontId="46" fillId="0" borderId="3" xfId="0" applyNumberFormat="1" applyFont="1" applyBorder="1"/>
    <xf numFmtId="168" fontId="19" fillId="0" borderId="0" xfId="0" applyNumberFormat="1" applyFont="1"/>
    <xf numFmtId="168" fontId="18" fillId="2" borderId="11" xfId="0" applyNumberFormat="1" applyFont="1" applyFill="1" applyBorder="1" applyAlignment="1">
      <alignment horizontal="right"/>
    </xf>
    <xf numFmtId="168" fontId="19" fillId="0" borderId="10" xfId="0" applyNumberFormat="1" applyFont="1" applyBorder="1" applyAlignment="1">
      <alignment horizontal="right"/>
    </xf>
    <xf numFmtId="168" fontId="19" fillId="0" borderId="3" xfId="0" applyNumberFormat="1" applyFont="1" applyBorder="1" applyAlignment="1">
      <alignment horizontal="right"/>
    </xf>
    <xf numFmtId="169" fontId="19" fillId="0" borderId="10" xfId="0" applyNumberFormat="1" applyFont="1" applyBorder="1" applyAlignment="1">
      <alignment horizontal="right"/>
    </xf>
    <xf numFmtId="169" fontId="19" fillId="0" borderId="3" xfId="0" applyNumberFormat="1" applyFont="1" applyBorder="1" applyAlignment="1">
      <alignment horizontal="right"/>
    </xf>
    <xf numFmtId="165" fontId="42" fillId="0" borderId="3" xfId="0" applyNumberFormat="1" applyFont="1" applyBorder="1"/>
    <xf numFmtId="165" fontId="45" fillId="0" borderId="3" xfId="0" applyNumberFormat="1" applyFont="1" applyBorder="1" applyAlignment="1">
      <alignment horizontal="right"/>
    </xf>
    <xf numFmtId="169" fontId="45" fillId="0" borderId="3" xfId="0" applyNumberFormat="1" applyFont="1" applyBorder="1" applyAlignment="1">
      <alignment horizontal="right"/>
    </xf>
    <xf numFmtId="168" fontId="45" fillId="0" borderId="3" xfId="0" applyNumberFormat="1" applyFont="1" applyBorder="1" applyAlignment="1">
      <alignment horizontal="right"/>
    </xf>
    <xf numFmtId="0" fontId="20" fillId="0" borderId="10" xfId="0" applyFont="1" applyBorder="1"/>
    <xf numFmtId="164" fontId="20" fillId="0" borderId="10" xfId="0" applyNumberFormat="1" applyFont="1" applyBorder="1"/>
    <xf numFmtId="0" fontId="45" fillId="0" borderId="0" xfId="0" applyFont="1"/>
    <xf numFmtId="0" fontId="28" fillId="0" borderId="0" xfId="0" applyFont="1" applyAlignment="1">
      <alignment horizontal="left"/>
    </xf>
    <xf numFmtId="164" fontId="46" fillId="0" borderId="3" xfId="0" applyNumberFormat="1" applyFont="1" applyBorder="1"/>
    <xf numFmtId="1" fontId="5" fillId="0" borderId="0" xfId="0" applyNumberFormat="1" applyFont="1" applyAlignment="1">
      <alignment horizontal="right"/>
    </xf>
  </cellXfs>
  <cellStyles count="3">
    <cellStyle name="Comma" xfId="1" builtinId="3"/>
    <cellStyle name="Normal" xfId="0" builtinId="0"/>
    <cellStyle name="Percent" xfId="2"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1</xdr:col>
      <xdr:colOff>0</xdr:colOff>
      <xdr:row>4</xdr:row>
      <xdr:rowOff>127000</xdr:rowOff>
    </xdr:from>
    <xdr:to>
      <xdr:col>2</xdr:col>
      <xdr:colOff>6654800</xdr:colOff>
      <xdr:row>17</xdr:row>
      <xdr:rowOff>139700</xdr:rowOff>
    </xdr:to>
    <xdr:sp macro="" textlink="">
      <xdr:nvSpPr>
        <xdr:cNvPr id="2" name="TextBox 1">
          <a:extLst>
            <a:ext uri="{FF2B5EF4-FFF2-40B4-BE49-F238E27FC236}">
              <a16:creationId xmlns:a16="http://schemas.microsoft.com/office/drawing/2014/main" id="{503ABEE2-A483-B991-93E5-1BE92F43DAF8}"/>
            </a:ext>
          </a:extLst>
        </xdr:cNvPr>
        <xdr:cNvSpPr txBox="1"/>
      </xdr:nvSpPr>
      <xdr:spPr>
        <a:xfrm>
          <a:off x="254000" y="901700"/>
          <a:ext cx="9004300" cy="23241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1" i="0" u="sng">
              <a:solidFill>
                <a:schemeClr val="dk1"/>
              </a:solidFill>
              <a:effectLst/>
              <a:latin typeface="+mn-lt"/>
              <a:ea typeface="+mn-ea"/>
              <a:cs typeface="Arial" panose="020B0604020202020204" pitchFamily="34" charset="0"/>
            </a:rPr>
            <a:t>Key</a:t>
          </a:r>
          <a:r>
            <a:rPr lang="en-US" sz="1000" b="1" i="0" u="sng" baseline="0">
              <a:solidFill>
                <a:schemeClr val="dk1"/>
              </a:solidFill>
              <a:effectLst/>
              <a:latin typeface="+mn-lt"/>
              <a:ea typeface="+mn-ea"/>
              <a:cs typeface="Arial" panose="020B0604020202020204" pitchFamily="34" charset="0"/>
            </a:rPr>
            <a:t> Investment Questions:</a:t>
          </a:r>
        </a:p>
        <a:p>
          <a:endParaRPr lang="en-US" sz="1000" b="1" i="0" u="sng">
            <a:solidFill>
              <a:schemeClr val="dk1"/>
            </a:solidFill>
            <a:effectLst/>
            <a:latin typeface="+mn-lt"/>
            <a:ea typeface="+mn-ea"/>
            <a:cs typeface="Arial" panose="020B0604020202020204" pitchFamily="34" charset="0"/>
          </a:endParaRPr>
        </a:p>
        <a:p>
          <a:r>
            <a:rPr lang="en-US" sz="1000" b="1" i="0">
              <a:solidFill>
                <a:schemeClr val="dk1"/>
              </a:solidFill>
              <a:effectLst/>
              <a:latin typeface="+mn-lt"/>
              <a:ea typeface="+mn-ea"/>
              <a:cs typeface="Arial" panose="020B0604020202020204" pitchFamily="34" charset="0"/>
            </a:rPr>
            <a:t>1. Can NDER re-accelerate above 103%, or is that the ceiling?</a:t>
          </a:r>
          <a:r>
            <a:rPr lang="en-US" sz="1000" b="0" i="0">
              <a:solidFill>
                <a:schemeClr val="dk1"/>
              </a:solidFill>
              <a:effectLst/>
              <a:latin typeface="+mn-lt"/>
              <a:ea typeface="+mn-ea"/>
              <a:cs typeface="Arial" panose="020B0604020202020204" pitchFamily="34" charset="0"/>
            </a:rPr>
            <a:t> This is the most</a:t>
          </a:r>
          <a:r>
            <a:rPr lang="en-US" sz="1000" b="0" i="0" baseline="0">
              <a:solidFill>
                <a:schemeClr val="dk1"/>
              </a:solidFill>
              <a:effectLst/>
              <a:latin typeface="+mn-lt"/>
              <a:ea typeface="+mn-ea"/>
              <a:cs typeface="Arial" panose="020B0604020202020204" pitchFamily="34" charset="0"/>
            </a:rPr>
            <a:t> important </a:t>
          </a:r>
          <a:r>
            <a:rPr lang="en-US" sz="1000" b="0" i="0">
              <a:solidFill>
                <a:schemeClr val="dk1"/>
              </a:solidFill>
              <a:effectLst/>
              <a:latin typeface="+mn-lt"/>
              <a:ea typeface="+mn-ea"/>
              <a:cs typeface="Arial" panose="020B0604020202020204" pitchFamily="34" charset="0"/>
            </a:rPr>
            <a:t>revenue lever. A 2pt move swings revenue more than adding 600 new logos. </a:t>
          </a:r>
          <a:r>
            <a:rPr lang="en-US" sz="1000" b="0" i="1">
              <a:solidFill>
                <a:schemeClr val="dk1"/>
              </a:solidFill>
              <a:effectLst/>
              <a:latin typeface="+mn-lt"/>
              <a:ea typeface="+mn-ea"/>
              <a:cs typeface="Arial" panose="020B0604020202020204" pitchFamily="34" charset="0"/>
            </a:rPr>
            <a:t>Watch: quarterly NDER disclosure in 10-K MD&amp;A.</a:t>
          </a:r>
        </a:p>
        <a:p>
          <a:endParaRPr lang="en-US" sz="1000" b="0" i="0">
            <a:solidFill>
              <a:schemeClr val="dk1"/>
            </a:solidFill>
            <a:effectLst/>
            <a:latin typeface="+mn-lt"/>
            <a:ea typeface="+mn-ea"/>
            <a:cs typeface="Arial" panose="020B0604020202020204" pitchFamily="34" charset="0"/>
          </a:endParaRPr>
        </a:p>
        <a:p>
          <a:r>
            <a:rPr lang="en-US" sz="1000" b="1" i="0">
              <a:solidFill>
                <a:schemeClr val="dk1"/>
              </a:solidFill>
              <a:effectLst/>
              <a:latin typeface="+mn-lt"/>
              <a:ea typeface="+mn-ea"/>
              <a:cs typeface="Arial" panose="020B0604020202020204" pitchFamily="34" charset="0"/>
            </a:rPr>
            <a:t>2. Is the ~10,000 customer count flat, growing, or quietly shrinking?</a:t>
          </a:r>
          <a:r>
            <a:rPr lang="en-US" sz="1000" b="0" i="0">
              <a:solidFill>
                <a:schemeClr val="dk1"/>
              </a:solidFill>
              <a:effectLst/>
              <a:latin typeface="+mn-lt"/>
              <a:ea typeface="+mn-ea"/>
              <a:cs typeface="Arial" panose="020B0604020202020204" pitchFamily="34" charset="0"/>
            </a:rPr>
            <a:t> Customer</a:t>
          </a:r>
          <a:r>
            <a:rPr lang="en-US" sz="1000" b="0" i="0" baseline="0">
              <a:solidFill>
                <a:schemeClr val="dk1"/>
              </a:solidFill>
              <a:effectLst/>
              <a:latin typeface="+mn-lt"/>
              <a:ea typeface="+mn-ea"/>
              <a:cs typeface="Arial" panose="020B0604020202020204" pitchFamily="34" charset="0"/>
            </a:rPr>
            <a:t> count is undisclosed.</a:t>
          </a:r>
          <a:r>
            <a:rPr lang="en-US" sz="1000" b="0" i="0">
              <a:solidFill>
                <a:schemeClr val="dk1"/>
              </a:solidFill>
              <a:effectLst/>
              <a:latin typeface="+mn-lt"/>
              <a:ea typeface="+mn-ea"/>
              <a:cs typeface="Arial" panose="020B0604020202020204" pitchFamily="34" charset="0"/>
            </a:rPr>
            <a:t> if logo churn is being masked by NDER, the growth story is weaker than it looks. </a:t>
          </a:r>
          <a:r>
            <a:rPr lang="en-US" sz="1000" b="0" i="1">
              <a:solidFill>
                <a:schemeClr val="dk1"/>
              </a:solidFill>
              <a:effectLst/>
              <a:latin typeface="+mn-lt"/>
              <a:ea typeface="+mn-ea"/>
              <a:cs typeface="Arial" panose="020B0604020202020204" pitchFamily="34" charset="0"/>
            </a:rPr>
            <a:t>Watch: any change in "over 10,000" language in earnings calls.</a:t>
          </a:r>
        </a:p>
        <a:p>
          <a:endParaRPr lang="en-US" sz="1000" b="0" i="0">
            <a:solidFill>
              <a:schemeClr val="dk1"/>
            </a:solidFill>
            <a:effectLst/>
            <a:latin typeface="+mn-lt"/>
            <a:ea typeface="+mn-ea"/>
            <a:cs typeface="Arial" panose="020B0604020202020204" pitchFamily="34" charset="0"/>
          </a:endParaRPr>
        </a:p>
        <a:p>
          <a:r>
            <a:rPr lang="en-US" sz="1000" b="1" i="0">
              <a:solidFill>
                <a:schemeClr val="dk1"/>
              </a:solidFill>
              <a:effectLst/>
              <a:latin typeface="+mn-lt"/>
              <a:ea typeface="+mn-ea"/>
              <a:cs typeface="Arial" panose="020B0604020202020204" pitchFamily="34" charset="0"/>
            </a:rPr>
            <a:t>3. Is S&amp;M leverage actually coming?</a:t>
          </a:r>
          <a:r>
            <a:rPr lang="en-US" sz="1000" b="0" i="0">
              <a:solidFill>
                <a:schemeClr val="dk1"/>
              </a:solidFill>
              <a:effectLst/>
              <a:latin typeface="+mn-lt"/>
              <a:ea typeface="+mn-ea"/>
              <a:cs typeface="Arial" panose="020B0604020202020204" pitchFamily="34" charset="0"/>
            </a:rPr>
            <a:t> S&amp;M as % of revenue has been increasing (18.6% to 21.4%) despite growing partner channel. </a:t>
          </a:r>
          <a:r>
            <a:rPr lang="en-US" sz="1000" b="0" i="1">
              <a:solidFill>
                <a:schemeClr val="dk1"/>
              </a:solidFill>
              <a:effectLst/>
              <a:latin typeface="+mn-lt"/>
              <a:ea typeface="+mn-ea"/>
              <a:cs typeface="Arial" panose="020B0604020202020204" pitchFamily="34" charset="0"/>
            </a:rPr>
            <a:t>Watch: S&amp;M % in next 2-3 quarters. If it doesn't inflect, the operating leverage thesis is wrong.</a:t>
          </a:r>
        </a:p>
        <a:p>
          <a:endParaRPr lang="en-US" sz="1000" b="0" i="0">
            <a:solidFill>
              <a:schemeClr val="dk1"/>
            </a:solidFill>
            <a:effectLst/>
            <a:latin typeface="+mn-lt"/>
            <a:ea typeface="+mn-ea"/>
            <a:cs typeface="Arial" panose="020B0604020202020204" pitchFamily="34" charset="0"/>
          </a:endParaRPr>
        </a:p>
        <a:p>
          <a:r>
            <a:rPr lang="en-US" sz="1000" b="1" i="0">
              <a:solidFill>
                <a:schemeClr val="dk1"/>
              </a:solidFill>
              <a:effectLst/>
              <a:latin typeface="+mn-lt"/>
              <a:ea typeface="+mn-ea"/>
              <a:cs typeface="Arial" panose="020B0604020202020204" pitchFamily="34" charset="0"/>
            </a:rPr>
            <a:t>Bear Outlook:</a:t>
          </a:r>
          <a:r>
            <a:rPr lang="en-US" sz="1000" b="0" i="0">
              <a:solidFill>
                <a:schemeClr val="dk1"/>
              </a:solidFill>
              <a:effectLst/>
              <a:latin typeface="+mn-lt"/>
              <a:ea typeface="+mn-ea"/>
              <a:cs typeface="Arial" panose="020B0604020202020204" pitchFamily="34" charset="0"/>
            </a:rPr>
            <a:t> An investor pays a premium multiple for a company growing currently at 10% with no catalyst to accelerate,</a:t>
          </a:r>
          <a:r>
            <a:rPr lang="en-US" sz="1000" b="0" i="0" baseline="0">
              <a:solidFill>
                <a:schemeClr val="dk1"/>
              </a:solidFill>
              <a:effectLst/>
              <a:latin typeface="+mn-lt"/>
              <a:ea typeface="+mn-ea"/>
              <a:cs typeface="Arial" panose="020B0604020202020204" pitchFamily="34" charset="0"/>
            </a:rPr>
            <a:t> and competitive pressures will drive growth downwards.</a:t>
          </a:r>
          <a:endParaRPr lang="en-US" sz="1000" b="0" i="0">
            <a:solidFill>
              <a:schemeClr val="dk1"/>
            </a:solidFill>
            <a:effectLst/>
            <a:latin typeface="+mn-lt"/>
            <a:ea typeface="+mn-ea"/>
            <a:cs typeface="Arial" panose="020B0604020202020204" pitchFamily="34" charset="0"/>
          </a:endParaRPr>
        </a:p>
        <a:p>
          <a:r>
            <a:rPr lang="en-US" sz="1000" b="1" i="0">
              <a:solidFill>
                <a:schemeClr val="dk1"/>
              </a:solidFill>
              <a:effectLst/>
              <a:latin typeface="+mn-lt"/>
              <a:ea typeface="+mn-ea"/>
              <a:cs typeface="Arial" panose="020B0604020202020204" pitchFamily="34" charset="0"/>
            </a:rPr>
            <a:t>Bull Outlook:</a:t>
          </a:r>
          <a:r>
            <a:rPr lang="en-US" sz="1000" b="0" i="0">
              <a:solidFill>
                <a:schemeClr val="dk1"/>
              </a:solidFill>
              <a:effectLst/>
              <a:latin typeface="+mn-lt"/>
              <a:ea typeface="+mn-ea"/>
              <a:cs typeface="Arial" panose="020B0604020202020204" pitchFamily="34" charset="0"/>
            </a:rPr>
            <a:t> Customer</a:t>
          </a:r>
          <a:r>
            <a:rPr lang="en-US" sz="1000" b="0" i="0" baseline="0">
              <a:solidFill>
                <a:schemeClr val="dk1"/>
              </a:solidFill>
              <a:effectLst/>
              <a:latin typeface="+mn-lt"/>
              <a:ea typeface="+mn-ea"/>
              <a:cs typeface="Arial" panose="020B0604020202020204" pitchFamily="34" charset="0"/>
            </a:rPr>
            <a:t> whitespace </a:t>
          </a:r>
          <a:r>
            <a:rPr lang="en-US" sz="1000" b="0" i="0">
              <a:solidFill>
                <a:schemeClr val="dk1"/>
              </a:solidFill>
              <a:effectLst/>
              <a:latin typeface="+mn-lt"/>
              <a:ea typeface="+mn-ea"/>
              <a:cs typeface="Arial" panose="020B0604020202020204" pitchFamily="34" charset="0"/>
            </a:rPr>
            <a:t>has room to</a:t>
          </a:r>
          <a:r>
            <a:rPr lang="en-US" sz="1000" b="0" i="0" baseline="0">
              <a:solidFill>
                <a:schemeClr val="dk1"/>
              </a:solidFill>
              <a:effectLst/>
              <a:latin typeface="+mn-lt"/>
              <a:ea typeface="+mn-ea"/>
              <a:cs typeface="Arial" panose="020B0604020202020204" pitchFamily="34" charset="0"/>
            </a:rPr>
            <a:t> grow</a:t>
          </a:r>
          <a:r>
            <a:rPr lang="en-US" sz="1000" b="0" i="0">
              <a:solidFill>
                <a:schemeClr val="dk1"/>
              </a:solidFill>
              <a:effectLst/>
              <a:latin typeface="+mn-lt"/>
              <a:ea typeface="+mn-ea"/>
              <a:cs typeface="Arial" panose="020B0604020202020204" pitchFamily="34" charset="0"/>
            </a:rPr>
            <a:t> and the market is underpricing their strong FCF.</a:t>
          </a:r>
        </a:p>
        <a:p>
          <a:endParaRPr lang="en-US" sz="1200">
            <a:latin typeface="+mn-lt"/>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0</xdr:colOff>
      <xdr:row>4</xdr:row>
      <xdr:rowOff>25400</xdr:rowOff>
    </xdr:from>
    <xdr:to>
      <xdr:col>13</xdr:col>
      <xdr:colOff>63500</xdr:colOff>
      <xdr:row>8</xdr:row>
      <xdr:rowOff>165100</xdr:rowOff>
    </xdr:to>
    <xdr:sp macro="" textlink="">
      <xdr:nvSpPr>
        <xdr:cNvPr id="2" name="TextBox 1">
          <a:extLst>
            <a:ext uri="{FF2B5EF4-FFF2-40B4-BE49-F238E27FC236}">
              <a16:creationId xmlns:a16="http://schemas.microsoft.com/office/drawing/2014/main" id="{C1B988D3-7D88-BF63-E2AB-0FB279C3D277}"/>
            </a:ext>
          </a:extLst>
        </xdr:cNvPr>
        <xdr:cNvSpPr txBox="1"/>
      </xdr:nvSpPr>
      <xdr:spPr>
        <a:xfrm>
          <a:off x="177800" y="800100"/>
          <a:ext cx="11811000" cy="8509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100" b="0" i="0">
              <a:solidFill>
                <a:schemeClr val="dk1"/>
              </a:solidFill>
              <a:effectLst/>
              <a:latin typeface="+mn-lt"/>
              <a:ea typeface="+mn-ea"/>
              <a:cs typeface="+mn-cs"/>
            </a:rPr>
            <a:t>At the current price of $80.50, the market implies an enterprise value of ~$2,240M or 3.3x EV/Revenue, 9.5x EV/EBITDA, and 7.3x EV/FCF. Even the bear case indicates a $111</a:t>
          </a:r>
          <a:r>
            <a:rPr lang="en-US" sz="1100" b="0" i="0" baseline="0">
              <a:solidFill>
                <a:schemeClr val="dk1"/>
              </a:solidFill>
              <a:effectLst/>
              <a:latin typeface="+mn-lt"/>
              <a:ea typeface="+mn-ea"/>
              <a:cs typeface="+mn-cs"/>
            </a:rPr>
            <a:t> share price which is </a:t>
          </a:r>
          <a:r>
            <a:rPr lang="en-US" sz="1100" b="0" i="0">
              <a:solidFill>
                <a:schemeClr val="dk1"/>
              </a:solidFill>
              <a:effectLst/>
              <a:latin typeface="+mn-lt"/>
              <a:ea typeface="+mn-ea"/>
              <a:cs typeface="+mn-cs"/>
            </a:rPr>
            <a:t>roughly 38% upside. To justify the current price, a</a:t>
          </a:r>
          <a:r>
            <a:rPr lang="en-US" sz="1100" b="0" i="0" baseline="0">
              <a:solidFill>
                <a:schemeClr val="dk1"/>
              </a:solidFill>
              <a:effectLst/>
              <a:latin typeface="+mn-lt"/>
              <a:ea typeface="+mn-ea"/>
              <a:cs typeface="+mn-cs"/>
            </a:rPr>
            <a:t> future </a:t>
          </a:r>
          <a:r>
            <a:rPr lang="en-US" sz="1100" b="0" i="0">
              <a:solidFill>
                <a:schemeClr val="dk1"/>
              </a:solidFill>
              <a:effectLst/>
              <a:latin typeface="+mn-lt"/>
              <a:ea typeface="+mn-ea"/>
              <a:cs typeface="+mn-cs"/>
            </a:rPr>
            <a:t>scenario materially worse than the bear case must exist: NDER well below 100% (existing customer contraction), meaningful logo churn, or competitive displacement by PANW/CRWD. T</a:t>
          </a:r>
          <a:r>
            <a:rPr lang="en-US"/>
            <a:t>he current price requires a business deterioration that has no precedent in QLYS's operating history</a:t>
          </a:r>
          <a:endParaRPr 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0</xdr:colOff>
      <xdr:row>2</xdr:row>
      <xdr:rowOff>50800</xdr:rowOff>
    </xdr:from>
    <xdr:to>
      <xdr:col>14</xdr:col>
      <xdr:colOff>965200</xdr:colOff>
      <xdr:row>11</xdr:row>
      <xdr:rowOff>12700</xdr:rowOff>
    </xdr:to>
    <xdr:sp macro="" textlink="">
      <xdr:nvSpPr>
        <xdr:cNvPr id="2" name="TextBox 1">
          <a:extLst>
            <a:ext uri="{FF2B5EF4-FFF2-40B4-BE49-F238E27FC236}">
              <a16:creationId xmlns:a16="http://schemas.microsoft.com/office/drawing/2014/main" id="{D5B6EADF-FDDD-6A7C-E19D-EAC51E8005A9}"/>
            </a:ext>
          </a:extLst>
        </xdr:cNvPr>
        <xdr:cNvSpPr txBox="1"/>
      </xdr:nvSpPr>
      <xdr:spPr>
        <a:xfrm>
          <a:off x="152400" y="393700"/>
          <a:ext cx="16268700" cy="15621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100" u="sng"/>
            <a:t>Direct Cybersecurity</a:t>
          </a:r>
          <a:r>
            <a:rPr lang="en-US" sz="1100" u="sng" baseline="0"/>
            <a:t> Peers: </a:t>
          </a:r>
          <a:r>
            <a:rPr lang="en-US" sz="1100" b="0" i="0">
              <a:solidFill>
                <a:schemeClr val="dk1"/>
              </a:solidFill>
              <a:effectLst/>
              <a:latin typeface="+mn-lt"/>
              <a:ea typeface="+mn-ea"/>
              <a:cs typeface="+mn-cs"/>
            </a:rPr>
            <a:t>Pure-play cybersecurity companies competing for the same enterprise security budget. These are the closest comparables for valuation as</a:t>
          </a:r>
          <a:r>
            <a:rPr lang="en-US" sz="1100" b="0" i="0" baseline="0">
              <a:solidFill>
                <a:schemeClr val="dk1"/>
              </a:solidFill>
              <a:effectLst/>
              <a:latin typeface="+mn-lt"/>
              <a:ea typeface="+mn-ea"/>
              <a:cs typeface="+mn-cs"/>
            </a:rPr>
            <a:t> they share the </a:t>
          </a:r>
          <a:r>
            <a:rPr lang="en-US" sz="1100" b="0" i="0">
              <a:solidFill>
                <a:schemeClr val="dk1"/>
              </a:solidFill>
              <a:effectLst/>
              <a:latin typeface="+mn-lt"/>
              <a:ea typeface="+mn-ea"/>
              <a:cs typeface="+mn-cs"/>
            </a:rPr>
            <a:t>same end market, similar customer profile (enterprise IT/security teams), subscription-based delivery.</a:t>
          </a:r>
        </a:p>
        <a:p>
          <a:pPr algn="l"/>
          <a:r>
            <a:rPr lang="en-US" sz="1100" b="0" i="0" u="sng">
              <a:solidFill>
                <a:schemeClr val="dk1"/>
              </a:solidFill>
              <a:effectLst/>
              <a:latin typeface="+mn-lt"/>
              <a:ea typeface="+mn-ea"/>
              <a:cs typeface="+mn-cs"/>
            </a:rPr>
            <a:t>Broader Enterprise</a:t>
          </a:r>
          <a:r>
            <a:rPr lang="en-US" sz="1100" b="0" i="0" u="sng" baseline="0">
              <a:solidFill>
                <a:schemeClr val="dk1"/>
              </a:solidFill>
              <a:effectLst/>
              <a:latin typeface="+mn-lt"/>
              <a:ea typeface="+mn-ea"/>
              <a:cs typeface="+mn-cs"/>
            </a:rPr>
            <a:t> SaaS:</a:t>
          </a:r>
          <a:r>
            <a:rPr lang="en-US" sz="1100" b="0" i="0" baseline="0">
              <a:solidFill>
                <a:schemeClr val="dk1"/>
              </a:solidFill>
              <a:effectLst/>
              <a:latin typeface="+mn-lt"/>
              <a:ea typeface="+mn-ea"/>
              <a:cs typeface="+mn-cs"/>
            </a:rPr>
            <a:t> </a:t>
          </a:r>
          <a:r>
            <a:rPr lang="en-US" sz="1100" b="0" i="0">
              <a:solidFill>
                <a:schemeClr val="dk1"/>
              </a:solidFill>
              <a:effectLst/>
              <a:latin typeface="+mn-lt"/>
              <a:ea typeface="+mn-ea"/>
              <a:cs typeface="+mn-cs"/>
            </a:rPr>
            <a:t>Enterprise cloud software companies with similar business model economics (70%+ gross margins, subscription revenue, land-and-expand motion) but different end markets. Included for context on how the market values SaaS at varying growth rates</a:t>
          </a:r>
          <a:r>
            <a:rPr lang="en-US" sz="1100" b="0" i="0" baseline="0">
              <a:solidFill>
                <a:schemeClr val="dk1"/>
              </a:solidFill>
              <a:effectLst/>
              <a:latin typeface="+mn-lt"/>
              <a:ea typeface="+mn-ea"/>
              <a:cs typeface="+mn-cs"/>
            </a:rPr>
            <a:t> -</a:t>
          </a:r>
          <a:r>
            <a:rPr lang="en-US" sz="1100" b="0" i="0">
              <a:solidFill>
                <a:schemeClr val="dk1"/>
              </a:solidFill>
              <a:effectLst/>
              <a:latin typeface="+mn-lt"/>
              <a:ea typeface="+mn-ea"/>
              <a:cs typeface="+mn-cs"/>
            </a:rPr>
            <a:t> not used in median/mean valuation calculations.</a:t>
          </a:r>
        </a:p>
        <a:p>
          <a:r>
            <a:rPr lang="en-US" sz="1100" b="1" i="0">
              <a:solidFill>
                <a:schemeClr val="dk1"/>
              </a:solidFill>
              <a:effectLst/>
              <a:latin typeface="+mn-lt"/>
              <a:ea typeface="+mn-ea"/>
              <a:cs typeface="+mn-cs"/>
            </a:rPr>
            <a:t>No P/E</a:t>
          </a:r>
          <a:r>
            <a:rPr lang="en-US" sz="1100" b="0" i="0">
              <a:solidFill>
                <a:schemeClr val="dk1"/>
              </a:solidFill>
              <a:effectLst/>
              <a:latin typeface="+mn-lt"/>
              <a:ea typeface="+mn-ea"/>
              <a:cs typeface="+mn-cs"/>
            </a:rPr>
            <a:t> </a:t>
          </a:r>
          <a:r>
            <a:rPr lang="en-US" sz="1100" b="0" i="0" baseline="0">
              <a:solidFill>
                <a:schemeClr val="dk1"/>
              </a:solidFill>
              <a:effectLst/>
              <a:latin typeface="+mn-lt"/>
              <a:ea typeface="+mn-ea"/>
              <a:cs typeface="+mn-cs"/>
            </a:rPr>
            <a:t> </a:t>
          </a:r>
          <a:r>
            <a:rPr lang="en-US" sz="1100" b="0" i="0">
              <a:solidFill>
                <a:schemeClr val="dk1"/>
              </a:solidFill>
              <a:effectLst/>
              <a:latin typeface="+mn-lt"/>
              <a:ea typeface="+mn-ea"/>
              <a:cs typeface="+mn-cs"/>
            </a:rPr>
            <a:t>means net income is negative. These companies have high SBC, amortization of intangibles, or other non-cash charges that push GAAP net income below zero even though the business generates FCF.</a:t>
          </a:r>
        </a:p>
        <a:p>
          <a:r>
            <a:rPr lang="en-US" sz="1100" b="1" i="0">
              <a:solidFill>
                <a:schemeClr val="dk1"/>
              </a:solidFill>
              <a:effectLst/>
              <a:latin typeface="+mn-lt"/>
              <a:ea typeface="+mn-ea"/>
              <a:cs typeface="+mn-cs"/>
            </a:rPr>
            <a:t>No EV/EBITDA</a:t>
          </a:r>
          <a:r>
            <a:rPr lang="en-US" sz="1100" b="0" i="0">
              <a:solidFill>
                <a:schemeClr val="dk1"/>
              </a:solidFill>
              <a:effectLst/>
              <a:latin typeface="+mn-lt"/>
              <a:ea typeface="+mn-ea"/>
              <a:cs typeface="+mn-cs"/>
            </a:rPr>
            <a:t>  means EBITDA is negative or barley</a:t>
          </a:r>
          <a:r>
            <a:rPr lang="en-US" sz="1100" b="0" i="0" baseline="0">
              <a:solidFill>
                <a:schemeClr val="dk1"/>
              </a:solidFill>
              <a:effectLst/>
              <a:latin typeface="+mn-lt"/>
              <a:ea typeface="+mn-ea"/>
              <a:cs typeface="+mn-cs"/>
            </a:rPr>
            <a:t> positive</a:t>
          </a:r>
          <a:r>
            <a:rPr lang="en-US" sz="1100" b="0" i="0">
              <a:solidFill>
                <a:schemeClr val="dk1"/>
              </a:solidFill>
              <a:effectLst/>
              <a:latin typeface="+mn-lt"/>
              <a:ea typeface="+mn-ea"/>
              <a:cs typeface="+mn-cs"/>
            </a:rPr>
            <a:t>.</a:t>
          </a:r>
          <a:r>
            <a:rPr lang="en-US" sz="1100" b="0" i="0" baseline="0">
              <a:solidFill>
                <a:schemeClr val="dk1"/>
              </a:solidFill>
              <a:effectLst/>
              <a:latin typeface="+mn-lt"/>
              <a:ea typeface="+mn-ea"/>
              <a:cs typeface="+mn-cs"/>
            </a:rPr>
            <a:t> </a:t>
          </a:r>
          <a:r>
            <a:rPr lang="en-US" sz="1100" b="0" i="0">
              <a:solidFill>
                <a:schemeClr val="dk1"/>
              </a:solidFill>
              <a:effectLst/>
              <a:latin typeface="+mn-lt"/>
              <a:ea typeface="+mn-ea"/>
              <a:cs typeface="+mn-cs"/>
            </a:rPr>
            <a:t>Companies like CRWD, S, ZS, VRNS have negative EBITDA margins (-1% to -27%). They're spending heavily on growth and EBITDA hasn't turned positive yet.</a:t>
          </a:r>
        </a:p>
        <a:p>
          <a:r>
            <a:rPr lang="en-US" sz="1100" b="1" i="0">
              <a:solidFill>
                <a:schemeClr val="dk1"/>
              </a:solidFill>
              <a:effectLst/>
              <a:latin typeface="+mn-lt"/>
              <a:ea typeface="+mn-ea"/>
              <a:cs typeface="+mn-cs"/>
            </a:rPr>
            <a:t>P/FCF exists</a:t>
          </a:r>
          <a:r>
            <a:rPr lang="en-US" sz="1100" b="0" i="0">
              <a:solidFill>
                <a:schemeClr val="dk1"/>
              </a:solidFill>
              <a:effectLst/>
              <a:latin typeface="+mn-lt"/>
              <a:ea typeface="+mn-ea"/>
              <a:cs typeface="+mn-cs"/>
            </a:rPr>
            <a:t> because free cash flow strips out all the non-cash noise. SBC doesn't hit FCF (it's non-cash), working capital timing helps (collecting annual subscriptions upfront creates deferred revenue), and capex is minimal for SaaS. So a company can have -$50M net income but +$200M FCF.</a:t>
          </a:r>
        </a:p>
        <a:p>
          <a:pPr algn="l"/>
          <a:r>
            <a:rPr lang="en-US" sz="1100" b="0" i="1">
              <a:solidFill>
                <a:schemeClr val="dk1"/>
              </a:solidFill>
              <a:effectLst/>
              <a:latin typeface="+mn-lt"/>
              <a:ea typeface="+mn-ea"/>
              <a:cs typeface="+mn-cs"/>
            </a:rPr>
            <a:t>Note:</a:t>
          </a:r>
          <a:r>
            <a:rPr lang="en-US" sz="1100" b="0" i="1" baseline="0">
              <a:solidFill>
                <a:schemeClr val="dk1"/>
              </a:solidFill>
              <a:effectLst/>
              <a:latin typeface="+mn-lt"/>
              <a:ea typeface="+mn-ea"/>
              <a:cs typeface="+mn-cs"/>
            </a:rPr>
            <a:t> </a:t>
          </a:r>
          <a:r>
            <a:rPr lang="en-US" sz="1100" b="0" i="1">
              <a:solidFill>
                <a:schemeClr val="dk1"/>
              </a:solidFill>
              <a:effectLst/>
              <a:latin typeface="+mn-lt"/>
              <a:ea typeface="+mn-ea"/>
              <a:cs typeface="+mn-cs"/>
            </a:rPr>
            <a:t>CyberArk (CYBR) excluded - acquired by Palo Alto Networks for $25B, closed February 2026.</a:t>
          </a:r>
          <a:endParaRPr lang="en-US" sz="1100" i="1"/>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C40"/>
  <sheetViews>
    <sheetView showGridLines="0" tabSelected="1" workbookViewId="0"/>
  </sheetViews>
  <sheetFormatPr baseColWidth="10" defaultColWidth="8.83203125" defaultRowHeight="14" x14ac:dyDescent="0.2"/>
  <cols>
    <col min="1" max="1" width="3.33203125" style="27" customWidth="1"/>
    <col min="2" max="2" width="30.83203125" style="27" customWidth="1"/>
    <col min="3" max="3" width="88.1640625" style="27" customWidth="1"/>
    <col min="4" max="5" width="8.83203125" style="27" customWidth="1"/>
    <col min="6" max="16384" width="8.83203125" style="27"/>
  </cols>
  <sheetData>
    <row r="2" spans="2:2" ht="19" customHeight="1" x14ac:dyDescent="0.2">
      <c r="B2" s="83" t="s">
        <v>0</v>
      </c>
    </row>
    <row r="3" spans="2:2" x14ac:dyDescent="0.2">
      <c r="B3" s="78" t="s">
        <v>61</v>
      </c>
    </row>
    <row r="4" spans="2:2" x14ac:dyDescent="0.2">
      <c r="B4" s="78" t="s">
        <v>62</v>
      </c>
    </row>
    <row r="5" spans="2:2" x14ac:dyDescent="0.2">
      <c r="B5" s="26"/>
    </row>
    <row r="6" spans="2:2" x14ac:dyDescent="0.2">
      <c r="B6" s="26"/>
    </row>
    <row r="7" spans="2:2" x14ac:dyDescent="0.2">
      <c r="B7" s="26"/>
    </row>
    <row r="8" spans="2:2" x14ac:dyDescent="0.2">
      <c r="B8" s="26"/>
    </row>
    <row r="9" spans="2:2" x14ac:dyDescent="0.2">
      <c r="B9" s="26"/>
    </row>
    <row r="10" spans="2:2" x14ac:dyDescent="0.2">
      <c r="B10" s="26"/>
    </row>
    <row r="11" spans="2:2" x14ac:dyDescent="0.2">
      <c r="B11" s="26"/>
    </row>
    <row r="12" spans="2:2" x14ac:dyDescent="0.2">
      <c r="B12" s="26"/>
    </row>
    <row r="13" spans="2:2" x14ac:dyDescent="0.2">
      <c r="B13" s="26"/>
    </row>
    <row r="14" spans="2:2" x14ac:dyDescent="0.2">
      <c r="B14" s="26"/>
    </row>
    <row r="15" spans="2:2" x14ac:dyDescent="0.2">
      <c r="B15" s="26"/>
    </row>
    <row r="16" spans="2:2" x14ac:dyDescent="0.2">
      <c r="B16" s="26"/>
    </row>
    <row r="17" spans="2:3" x14ac:dyDescent="0.2">
      <c r="B17" s="26"/>
    </row>
    <row r="18" spans="2:3" x14ac:dyDescent="0.2">
      <c r="B18" s="26"/>
    </row>
    <row r="19" spans="2:3" x14ac:dyDescent="0.2">
      <c r="B19" s="26"/>
    </row>
    <row r="20" spans="2:3" ht="14" customHeight="1" x14ac:dyDescent="0.2">
      <c r="B20" s="80" t="s">
        <v>63</v>
      </c>
      <c r="C20" s="62"/>
    </row>
    <row r="21" spans="2:3" ht="14" customHeight="1" x14ac:dyDescent="0.2">
      <c r="B21" s="84" t="s">
        <v>64</v>
      </c>
      <c r="C21" s="82" t="s">
        <v>65</v>
      </c>
    </row>
    <row r="22" spans="2:3" ht="14" customHeight="1" x14ac:dyDescent="0.2">
      <c r="B22" s="84" t="s">
        <v>66</v>
      </c>
      <c r="C22" s="82" t="s">
        <v>67</v>
      </c>
    </row>
    <row r="23" spans="2:3" ht="14" customHeight="1" x14ac:dyDescent="0.2">
      <c r="B23" s="84" t="s">
        <v>68</v>
      </c>
      <c r="C23" s="82" t="s">
        <v>69</v>
      </c>
    </row>
    <row r="24" spans="2:3" ht="14" customHeight="1" x14ac:dyDescent="0.2">
      <c r="B24" s="84" t="s">
        <v>70</v>
      </c>
      <c r="C24" s="82" t="s">
        <v>71</v>
      </c>
    </row>
    <row r="25" spans="2:3" ht="14" customHeight="1" x14ac:dyDescent="0.2">
      <c r="B25" s="84" t="s">
        <v>72</v>
      </c>
      <c r="C25" s="82" t="s">
        <v>73</v>
      </c>
    </row>
    <row r="26" spans="2:3" ht="20" customHeight="1" x14ac:dyDescent="0.2">
      <c r="B26" s="67"/>
    </row>
    <row r="27" spans="2:3" ht="20" customHeight="1" x14ac:dyDescent="0.2">
      <c r="B27" s="146" t="s">
        <v>76</v>
      </c>
    </row>
    <row r="28" spans="2:3" ht="14" customHeight="1" x14ac:dyDescent="0.2">
      <c r="B28" s="80" t="s">
        <v>77</v>
      </c>
      <c r="C28" s="80" t="s">
        <v>78</v>
      </c>
    </row>
    <row r="29" spans="2:3" ht="14" customHeight="1" x14ac:dyDescent="0.2">
      <c r="B29" s="82" t="s">
        <v>88</v>
      </c>
      <c r="C29" s="82" t="s">
        <v>89</v>
      </c>
    </row>
    <row r="30" spans="2:3" ht="14" customHeight="1" x14ac:dyDescent="0.2">
      <c r="B30" s="82" t="s">
        <v>79</v>
      </c>
      <c r="C30" s="82" t="s">
        <v>80</v>
      </c>
    </row>
    <row r="31" spans="2:3" ht="14" customHeight="1" x14ac:dyDescent="0.2">
      <c r="B31" s="82" t="s">
        <v>81</v>
      </c>
      <c r="C31" s="82" t="s">
        <v>455</v>
      </c>
    </row>
    <row r="32" spans="2:3" ht="14" customHeight="1" x14ac:dyDescent="0.2">
      <c r="B32" s="82" t="s">
        <v>82</v>
      </c>
      <c r="C32" s="82" t="s">
        <v>83</v>
      </c>
    </row>
    <row r="33" spans="2:3" ht="14" customHeight="1" x14ac:dyDescent="0.2">
      <c r="B33" s="82" t="s">
        <v>84</v>
      </c>
      <c r="C33" s="82" t="s">
        <v>85</v>
      </c>
    </row>
    <row r="34" spans="2:3" ht="14" customHeight="1" x14ac:dyDescent="0.2">
      <c r="B34" s="82" t="s">
        <v>86</v>
      </c>
      <c r="C34" s="82" t="s">
        <v>87</v>
      </c>
    </row>
    <row r="35" spans="2:3" ht="14" customHeight="1" x14ac:dyDescent="0.2">
      <c r="B35" s="82" t="s">
        <v>456</v>
      </c>
      <c r="C35" s="82" t="s">
        <v>457</v>
      </c>
    </row>
    <row r="36" spans="2:3" ht="14" customHeight="1" x14ac:dyDescent="0.2">
      <c r="B36" s="82" t="s">
        <v>90</v>
      </c>
      <c r="C36" s="82" t="s">
        <v>458</v>
      </c>
    </row>
    <row r="37" spans="2:3" ht="14" customHeight="1" x14ac:dyDescent="0.2">
      <c r="B37" s="82" t="s">
        <v>91</v>
      </c>
      <c r="C37" s="82" t="s">
        <v>92</v>
      </c>
    </row>
    <row r="39" spans="2:3" x14ac:dyDescent="0.2">
      <c r="B39" s="79"/>
    </row>
    <row r="40" spans="2:3" x14ac:dyDescent="0.2">
      <c r="B40" s="78"/>
    </row>
  </sheetData>
  <pageMargins left="0.75" right="0.75" top="1" bottom="1" header="0.5" footer="0.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I30"/>
  <sheetViews>
    <sheetView showGridLines="0" workbookViewId="0"/>
  </sheetViews>
  <sheetFormatPr baseColWidth="10" defaultColWidth="8.83203125" defaultRowHeight="14" x14ac:dyDescent="0.2"/>
  <cols>
    <col min="1" max="1" width="2.33203125" style="27" customWidth="1"/>
    <col min="2" max="8" width="8.83203125" style="27" customWidth="1"/>
    <col min="9" max="9" width="81.1640625" style="27" customWidth="1"/>
    <col min="10" max="11" width="8.83203125" style="27" customWidth="1"/>
    <col min="12" max="16384" width="8.83203125" style="27"/>
  </cols>
  <sheetData>
    <row r="2" spans="2:9" ht="19" customHeight="1" x14ac:dyDescent="0.2">
      <c r="B2" s="83" t="s">
        <v>93</v>
      </c>
    </row>
    <row r="3" spans="2:9" x14ac:dyDescent="0.2">
      <c r="B3" s="78" t="s">
        <v>0</v>
      </c>
    </row>
    <row r="5" spans="2:9" x14ac:dyDescent="0.2">
      <c r="B5" s="80" t="s">
        <v>94</v>
      </c>
      <c r="C5" s="62"/>
      <c r="D5" s="62"/>
      <c r="E5" s="62"/>
      <c r="F5" s="62"/>
      <c r="G5" s="62"/>
      <c r="H5" s="62"/>
      <c r="I5" s="62"/>
    </row>
    <row r="6" spans="2:9" x14ac:dyDescent="0.2">
      <c r="B6" s="81">
        <v>1</v>
      </c>
      <c r="C6" s="82" t="s">
        <v>439</v>
      </c>
      <c r="D6" s="52"/>
      <c r="E6" s="52"/>
      <c r="F6" s="52"/>
      <c r="G6" s="52"/>
      <c r="H6" s="52"/>
      <c r="I6" s="52"/>
    </row>
    <row r="7" spans="2:9" x14ac:dyDescent="0.2">
      <c r="B7" s="81">
        <v>2</v>
      </c>
      <c r="C7" s="82" t="s">
        <v>440</v>
      </c>
      <c r="D7" s="52"/>
      <c r="E7" s="52"/>
      <c r="F7" s="52"/>
      <c r="G7" s="52"/>
      <c r="H7" s="52"/>
      <c r="I7" s="52"/>
    </row>
    <row r="8" spans="2:9" x14ac:dyDescent="0.2">
      <c r="B8" s="81">
        <v>3</v>
      </c>
      <c r="C8" s="82" t="s">
        <v>95</v>
      </c>
      <c r="D8" s="52"/>
      <c r="E8" s="52"/>
      <c r="F8" s="52"/>
      <c r="G8" s="52"/>
      <c r="H8" s="52"/>
      <c r="I8" s="52"/>
    </row>
    <row r="9" spans="2:9" x14ac:dyDescent="0.2">
      <c r="B9" s="81">
        <v>4</v>
      </c>
      <c r="C9" s="82" t="s">
        <v>441</v>
      </c>
      <c r="D9" s="52"/>
      <c r="E9" s="52"/>
      <c r="F9" s="52"/>
      <c r="G9" s="52"/>
      <c r="H9" s="52"/>
      <c r="I9" s="52"/>
    </row>
    <row r="10" spans="2:9" x14ac:dyDescent="0.2">
      <c r="B10" s="81">
        <v>5</v>
      </c>
      <c r="C10" s="82" t="s">
        <v>96</v>
      </c>
      <c r="D10" s="52"/>
      <c r="E10" s="52"/>
      <c r="F10" s="52"/>
      <c r="G10" s="52"/>
      <c r="H10" s="52"/>
      <c r="I10" s="52"/>
    </row>
    <row r="11" spans="2:9" x14ac:dyDescent="0.2">
      <c r="B11" s="175">
        <v>6</v>
      </c>
      <c r="C11" s="78" t="s">
        <v>449</v>
      </c>
    </row>
    <row r="12" spans="2:9" x14ac:dyDescent="0.2">
      <c r="B12" s="175">
        <v>7</v>
      </c>
      <c r="C12" s="82" t="s">
        <v>446</v>
      </c>
    </row>
    <row r="14" spans="2:9" x14ac:dyDescent="0.2">
      <c r="B14" s="80" t="s">
        <v>97</v>
      </c>
      <c r="C14" s="62"/>
      <c r="D14" s="62"/>
      <c r="E14" s="62"/>
      <c r="F14" s="62"/>
      <c r="G14" s="62"/>
      <c r="H14" s="62"/>
      <c r="I14" s="62"/>
    </row>
    <row r="15" spans="2:9" x14ac:dyDescent="0.2">
      <c r="B15" s="81">
        <v>1</v>
      </c>
      <c r="C15" s="82" t="s">
        <v>442</v>
      </c>
      <c r="D15" s="52"/>
      <c r="E15" s="52"/>
      <c r="F15" s="52"/>
      <c r="G15" s="52"/>
      <c r="H15" s="52"/>
      <c r="I15" s="52"/>
    </row>
    <row r="16" spans="2:9" x14ac:dyDescent="0.2">
      <c r="B16" s="81">
        <v>2</v>
      </c>
      <c r="C16" s="82" t="s">
        <v>98</v>
      </c>
      <c r="D16" s="52"/>
      <c r="E16" s="52"/>
      <c r="F16" s="52"/>
      <c r="G16" s="52"/>
      <c r="H16" s="52"/>
      <c r="I16" s="52"/>
    </row>
    <row r="17" spans="2:9" x14ac:dyDescent="0.2">
      <c r="B17" s="81">
        <v>3</v>
      </c>
      <c r="C17" s="82" t="s">
        <v>447</v>
      </c>
      <c r="D17" s="52"/>
      <c r="E17" s="52"/>
      <c r="F17" s="52"/>
      <c r="G17" s="52"/>
      <c r="H17" s="52"/>
      <c r="I17" s="52"/>
    </row>
    <row r="18" spans="2:9" x14ac:dyDescent="0.2">
      <c r="B18" s="81">
        <v>4</v>
      </c>
      <c r="C18" s="82" t="s">
        <v>450</v>
      </c>
      <c r="D18" s="52"/>
      <c r="E18" s="52"/>
      <c r="F18" s="52"/>
      <c r="G18" s="52"/>
      <c r="H18" s="52"/>
      <c r="I18" s="52"/>
    </row>
    <row r="20" spans="2:9" x14ac:dyDescent="0.2">
      <c r="B20" s="80" t="s">
        <v>99</v>
      </c>
      <c r="C20" s="62"/>
      <c r="D20" s="62"/>
      <c r="E20" s="62"/>
      <c r="F20" s="62"/>
      <c r="G20" s="62"/>
      <c r="H20" s="62"/>
      <c r="I20" s="62"/>
    </row>
    <row r="21" spans="2:9" x14ac:dyDescent="0.2">
      <c r="B21" s="81">
        <v>1</v>
      </c>
      <c r="C21" s="82" t="s">
        <v>443</v>
      </c>
      <c r="D21" s="52"/>
      <c r="E21" s="52"/>
      <c r="F21" s="52"/>
      <c r="G21" s="52"/>
      <c r="H21" s="52"/>
      <c r="I21" s="52"/>
    </row>
    <row r="22" spans="2:9" x14ac:dyDescent="0.2">
      <c r="B22" s="81">
        <v>2</v>
      </c>
      <c r="C22" s="82" t="s">
        <v>444</v>
      </c>
      <c r="D22" s="52"/>
      <c r="E22" s="52"/>
      <c r="F22" s="52"/>
      <c r="G22" s="52"/>
      <c r="H22" s="52"/>
      <c r="I22" s="52"/>
    </row>
    <row r="23" spans="2:9" x14ac:dyDescent="0.2">
      <c r="B23" s="81">
        <v>3</v>
      </c>
      <c r="C23" s="82" t="s">
        <v>445</v>
      </c>
      <c r="D23" s="52"/>
      <c r="E23" s="52"/>
      <c r="F23" s="52"/>
      <c r="G23" s="52"/>
      <c r="H23" s="52"/>
      <c r="I23" s="52"/>
    </row>
    <row r="24" spans="2:9" x14ac:dyDescent="0.2">
      <c r="B24" s="81">
        <v>4</v>
      </c>
      <c r="C24" s="82" t="s">
        <v>451</v>
      </c>
      <c r="D24" s="52"/>
      <c r="E24" s="52"/>
      <c r="F24" s="52"/>
      <c r="G24" s="52"/>
      <c r="H24" s="52"/>
      <c r="I24" s="52"/>
    </row>
    <row r="26" spans="2:9" x14ac:dyDescent="0.2">
      <c r="B26" s="80" t="s">
        <v>100</v>
      </c>
      <c r="C26" s="62"/>
      <c r="D26" s="62"/>
      <c r="E26" s="62"/>
      <c r="F26" s="62"/>
      <c r="G26" s="62"/>
      <c r="H26" s="62"/>
      <c r="I26" s="62"/>
    </row>
    <row r="27" spans="2:9" x14ac:dyDescent="0.2">
      <c r="B27" s="81">
        <v>1</v>
      </c>
      <c r="C27" s="82" t="s">
        <v>448</v>
      </c>
      <c r="D27" s="52"/>
      <c r="E27" s="52"/>
      <c r="F27" s="52"/>
      <c r="G27" s="52"/>
      <c r="H27" s="52"/>
      <c r="I27" s="52"/>
    </row>
    <row r="28" spans="2:9" x14ac:dyDescent="0.2">
      <c r="B28" s="81">
        <v>2</v>
      </c>
      <c r="C28" s="82" t="s">
        <v>453</v>
      </c>
      <c r="D28" s="52"/>
      <c r="E28" s="52"/>
      <c r="F28" s="52"/>
      <c r="G28" s="52"/>
      <c r="H28" s="52"/>
      <c r="I28" s="52"/>
    </row>
    <row r="29" spans="2:9" x14ac:dyDescent="0.2">
      <c r="B29" s="81">
        <v>3</v>
      </c>
      <c r="C29" s="82" t="s">
        <v>452</v>
      </c>
      <c r="D29" s="52"/>
      <c r="E29" s="52"/>
      <c r="F29" s="52"/>
      <c r="G29" s="52"/>
      <c r="H29" s="52"/>
      <c r="I29" s="52"/>
    </row>
    <row r="30" spans="2:9" x14ac:dyDescent="0.2">
      <c r="B30" s="81">
        <v>4</v>
      </c>
      <c r="C30" s="82" t="s">
        <v>454</v>
      </c>
      <c r="D30" s="52"/>
      <c r="E30" s="52"/>
      <c r="F30" s="52"/>
      <c r="G30" s="52"/>
      <c r="H30" s="52"/>
      <c r="I30" s="52"/>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O75"/>
  <sheetViews>
    <sheetView showGridLines="0" workbookViewId="0"/>
  </sheetViews>
  <sheetFormatPr baseColWidth="10" defaultColWidth="8.83203125" defaultRowHeight="14" outlineLevelRow="1" x14ac:dyDescent="0.2"/>
  <cols>
    <col min="1" max="1" width="2.6640625" style="27" customWidth="1"/>
    <col min="2" max="2" width="22.83203125" style="27" customWidth="1"/>
    <col min="3" max="3" width="8" style="27" customWidth="1"/>
    <col min="4" max="13" width="12" style="27" customWidth="1"/>
    <col min="14" max="14" width="4" style="27" customWidth="1"/>
    <col min="15" max="15" width="50" style="27" customWidth="1"/>
    <col min="16" max="20" width="8.83203125" style="27" customWidth="1"/>
    <col min="21" max="16384" width="8.83203125" style="27"/>
  </cols>
  <sheetData>
    <row r="2" spans="2:8" ht="19" customHeight="1" x14ac:dyDescent="0.2">
      <c r="B2" s="45" t="s">
        <v>79</v>
      </c>
    </row>
    <row r="3" spans="2:8" x14ac:dyDescent="0.2">
      <c r="B3" s="22" t="s">
        <v>0</v>
      </c>
    </row>
    <row r="4" spans="2:8" x14ac:dyDescent="0.2">
      <c r="B4" s="22" t="s">
        <v>1</v>
      </c>
    </row>
    <row r="5" spans="2:8" x14ac:dyDescent="0.2">
      <c r="B5" s="22"/>
    </row>
    <row r="6" spans="2:8" x14ac:dyDescent="0.2">
      <c r="B6" s="22"/>
    </row>
    <row r="7" spans="2:8" ht="15" customHeight="1" x14ac:dyDescent="0.2">
      <c r="B7" s="116" t="s">
        <v>356</v>
      </c>
      <c r="C7" s="62"/>
      <c r="D7" s="62"/>
    </row>
    <row r="8" spans="2:8" ht="15" customHeight="1" x14ac:dyDescent="0.2">
      <c r="B8" s="129" t="s">
        <v>488</v>
      </c>
      <c r="C8" s="119"/>
      <c r="D8" s="119"/>
      <c r="E8" s="119"/>
      <c r="F8" s="119"/>
      <c r="G8" s="119"/>
    </row>
    <row r="9" spans="2:8" ht="15" customHeight="1" x14ac:dyDescent="0.2">
      <c r="B9" s="132" t="s">
        <v>101</v>
      </c>
      <c r="C9" s="132" t="s">
        <v>16</v>
      </c>
      <c r="D9" s="133" t="s">
        <v>102</v>
      </c>
      <c r="E9" s="133" t="s">
        <v>74</v>
      </c>
      <c r="F9" s="133" t="s">
        <v>103</v>
      </c>
      <c r="G9" s="133" t="s">
        <v>75</v>
      </c>
      <c r="H9" s="134" t="s">
        <v>104</v>
      </c>
    </row>
    <row r="10" spans="2:8" ht="15" customHeight="1" x14ac:dyDescent="0.2">
      <c r="B10" s="128" t="s">
        <v>105</v>
      </c>
      <c r="C10" s="128" t="s">
        <v>4</v>
      </c>
      <c r="D10" s="130">
        <v>103</v>
      </c>
      <c r="E10" s="130">
        <v>98</v>
      </c>
      <c r="F10" s="130">
        <v>103</v>
      </c>
      <c r="G10" s="130">
        <v>105</v>
      </c>
      <c r="H10" s="131" t="s">
        <v>103</v>
      </c>
    </row>
    <row r="11" spans="2:8" ht="15" customHeight="1" x14ac:dyDescent="0.2">
      <c r="B11" s="120" t="s">
        <v>106</v>
      </c>
      <c r="C11" s="120" t="s">
        <v>30</v>
      </c>
      <c r="D11" s="121">
        <v>1300</v>
      </c>
      <c r="E11" s="121">
        <v>800</v>
      </c>
      <c r="F11" s="121">
        <v>1300</v>
      </c>
      <c r="G11" s="121">
        <v>1600</v>
      </c>
      <c r="H11" s="127" t="s">
        <v>103</v>
      </c>
    </row>
    <row r="12" spans="2:8" ht="15" customHeight="1" x14ac:dyDescent="0.2">
      <c r="B12" s="120" t="s">
        <v>107</v>
      </c>
      <c r="C12" s="120" t="s">
        <v>108</v>
      </c>
      <c r="D12" s="121">
        <v>35</v>
      </c>
      <c r="E12" s="121">
        <v>30</v>
      </c>
      <c r="F12" s="121">
        <v>35</v>
      </c>
      <c r="G12" s="121">
        <v>40</v>
      </c>
      <c r="H12" s="127" t="s">
        <v>103</v>
      </c>
    </row>
    <row r="13" spans="2:8" ht="15" customHeight="1" x14ac:dyDescent="0.2">
      <c r="B13" s="120" t="s">
        <v>109</v>
      </c>
      <c r="C13" s="120" t="s">
        <v>4</v>
      </c>
      <c r="D13" s="121">
        <v>83</v>
      </c>
      <c r="E13" s="121">
        <v>81</v>
      </c>
      <c r="F13" s="121">
        <v>84.5</v>
      </c>
      <c r="G13" s="121">
        <v>86</v>
      </c>
      <c r="H13" s="127" t="s">
        <v>103</v>
      </c>
    </row>
    <row r="14" spans="2:8" x14ac:dyDescent="0.2">
      <c r="B14" s="120" t="s">
        <v>110</v>
      </c>
      <c r="C14" s="120" t="s">
        <v>4</v>
      </c>
      <c r="D14" s="121">
        <v>17.5</v>
      </c>
      <c r="E14" s="121">
        <v>19.5</v>
      </c>
      <c r="F14" s="121">
        <v>17.5</v>
      </c>
      <c r="G14" s="121">
        <v>15.5</v>
      </c>
      <c r="H14" s="127" t="s">
        <v>103</v>
      </c>
    </row>
    <row r="15" spans="2:8" x14ac:dyDescent="0.2">
      <c r="B15" s="120" t="s">
        <v>111</v>
      </c>
      <c r="C15" s="120" t="s">
        <v>4</v>
      </c>
      <c r="D15" s="121">
        <v>21</v>
      </c>
      <c r="E15" s="121">
        <v>25</v>
      </c>
      <c r="F15" s="121">
        <v>19.5</v>
      </c>
      <c r="G15" s="121">
        <v>18</v>
      </c>
      <c r="H15" s="127" t="s">
        <v>103</v>
      </c>
    </row>
    <row r="16" spans="2:8" x14ac:dyDescent="0.2">
      <c r="B16" s="120" t="s">
        <v>35</v>
      </c>
      <c r="C16" s="120" t="s">
        <v>4</v>
      </c>
      <c r="D16" s="136" t="s">
        <v>359</v>
      </c>
      <c r="E16" s="137">
        <v>2</v>
      </c>
      <c r="F16" s="137">
        <v>3</v>
      </c>
      <c r="G16" s="121">
        <v>3.5</v>
      </c>
      <c r="H16" s="127" t="s">
        <v>103</v>
      </c>
    </row>
    <row r="17" spans="1:15" x14ac:dyDescent="0.2">
      <c r="B17" s="120" t="s">
        <v>112</v>
      </c>
      <c r="C17" s="120" t="s">
        <v>7</v>
      </c>
      <c r="D17" s="136" t="s">
        <v>359</v>
      </c>
      <c r="E17" s="126">
        <v>15</v>
      </c>
      <c r="F17" s="126">
        <v>20</v>
      </c>
      <c r="G17" s="126">
        <v>25</v>
      </c>
      <c r="H17" s="127" t="s">
        <v>103</v>
      </c>
    </row>
    <row r="18" spans="1:15" x14ac:dyDescent="0.2">
      <c r="B18" s="119"/>
      <c r="C18" s="119"/>
      <c r="D18" s="122"/>
      <c r="E18" s="122"/>
      <c r="F18" s="122"/>
      <c r="G18" s="122"/>
      <c r="H18" s="135"/>
    </row>
    <row r="19" spans="1:15" x14ac:dyDescent="0.2">
      <c r="C19" s="26" t="s">
        <v>16</v>
      </c>
      <c r="D19" s="64" t="s">
        <v>17</v>
      </c>
      <c r="E19" s="64" t="s">
        <v>18</v>
      </c>
      <c r="F19" s="64" t="s">
        <v>19</v>
      </c>
      <c r="G19" s="64" t="s">
        <v>20</v>
      </c>
      <c r="H19" s="64" t="s">
        <v>21</v>
      </c>
      <c r="I19" s="65" t="s">
        <v>22</v>
      </c>
      <c r="J19" s="65" t="s">
        <v>23</v>
      </c>
      <c r="K19" s="65" t="s">
        <v>24</v>
      </c>
      <c r="L19" s="65" t="s">
        <v>25</v>
      </c>
      <c r="M19" s="65" t="s">
        <v>26</v>
      </c>
      <c r="O19" s="21" t="s">
        <v>113</v>
      </c>
    </row>
    <row r="21" spans="1:15" ht="15" customHeight="1" thickBot="1" x14ac:dyDescent="0.25">
      <c r="B21" s="26" t="s">
        <v>114</v>
      </c>
    </row>
    <row r="22" spans="1:15" x14ac:dyDescent="0.2">
      <c r="B22" s="31" t="s">
        <v>115</v>
      </c>
      <c r="C22" s="31" t="s">
        <v>28</v>
      </c>
      <c r="D22" s="32">
        <f>'Revenue Build'!D21</f>
        <v>411.2</v>
      </c>
      <c r="E22" s="32">
        <f>'Revenue Build'!E21</f>
        <v>489.7</v>
      </c>
      <c r="F22" s="32">
        <f>'Revenue Build'!F21</f>
        <v>554.5</v>
      </c>
      <c r="G22" s="32">
        <f>'Revenue Build'!G21</f>
        <v>607.6</v>
      </c>
      <c r="H22" s="32">
        <f>'Revenue Build'!H21</f>
        <v>669.1</v>
      </c>
      <c r="I22" s="32">
        <f>'Revenue Build'!I21</f>
        <v>734.673</v>
      </c>
      <c r="J22" s="32">
        <f>'Revenue Build'!J21</f>
        <v>802.21319000000005</v>
      </c>
      <c r="K22" s="32">
        <f>'Revenue Build'!K21</f>
        <v>871.77958569999998</v>
      </c>
      <c r="L22" s="32">
        <f>'Revenue Build'!L21</f>
        <v>943.43297327099992</v>
      </c>
      <c r="M22" s="32">
        <f>'Revenue Build'!M21</f>
        <v>1017.2359624691298</v>
      </c>
      <c r="O22" s="22"/>
    </row>
    <row r="23" spans="1:15" x14ac:dyDescent="0.2">
      <c r="B23" s="33" t="s">
        <v>116</v>
      </c>
      <c r="C23" s="33" t="s">
        <v>4</v>
      </c>
      <c r="D23" s="50"/>
      <c r="E23" s="35">
        <f t="shared" ref="E23:M23" si="0">(E22/D22-1)*100</f>
        <v>19.090466926070036</v>
      </c>
      <c r="F23" s="35">
        <f t="shared" si="0"/>
        <v>13.232591382479075</v>
      </c>
      <c r="G23" s="35">
        <f t="shared" si="0"/>
        <v>9.5761947700631289</v>
      </c>
      <c r="H23" s="35">
        <f>(H22/G22-1)*100</f>
        <v>10.121790651744567</v>
      </c>
      <c r="I23" s="35">
        <f>(I22/H22-1)*100</f>
        <v>9.800179345389326</v>
      </c>
      <c r="J23" s="35">
        <f t="shared" si="0"/>
        <v>9.1932315465520063</v>
      </c>
      <c r="K23" s="35">
        <f t="shared" si="0"/>
        <v>8.6718090112679391</v>
      </c>
      <c r="L23" s="35">
        <f t="shared" si="0"/>
        <v>8.2192091609331932</v>
      </c>
      <c r="M23" s="35">
        <f t="shared" si="0"/>
        <v>7.8228121434261277</v>
      </c>
      <c r="O23" s="22"/>
    </row>
    <row r="24" spans="1:15" x14ac:dyDescent="0.2">
      <c r="B24" s="33" t="s">
        <v>105</v>
      </c>
      <c r="C24" s="33" t="s">
        <v>4</v>
      </c>
      <c r="D24" s="50"/>
      <c r="E24" s="44">
        <f>'Revenue Build'!E10</f>
        <v>109</v>
      </c>
      <c r="F24" s="44">
        <f>'Revenue Build'!F10</f>
        <v>105</v>
      </c>
      <c r="G24" s="44">
        <f>'Revenue Build'!G10</f>
        <v>103</v>
      </c>
      <c r="H24" s="44">
        <f>'Revenue Build'!H10</f>
        <v>103</v>
      </c>
      <c r="I24" s="44">
        <f>'Revenue Build'!I10</f>
        <v>103</v>
      </c>
      <c r="J24" s="44">
        <f>'Revenue Build'!J10</f>
        <v>103</v>
      </c>
      <c r="K24" s="44">
        <f>'Revenue Build'!K10</f>
        <v>103</v>
      </c>
      <c r="L24" s="44">
        <f>'Revenue Build'!L10</f>
        <v>103</v>
      </c>
      <c r="M24" s="44">
        <f>'Revenue Build'!M10</f>
        <v>103</v>
      </c>
      <c r="O24" s="22"/>
    </row>
    <row r="25" spans="1:15" x14ac:dyDescent="0.2">
      <c r="B25" s="37" t="s">
        <v>117</v>
      </c>
      <c r="C25" s="37" t="s">
        <v>30</v>
      </c>
      <c r="D25" s="66">
        <f>'Revenue Build'!D31</f>
        <v>10000</v>
      </c>
      <c r="E25" s="66">
        <f>'Revenue Build'!E31</f>
        <v>10000</v>
      </c>
      <c r="F25" s="66">
        <f>'Revenue Build'!F31</f>
        <v>10000</v>
      </c>
      <c r="G25" s="66">
        <f>'Revenue Build'!G31</f>
        <v>10000</v>
      </c>
      <c r="H25" s="66">
        <f>'Revenue Build'!H31</f>
        <v>10000</v>
      </c>
      <c r="I25" s="66">
        <f>'Revenue Build'!I31</f>
        <v>10000</v>
      </c>
      <c r="J25" s="66">
        <f>'Revenue Build'!J31</f>
        <v>10000</v>
      </c>
      <c r="K25" s="66">
        <f>'Revenue Build'!K31</f>
        <v>10000</v>
      </c>
      <c r="L25" s="66">
        <f>'Revenue Build'!L31</f>
        <v>10000</v>
      </c>
      <c r="M25" s="66">
        <f>'Revenue Build'!M31</f>
        <v>10000</v>
      </c>
      <c r="O25" s="22"/>
    </row>
    <row r="26" spans="1:15" x14ac:dyDescent="0.2">
      <c r="B26" s="37" t="s">
        <v>118</v>
      </c>
      <c r="C26" s="37" t="s">
        <v>108</v>
      </c>
      <c r="D26" s="40">
        <f>'Revenue Build'!D32</f>
        <v>41.12</v>
      </c>
      <c r="E26" s="40">
        <f>'Revenue Build'!E32</f>
        <v>48.97</v>
      </c>
      <c r="F26" s="40">
        <f>'Revenue Build'!F32</f>
        <v>55.45</v>
      </c>
      <c r="G26" s="40">
        <f>'Revenue Build'!G32</f>
        <v>60.76</v>
      </c>
      <c r="H26" s="40">
        <f>'Revenue Build'!H32</f>
        <v>66.91</v>
      </c>
      <c r="I26" s="40">
        <f>'Revenue Build'!I32</f>
        <v>73.467299999999994</v>
      </c>
      <c r="J26" s="40">
        <f>'Revenue Build'!J32</f>
        <v>80.221318999999994</v>
      </c>
      <c r="K26" s="40">
        <f>'Revenue Build'!K32</f>
        <v>87.177958569999987</v>
      </c>
      <c r="L26" s="40">
        <f>'Revenue Build'!L32</f>
        <v>94.34329732709999</v>
      </c>
      <c r="M26" s="40">
        <f>'Revenue Build'!M32</f>
        <v>101.72359624691299</v>
      </c>
      <c r="O26" s="22"/>
    </row>
    <row r="27" spans="1:15" x14ac:dyDescent="0.2">
      <c r="A27" s="67"/>
      <c r="B27" s="67"/>
      <c r="C27" s="67"/>
      <c r="D27" s="67"/>
      <c r="E27" s="67"/>
      <c r="F27" s="67"/>
      <c r="G27" s="67"/>
      <c r="H27" s="67"/>
      <c r="I27" s="67"/>
      <c r="J27" s="67"/>
      <c r="K27" s="67"/>
      <c r="L27" s="67"/>
      <c r="M27" s="67"/>
      <c r="N27" s="67"/>
      <c r="O27" s="67"/>
    </row>
    <row r="28" spans="1:15" ht="15" customHeight="1" thickBot="1" x14ac:dyDescent="0.25">
      <c r="B28" s="26" t="s">
        <v>119</v>
      </c>
      <c r="O28" s="20"/>
    </row>
    <row r="29" spans="1:15" x14ac:dyDescent="0.2">
      <c r="B29" s="68" t="s">
        <v>120</v>
      </c>
      <c r="C29" s="68" t="s">
        <v>4</v>
      </c>
      <c r="D29" s="69">
        <v>61</v>
      </c>
      <c r="E29" s="69">
        <v>60</v>
      </c>
      <c r="F29" s="69">
        <v>60</v>
      </c>
      <c r="G29" s="69">
        <v>58</v>
      </c>
      <c r="H29" s="69">
        <v>56</v>
      </c>
      <c r="I29" s="69">
        <v>54.5</v>
      </c>
      <c r="J29" s="69">
        <v>53</v>
      </c>
      <c r="K29" s="69">
        <v>51.5</v>
      </c>
      <c r="L29" s="69">
        <v>50</v>
      </c>
      <c r="M29" s="69">
        <v>50</v>
      </c>
      <c r="O29" s="22" t="s">
        <v>121</v>
      </c>
    </row>
    <row r="30" spans="1:15" x14ac:dyDescent="0.2">
      <c r="B30" s="33" t="s">
        <v>122</v>
      </c>
      <c r="C30" s="33" t="s">
        <v>4</v>
      </c>
      <c r="D30" s="33">
        <f t="shared" ref="D30:M30" si="1">100-D29</f>
        <v>39</v>
      </c>
      <c r="E30" s="33">
        <f t="shared" si="1"/>
        <v>40</v>
      </c>
      <c r="F30" s="33">
        <f t="shared" si="1"/>
        <v>40</v>
      </c>
      <c r="G30" s="33">
        <f t="shared" si="1"/>
        <v>42</v>
      </c>
      <c r="H30" s="33">
        <f t="shared" si="1"/>
        <v>44</v>
      </c>
      <c r="I30" s="33">
        <f t="shared" si="1"/>
        <v>45.5</v>
      </c>
      <c r="J30" s="33">
        <f t="shared" si="1"/>
        <v>47</v>
      </c>
      <c r="K30" s="33">
        <f t="shared" si="1"/>
        <v>48.5</v>
      </c>
      <c r="L30" s="33">
        <f t="shared" si="1"/>
        <v>50</v>
      </c>
      <c r="M30" s="33">
        <f t="shared" si="1"/>
        <v>50</v>
      </c>
    </row>
    <row r="31" spans="1:15" x14ac:dyDescent="0.2">
      <c r="B31" s="37" t="s">
        <v>123</v>
      </c>
      <c r="C31" s="37" t="s">
        <v>28</v>
      </c>
      <c r="D31" s="70">
        <f t="shared" ref="D31:M31" si="2">D22*D29/100</f>
        <v>250.83199999999999</v>
      </c>
      <c r="E31" s="70">
        <f t="shared" si="2"/>
        <v>293.82</v>
      </c>
      <c r="F31" s="70">
        <f t="shared" si="2"/>
        <v>332.7</v>
      </c>
      <c r="G31" s="70">
        <f t="shared" si="2"/>
        <v>352.40800000000002</v>
      </c>
      <c r="H31" s="70">
        <f t="shared" si="2"/>
        <v>374.69599999999997</v>
      </c>
      <c r="I31" s="70">
        <f t="shared" si="2"/>
        <v>400.39678500000002</v>
      </c>
      <c r="J31" s="70">
        <f t="shared" si="2"/>
        <v>425.17299070000001</v>
      </c>
      <c r="K31" s="70">
        <f t="shared" si="2"/>
        <v>448.96648663549996</v>
      </c>
      <c r="L31" s="70">
        <f t="shared" si="2"/>
        <v>471.71648663549996</v>
      </c>
      <c r="M31" s="70">
        <f t="shared" si="2"/>
        <v>508.61798123456492</v>
      </c>
      <c r="O31" s="22"/>
    </row>
    <row r="32" spans="1:15" x14ac:dyDescent="0.2">
      <c r="B32" s="37" t="s">
        <v>124</v>
      </c>
      <c r="C32" s="37" t="s">
        <v>28</v>
      </c>
      <c r="D32" s="70">
        <f t="shared" ref="D32:M32" si="3">D22*D30/100</f>
        <v>160.36799999999999</v>
      </c>
      <c r="E32" s="70">
        <f t="shared" si="3"/>
        <v>195.88</v>
      </c>
      <c r="F32" s="70">
        <f t="shared" si="3"/>
        <v>221.8</v>
      </c>
      <c r="G32" s="70">
        <f t="shared" si="3"/>
        <v>255.19200000000001</v>
      </c>
      <c r="H32" s="70">
        <f t="shared" si="3"/>
        <v>294.404</v>
      </c>
      <c r="I32" s="70">
        <f t="shared" si="3"/>
        <v>334.27621500000004</v>
      </c>
      <c r="J32" s="70">
        <f t="shared" si="3"/>
        <v>377.04019930000004</v>
      </c>
      <c r="K32" s="70">
        <f t="shared" si="3"/>
        <v>422.81309906449997</v>
      </c>
      <c r="L32" s="70">
        <f t="shared" si="3"/>
        <v>471.71648663549996</v>
      </c>
      <c r="M32" s="70">
        <f t="shared" si="3"/>
        <v>508.61798123456492</v>
      </c>
    </row>
    <row r="34" spans="2:15" ht="15" customHeight="1" thickBot="1" x14ac:dyDescent="0.25">
      <c r="B34" s="26" t="s">
        <v>125</v>
      </c>
      <c r="O34" s="20"/>
    </row>
    <row r="35" spans="2:15" x14ac:dyDescent="0.2">
      <c r="B35" s="31" t="s">
        <v>126</v>
      </c>
      <c r="C35" s="31" t="s">
        <v>4</v>
      </c>
      <c r="D35" s="48">
        <v>59</v>
      </c>
      <c r="E35" s="48">
        <v>58</v>
      </c>
      <c r="F35" s="48">
        <v>57</v>
      </c>
      <c r="G35" s="48">
        <v>54</v>
      </c>
      <c r="H35" s="48">
        <v>51</v>
      </c>
      <c r="I35" s="48">
        <v>50</v>
      </c>
      <c r="J35" s="48">
        <v>49</v>
      </c>
      <c r="K35" s="48">
        <v>48</v>
      </c>
      <c r="L35" s="48">
        <v>47</v>
      </c>
      <c r="M35" s="48">
        <v>46</v>
      </c>
      <c r="O35" s="22" t="s">
        <v>127</v>
      </c>
    </row>
    <row r="36" spans="2:15" x14ac:dyDescent="0.2">
      <c r="B36" s="37" t="s">
        <v>128</v>
      </c>
      <c r="C36" s="37" t="s">
        <v>4</v>
      </c>
      <c r="D36" s="37">
        <f t="shared" ref="D36:M36" si="4">100-D35</f>
        <v>41</v>
      </c>
      <c r="E36" s="37">
        <f t="shared" si="4"/>
        <v>42</v>
      </c>
      <c r="F36" s="37">
        <f t="shared" si="4"/>
        <v>43</v>
      </c>
      <c r="G36" s="37">
        <f t="shared" si="4"/>
        <v>46</v>
      </c>
      <c r="H36" s="37">
        <f t="shared" si="4"/>
        <v>49</v>
      </c>
      <c r="I36" s="37">
        <f t="shared" si="4"/>
        <v>50</v>
      </c>
      <c r="J36" s="37">
        <f t="shared" si="4"/>
        <v>51</v>
      </c>
      <c r="K36" s="37">
        <f t="shared" si="4"/>
        <v>52</v>
      </c>
      <c r="L36" s="37">
        <f t="shared" si="4"/>
        <v>53</v>
      </c>
      <c r="M36" s="37">
        <f t="shared" si="4"/>
        <v>54</v>
      </c>
      <c r="O36" s="22" t="s">
        <v>129</v>
      </c>
    </row>
    <row r="38" spans="2:15" ht="15" customHeight="1" thickBot="1" x14ac:dyDescent="0.25">
      <c r="B38" s="26" t="s">
        <v>130</v>
      </c>
    </row>
    <row r="39" spans="2:15" x14ac:dyDescent="0.2">
      <c r="B39" s="68" t="s">
        <v>109</v>
      </c>
      <c r="C39" s="68" t="s">
        <v>4</v>
      </c>
      <c r="D39" s="71">
        <f>'Income Statement'!D15</f>
        <v>78.258754863813223</v>
      </c>
      <c r="E39" s="71">
        <f>'Income Statement'!E15</f>
        <v>79.00755564631406</v>
      </c>
      <c r="F39" s="71">
        <f>'Income Statement'!F15</f>
        <v>80.613165013525702</v>
      </c>
      <c r="G39" s="71">
        <f>'Income Statement'!G15</f>
        <v>81.64911125740619</v>
      </c>
      <c r="H39" s="71">
        <f>'Income Statement'!H15</f>
        <v>82.842624420863856</v>
      </c>
      <c r="I39" s="114">
        <f>$D$13</f>
        <v>83</v>
      </c>
      <c r="J39" s="114">
        <f>$D$13+(INDEX($E$13:$G$13,MATCH($H$13,$E$9:$G$9,0))-$D$13)*1/4</f>
        <v>83.375</v>
      </c>
      <c r="K39" s="114">
        <f>$D$13+(INDEX($E$13:$G$13,MATCH($H$13,$E$9:$G$9,0))-$D$13)*2/4</f>
        <v>83.75</v>
      </c>
      <c r="L39" s="114">
        <f>$D$13+(INDEX($E$13:$G$13,MATCH($H$13,$E$9:$G$9,0))-$D$13)*3/4</f>
        <v>84.125</v>
      </c>
      <c r="M39" s="114">
        <f>$D$13+(INDEX($E$13:$G$13,MATCH($H$13,$E$9:$G$9,0))-$D$13)*4/4</f>
        <v>84.5</v>
      </c>
      <c r="O39" s="22" t="s">
        <v>131</v>
      </c>
    </row>
    <row r="40" spans="2:15" x14ac:dyDescent="0.2">
      <c r="B40" s="110" t="s">
        <v>110</v>
      </c>
      <c r="C40" s="33" t="s">
        <v>4</v>
      </c>
      <c r="D40" s="44">
        <f>'Income Statement'!D19</f>
        <v>19.771400778210115</v>
      </c>
      <c r="E40" s="44">
        <f>'Income Statement'!E19</f>
        <v>20.665713702266693</v>
      </c>
      <c r="F40" s="44">
        <f>'Income Statement'!F19</f>
        <v>19.927862939585211</v>
      </c>
      <c r="G40" s="44">
        <f>'Income Statement'!G19</f>
        <v>18.416721527320608</v>
      </c>
      <c r="H40" s="44">
        <f>'Income Statement'!H19</f>
        <v>17.531011806904797</v>
      </c>
      <c r="I40" s="123">
        <f>$D$14</f>
        <v>17.5</v>
      </c>
      <c r="J40" s="123">
        <f>$D$14+(INDEX($E$14:$G$14,MATCH($H$14,$E$9:$G$9,0))-$D$14)*1/4</f>
        <v>17.5</v>
      </c>
      <c r="K40" s="123">
        <f>$D$14+(INDEX($E$14:$G$14,MATCH($H$14,$E$9:$G$9,0))-$D$14)*2/4</f>
        <v>17.5</v>
      </c>
      <c r="L40" s="123">
        <f>$D$14+(INDEX($E$14:$G$14,MATCH($H$14,$E$9:$G$9,0))-$D$14)*3/4</f>
        <v>17.5</v>
      </c>
      <c r="M40" s="123">
        <f>$D$14+(INDEX($E$14:$G$14,MATCH($H$14,$E$9:$G$9,0))-$D$14)*4/4</f>
        <v>17.5</v>
      </c>
      <c r="O40" s="22" t="s">
        <v>132</v>
      </c>
    </row>
    <row r="41" spans="2:15" x14ac:dyDescent="0.2">
      <c r="B41" s="33" t="s">
        <v>133</v>
      </c>
      <c r="C41" s="33" t="s">
        <v>4</v>
      </c>
      <c r="D41" s="44">
        <f>'Income Statement'!D21</f>
        <v>18.604085603112843</v>
      </c>
      <c r="E41" s="44">
        <f>'Income Statement'!E21</f>
        <v>19.848887073718604</v>
      </c>
      <c r="F41" s="44">
        <f>'Income Statement'!F21</f>
        <v>20.144274120829579</v>
      </c>
      <c r="G41" s="44">
        <f>'Income Statement'!G21</f>
        <v>21.115865701119159</v>
      </c>
      <c r="H41" s="44">
        <f>'Income Statement'!H21</f>
        <v>21.44671947392019</v>
      </c>
      <c r="I41" s="123">
        <f>$D$15</f>
        <v>21</v>
      </c>
      <c r="J41" s="123">
        <f>$D$15+(INDEX($E$15:$G$15,MATCH($H$15,$E$9:$G$9,0))-$D$15)*1/4</f>
        <v>20.625</v>
      </c>
      <c r="K41" s="123">
        <f>$D$15+(INDEX($E$15:$G$15,MATCH($H$15,$E$9:$G$9,0))-$D$15)*2/4</f>
        <v>20.25</v>
      </c>
      <c r="L41" s="123">
        <f>$D$15+(INDEX($E$15:$G$15,MATCH($H$15,$E$9:$G$9,0))-$D$15)*3/4</f>
        <v>19.875</v>
      </c>
      <c r="M41" s="123">
        <f>$D$15+(INDEX($E$15:$G$15,MATCH($H$15,$E$9:$G$9,0))-$D$15)*4/4</f>
        <v>19.5</v>
      </c>
      <c r="O41" s="22" t="s">
        <v>460</v>
      </c>
    </row>
    <row r="42" spans="2:15" x14ac:dyDescent="0.2">
      <c r="B42" s="110" t="s">
        <v>134</v>
      </c>
      <c r="C42" s="33" t="s">
        <v>4</v>
      </c>
      <c r="D42" s="44">
        <f>'Income Statement'!D23</f>
        <v>18.555447470817121</v>
      </c>
      <c r="E42" s="44">
        <f>'Income Statement'!E23</f>
        <v>11.843986113947315</v>
      </c>
      <c r="F42" s="44">
        <f>'Income Statement'!F23</f>
        <v>11.127141568981065</v>
      </c>
      <c r="G42" s="44">
        <f>'Income Statement'!G23</f>
        <v>11.306780776826859</v>
      </c>
      <c r="H42" s="44">
        <f>'Income Statement'!H23</f>
        <v>10.700941563293975</v>
      </c>
      <c r="I42" s="39">
        <v>10.5</v>
      </c>
      <c r="J42" s="39">
        <v>10.5</v>
      </c>
      <c r="K42" s="39">
        <v>10</v>
      </c>
      <c r="L42" s="39">
        <v>10</v>
      </c>
      <c r="M42" s="39">
        <v>10</v>
      </c>
      <c r="O42" s="22" t="s">
        <v>135</v>
      </c>
    </row>
    <row r="43" spans="2:15" x14ac:dyDescent="0.2">
      <c r="B43" s="33" t="s">
        <v>136</v>
      </c>
      <c r="C43" s="33" t="s">
        <v>4</v>
      </c>
      <c r="D43" s="35">
        <f>D39-D40-D41-D42</f>
        <v>21.327821011673144</v>
      </c>
      <c r="E43" s="35">
        <f t="shared" ref="E43:M43" si="5">E39-E40-E41-E42</f>
        <v>26.648968756381443</v>
      </c>
      <c r="F43" s="35">
        <f t="shared" si="5"/>
        <v>29.413886384129846</v>
      </c>
      <c r="G43" s="35">
        <f t="shared" si="5"/>
        <v>30.809743252139565</v>
      </c>
      <c r="H43" s="35">
        <f t="shared" si="5"/>
        <v>33.163951576744893</v>
      </c>
      <c r="I43" s="35">
        <f t="shared" si="5"/>
        <v>34</v>
      </c>
      <c r="J43" s="35">
        <f t="shared" si="5"/>
        <v>34.75</v>
      </c>
      <c r="K43" s="35">
        <f t="shared" si="5"/>
        <v>36</v>
      </c>
      <c r="L43" s="35">
        <f t="shared" si="5"/>
        <v>36.75</v>
      </c>
      <c r="M43" s="35">
        <f t="shared" si="5"/>
        <v>37.5</v>
      </c>
      <c r="O43" s="22" t="s">
        <v>137</v>
      </c>
    </row>
    <row r="44" spans="2:15" x14ac:dyDescent="0.2">
      <c r="B44" s="33" t="s">
        <v>138</v>
      </c>
      <c r="C44" s="33" t="s">
        <v>4</v>
      </c>
      <c r="D44" s="51">
        <v>20.6</v>
      </c>
      <c r="E44" s="51">
        <v>19.2</v>
      </c>
      <c r="F44" s="51">
        <v>15.2</v>
      </c>
      <c r="G44" s="51">
        <v>17.2</v>
      </c>
      <c r="H44" s="51">
        <v>19.7</v>
      </c>
      <c r="I44" s="51">
        <v>20</v>
      </c>
      <c r="J44" s="51">
        <v>20</v>
      </c>
      <c r="K44" s="51">
        <v>20</v>
      </c>
      <c r="L44" s="51">
        <v>20</v>
      </c>
      <c r="M44" s="51">
        <v>20</v>
      </c>
      <c r="O44" s="22" t="s">
        <v>139</v>
      </c>
    </row>
    <row r="45" spans="2:15" outlineLevel="1" x14ac:dyDescent="0.2">
      <c r="B45" s="22" t="s">
        <v>140</v>
      </c>
      <c r="C45" s="22"/>
      <c r="D45" s="72">
        <f>'Income Statement'!D29-D43</f>
        <v>0</v>
      </c>
      <c r="E45" s="72">
        <f>'Income Statement'!E29-E43</f>
        <v>0</v>
      </c>
      <c r="F45" s="72">
        <f>'Income Statement'!F29-F43</f>
        <v>0</v>
      </c>
      <c r="G45" s="72">
        <f>'Income Statement'!G29-G43</f>
        <v>0</v>
      </c>
      <c r="H45" s="72">
        <f>'Income Statement'!H29-H43</f>
        <v>0</v>
      </c>
      <c r="I45" s="72">
        <f>'Income Statement'!I29-I43</f>
        <v>0</v>
      </c>
      <c r="J45" s="72">
        <f>'Income Statement'!J29-J43</f>
        <v>0</v>
      </c>
      <c r="K45" s="72">
        <f>'Income Statement'!K29-K43</f>
        <v>0</v>
      </c>
      <c r="L45" s="72">
        <f>'Income Statement'!L29-L43</f>
        <v>0</v>
      </c>
      <c r="M45" s="72">
        <f>'Income Statement'!M29-M43</f>
        <v>0</v>
      </c>
      <c r="O45" s="22"/>
    </row>
    <row r="46" spans="2:15" x14ac:dyDescent="0.2">
      <c r="B46" s="22"/>
      <c r="C46" s="22"/>
      <c r="D46" s="72"/>
      <c r="E46" s="72"/>
      <c r="F46" s="72"/>
      <c r="G46" s="72"/>
      <c r="H46" s="72"/>
      <c r="I46" s="72"/>
      <c r="J46" s="72"/>
      <c r="K46" s="72"/>
      <c r="L46" s="72"/>
      <c r="M46" s="72"/>
      <c r="O46" s="22"/>
    </row>
    <row r="47" spans="2:15" ht="15" customHeight="1" thickBot="1" x14ac:dyDescent="0.25">
      <c r="B47" s="26" t="s">
        <v>141</v>
      </c>
    </row>
    <row r="48" spans="2:15" x14ac:dyDescent="0.2">
      <c r="B48" s="31" t="s">
        <v>142</v>
      </c>
      <c r="C48" s="31" t="s">
        <v>143</v>
      </c>
      <c r="D48" s="73"/>
      <c r="E48" s="74">
        <f>'Balance Sheet'!E10/'Income Statement'!E9*365</f>
        <v>90.784153563406178</v>
      </c>
      <c r="F48" s="74">
        <f>'Balance Sheet'!F10/'Income Statement'!F9*365</f>
        <v>96.236248872858425</v>
      </c>
      <c r="G48" s="74">
        <f>'Balance Sheet'!G10/'Income Statement'!G9*365</f>
        <v>98.879196840026324</v>
      </c>
      <c r="H48" s="74">
        <f>'Balance Sheet'!H10/'Income Statement'!H9*365</f>
        <v>93.282020624719777</v>
      </c>
      <c r="I48" s="75">
        <v>93</v>
      </c>
      <c r="J48" s="75">
        <v>93</v>
      </c>
      <c r="K48" s="75">
        <v>93</v>
      </c>
      <c r="L48" s="75">
        <v>93</v>
      </c>
      <c r="M48" s="75">
        <v>93</v>
      </c>
      <c r="O48" s="22" t="s">
        <v>489</v>
      </c>
    </row>
    <row r="49" spans="1:15" x14ac:dyDescent="0.2">
      <c r="B49" s="37" t="s">
        <v>144</v>
      </c>
      <c r="C49" s="37" t="s">
        <v>4</v>
      </c>
      <c r="D49" s="34"/>
      <c r="E49" s="44">
        <f>('Balance Sheet'!E24+'Balance Sheet'!E29)/'Income Statement'!E9*100</f>
        <v>64.774351643863596</v>
      </c>
      <c r="F49" s="44">
        <f>('Balance Sheet'!F24+'Balance Sheet'!F29)/'Income Statement'!F9*100</f>
        <v>65.825067628494139</v>
      </c>
      <c r="G49" s="44">
        <f>('Balance Sheet'!G24+'Balance Sheet'!G29)/'Income Statement'!G9*100</f>
        <v>65.141540487162615</v>
      </c>
      <c r="H49" s="44">
        <f>('Balance Sheet'!H24+'Balance Sheet'!H29)/'Income Statement'!H9*100</f>
        <v>62.382304588252879</v>
      </c>
      <c r="I49" s="51">
        <v>60</v>
      </c>
      <c r="J49" s="51">
        <v>60</v>
      </c>
      <c r="K49" s="51">
        <v>60</v>
      </c>
      <c r="L49" s="51">
        <v>60</v>
      </c>
      <c r="M49" s="51">
        <v>60</v>
      </c>
      <c r="O49" s="22" t="s">
        <v>145</v>
      </c>
    </row>
    <row r="50" spans="1:15" x14ac:dyDescent="0.2">
      <c r="B50" s="37" t="s">
        <v>146</v>
      </c>
      <c r="C50" s="37" t="s">
        <v>4</v>
      </c>
      <c r="D50" s="40">
        <f>-'Cash Flow'!D18/'Income Statement'!D9*100</f>
        <v>5.9338521400778204</v>
      </c>
      <c r="E50" s="40">
        <f>-'Cash Flow'!E18/'Income Statement'!E9*100</f>
        <v>3.1447825199101489</v>
      </c>
      <c r="F50" s="40">
        <f>-'Cash Flow'!F18/'Income Statement'!F9*100</f>
        <v>1.5870153291253384</v>
      </c>
      <c r="G50" s="40">
        <f>-'Cash Flow'!G18/'Income Statement'!G9*100</f>
        <v>2.0243581303489138</v>
      </c>
      <c r="H50" s="40">
        <f>-'Cash Flow'!H18/'Income Statement'!H9*100</f>
        <v>0.74727245553728883</v>
      </c>
      <c r="I50" s="39">
        <v>1.2</v>
      </c>
      <c r="J50" s="39">
        <v>1.2</v>
      </c>
      <c r="K50" s="39">
        <v>1</v>
      </c>
      <c r="L50" s="39">
        <v>1</v>
      </c>
      <c r="M50" s="39">
        <v>1</v>
      </c>
      <c r="O50" s="22" t="s">
        <v>147</v>
      </c>
    </row>
    <row r="51" spans="1:15" x14ac:dyDescent="0.2">
      <c r="B51" s="37" t="s">
        <v>148</v>
      </c>
      <c r="C51" s="37" t="s">
        <v>4</v>
      </c>
      <c r="D51" s="40">
        <f>'Income Statement'!D46/'Income Statement'!D9*100</f>
        <v>8.7305447470817121</v>
      </c>
      <c r="E51" s="40">
        <f>'Income Statement'!E46/'Income Statement'!E9*100</f>
        <v>7.0655503369409844</v>
      </c>
      <c r="F51" s="40">
        <f>'Income Statement'!F46/'Income Statement'!F9*100</f>
        <v>4.8692515779981971</v>
      </c>
      <c r="G51" s="40">
        <f>'Income Statement'!G46/'Income Statement'!G9*100</f>
        <v>3.0447662936142197</v>
      </c>
      <c r="H51" s="40">
        <f>'Income Statement'!H46/'Income Statement'!H9*100</f>
        <v>2.1670901210581377</v>
      </c>
      <c r="I51" s="39">
        <v>1.8</v>
      </c>
      <c r="J51" s="39">
        <v>1.5</v>
      </c>
      <c r="K51" s="39">
        <v>1.3</v>
      </c>
      <c r="L51" s="39">
        <v>1.2</v>
      </c>
      <c r="M51" s="39">
        <v>1.1000000000000001</v>
      </c>
      <c r="O51" s="22" t="s">
        <v>149</v>
      </c>
    </row>
    <row r="52" spans="1:15" x14ac:dyDescent="0.2">
      <c r="B52" s="37" t="s">
        <v>150</v>
      </c>
      <c r="C52" s="37" t="s">
        <v>4</v>
      </c>
      <c r="D52" s="40">
        <f>'Income Statement'!D49/'Income Statement'!D9*100</f>
        <v>16.439688715953306</v>
      </c>
      <c r="E52" s="40">
        <f>'Income Statement'!E49/'Income Statement'!E9*100</f>
        <v>10.904635491117011</v>
      </c>
      <c r="F52" s="40">
        <f>'Income Statement'!F49/'Income Statement'!F9*100</f>
        <v>12.461677186654644</v>
      </c>
      <c r="G52" s="40">
        <f>'Income Statement'!G49/'Income Statement'!G9*100</f>
        <v>12.689269256089531</v>
      </c>
      <c r="H52" s="40">
        <f>'Income Statement'!H49/'Income Statement'!H9*100</f>
        <v>11.507995815274247</v>
      </c>
      <c r="I52" s="39">
        <v>11.5</v>
      </c>
      <c r="J52" s="39">
        <v>11</v>
      </c>
      <c r="K52" s="39">
        <v>10.5</v>
      </c>
      <c r="L52" s="39">
        <v>10</v>
      </c>
      <c r="M52" s="39">
        <v>10</v>
      </c>
      <c r="O52" s="22" t="s">
        <v>151</v>
      </c>
    </row>
    <row r="54" spans="1:15" ht="15" customHeight="1" thickBot="1" x14ac:dyDescent="0.25">
      <c r="B54" s="26" t="s">
        <v>152</v>
      </c>
    </row>
    <row r="55" spans="1:15" x14ac:dyDescent="0.2">
      <c r="B55" s="31" t="s">
        <v>153</v>
      </c>
      <c r="C55" s="31" t="s">
        <v>28</v>
      </c>
      <c r="D55" s="48">
        <v>0</v>
      </c>
      <c r="E55" s="48">
        <v>0</v>
      </c>
      <c r="F55" s="48">
        <v>0</v>
      </c>
      <c r="G55" s="48">
        <v>0</v>
      </c>
      <c r="H55" s="48">
        <v>0</v>
      </c>
      <c r="I55" s="48">
        <v>0</v>
      </c>
      <c r="J55" s="48">
        <v>0</v>
      </c>
      <c r="K55" s="48">
        <v>0</v>
      </c>
      <c r="L55" s="48">
        <v>0</v>
      </c>
      <c r="M55" s="48">
        <v>0</v>
      </c>
      <c r="O55" s="22" t="s">
        <v>154</v>
      </c>
    </row>
    <row r="56" spans="1:15" x14ac:dyDescent="0.2">
      <c r="A56" s="26"/>
      <c r="B56" s="37" t="s">
        <v>155</v>
      </c>
      <c r="C56" s="37" t="s">
        <v>28</v>
      </c>
      <c r="D56" s="39">
        <v>130</v>
      </c>
      <c r="E56" s="39">
        <v>317.3</v>
      </c>
      <c r="F56" s="39">
        <v>170.8</v>
      </c>
      <c r="G56" s="39">
        <v>139.9</v>
      </c>
      <c r="H56" s="39">
        <v>183.4</v>
      </c>
      <c r="I56" s="39">
        <v>185</v>
      </c>
      <c r="J56" s="39">
        <v>190</v>
      </c>
      <c r="K56" s="39">
        <v>195</v>
      </c>
      <c r="L56" s="39">
        <v>200</v>
      </c>
      <c r="M56" s="39">
        <v>200</v>
      </c>
      <c r="O56" s="22" t="s">
        <v>156</v>
      </c>
    </row>
    <row r="57" spans="1:15" x14ac:dyDescent="0.2">
      <c r="A57" s="67"/>
      <c r="B57" s="37" t="s">
        <v>157</v>
      </c>
      <c r="C57" s="37" t="s">
        <v>52</v>
      </c>
      <c r="D57" s="63">
        <v>40.1</v>
      </c>
      <c r="E57" s="63">
        <v>39.299999999999997</v>
      </c>
      <c r="F57" s="63">
        <v>37.6</v>
      </c>
      <c r="G57" s="63">
        <v>37.4</v>
      </c>
      <c r="H57" s="63">
        <v>36.5</v>
      </c>
      <c r="I57" s="63">
        <v>35.5</v>
      </c>
      <c r="J57" s="63">
        <v>34.799999999999997</v>
      </c>
      <c r="K57" s="63">
        <v>34.1</v>
      </c>
      <c r="L57" s="63">
        <v>33.5</v>
      </c>
      <c r="M57" s="63">
        <v>32.9</v>
      </c>
      <c r="O57" s="22" t="s">
        <v>158</v>
      </c>
    </row>
    <row r="59" spans="1:15" ht="15" customHeight="1" thickBot="1" x14ac:dyDescent="0.25">
      <c r="A59" s="67"/>
      <c r="B59" s="26" t="s">
        <v>159</v>
      </c>
      <c r="C59" s="67"/>
      <c r="D59" s="67"/>
      <c r="E59" s="76"/>
      <c r="F59" s="76"/>
      <c r="G59" s="77"/>
      <c r="H59" s="77"/>
      <c r="I59" s="77"/>
      <c r="J59" s="77"/>
      <c r="K59" s="77"/>
      <c r="L59" s="77"/>
      <c r="M59" s="77"/>
      <c r="N59" s="67"/>
    </row>
    <row r="60" spans="1:15" x14ac:dyDescent="0.2">
      <c r="A60" s="67"/>
      <c r="B60" s="31" t="s">
        <v>3</v>
      </c>
      <c r="C60" s="31" t="s">
        <v>4</v>
      </c>
      <c r="D60" s="48">
        <v>4.3099999999999996</v>
      </c>
      <c r="E60" s="67"/>
      <c r="F60" s="67"/>
      <c r="N60" s="67"/>
      <c r="O60" s="22" t="s">
        <v>160</v>
      </c>
    </row>
    <row r="61" spans="1:15" x14ac:dyDescent="0.2">
      <c r="A61" s="67"/>
      <c r="B61" s="37" t="s">
        <v>5</v>
      </c>
      <c r="C61" s="37" t="s">
        <v>4</v>
      </c>
      <c r="D61" s="63">
        <v>5.5</v>
      </c>
      <c r="E61" s="67"/>
      <c r="F61" s="67"/>
      <c r="N61" s="67"/>
      <c r="O61" s="22" t="s">
        <v>161</v>
      </c>
    </row>
    <row r="62" spans="1:15" x14ac:dyDescent="0.2">
      <c r="A62" s="67"/>
      <c r="B62" s="37" t="s">
        <v>6</v>
      </c>
      <c r="C62" s="37" t="s">
        <v>7</v>
      </c>
      <c r="D62" s="63">
        <v>0.61</v>
      </c>
      <c r="E62" s="67"/>
      <c r="F62" s="67"/>
      <c r="N62" s="67"/>
      <c r="O62" s="22" t="s">
        <v>162</v>
      </c>
    </row>
    <row r="63" spans="1:15" x14ac:dyDescent="0.2">
      <c r="A63" s="67"/>
      <c r="B63" s="37" t="s">
        <v>163</v>
      </c>
      <c r="C63" s="37" t="s">
        <v>4</v>
      </c>
      <c r="D63" s="38">
        <f>D60+D62*D61</f>
        <v>7.6649999999999991</v>
      </c>
      <c r="E63" s="67"/>
      <c r="F63" s="67"/>
      <c r="N63" s="67"/>
      <c r="O63" s="22" t="s">
        <v>490</v>
      </c>
    </row>
    <row r="64" spans="1:15" x14ac:dyDescent="0.2">
      <c r="A64" s="67"/>
      <c r="B64" s="37" t="s">
        <v>9</v>
      </c>
      <c r="C64" s="37" t="s">
        <v>4</v>
      </c>
      <c r="D64" s="63">
        <v>0</v>
      </c>
      <c r="E64" s="67"/>
      <c r="F64" s="67"/>
      <c r="N64" s="67"/>
      <c r="O64" s="22" t="s">
        <v>164</v>
      </c>
    </row>
    <row r="65" spans="1:15" x14ac:dyDescent="0.2">
      <c r="A65" s="67"/>
      <c r="B65" s="37" t="s">
        <v>12</v>
      </c>
      <c r="C65" s="37" t="s">
        <v>4</v>
      </c>
      <c r="D65" s="63">
        <v>0</v>
      </c>
      <c r="E65" s="67"/>
      <c r="F65" s="67"/>
      <c r="N65" s="67"/>
      <c r="O65" s="22"/>
    </row>
    <row r="66" spans="1:15" x14ac:dyDescent="0.2">
      <c r="B66" s="37" t="s">
        <v>14</v>
      </c>
      <c r="C66" s="37" t="s">
        <v>4</v>
      </c>
      <c r="D66" s="38">
        <f>D63*(1-D65/100)+D64*(1-H44/100)*(D65/100)</f>
        <v>7.6649999999999991</v>
      </c>
      <c r="O66" s="22"/>
    </row>
    <row r="67" spans="1:15" x14ac:dyDescent="0.2">
      <c r="B67" s="37" t="s">
        <v>35</v>
      </c>
      <c r="C67" s="37" t="s">
        <v>4</v>
      </c>
      <c r="D67" s="63">
        <f>INDEX($E$16:$G$16,MATCH($H$16,$E$9:$G$9,0))</f>
        <v>3</v>
      </c>
      <c r="O67" s="22" t="s">
        <v>491</v>
      </c>
    </row>
    <row r="68" spans="1:15" x14ac:dyDescent="0.2">
      <c r="B68" s="37" t="s">
        <v>165</v>
      </c>
      <c r="C68" s="37" t="s">
        <v>7</v>
      </c>
      <c r="D68" s="8">
        <f>INDEX($E$17:$G$17,MATCH($H$17,$E$9:$G$9,0))</f>
        <v>20</v>
      </c>
      <c r="O68" s="22" t="s">
        <v>166</v>
      </c>
    </row>
    <row r="70" spans="1:15" x14ac:dyDescent="0.2">
      <c r="B70" s="78"/>
      <c r="C70" s="78"/>
      <c r="D70" s="78"/>
      <c r="E70" s="78"/>
      <c r="F70" s="78"/>
      <c r="O70" s="78"/>
    </row>
    <row r="71" spans="1:15" x14ac:dyDescent="0.2">
      <c r="B71" s="78"/>
      <c r="C71" s="78"/>
      <c r="D71" s="78"/>
      <c r="E71" s="78"/>
      <c r="F71" s="78"/>
      <c r="O71" s="78"/>
    </row>
    <row r="72" spans="1:15" x14ac:dyDescent="0.2">
      <c r="B72" s="78"/>
      <c r="C72" s="78"/>
      <c r="D72" s="78"/>
      <c r="E72" s="78"/>
      <c r="F72" s="78"/>
      <c r="O72" s="78"/>
    </row>
    <row r="73" spans="1:15" x14ac:dyDescent="0.2">
      <c r="B73" s="78"/>
      <c r="C73" s="78"/>
      <c r="D73" s="78"/>
      <c r="E73" s="78"/>
      <c r="F73" s="78"/>
      <c r="O73" s="78"/>
    </row>
    <row r="74" spans="1:15" x14ac:dyDescent="0.2">
      <c r="B74" s="78"/>
      <c r="C74" s="78"/>
      <c r="D74" s="78"/>
      <c r="E74" s="78"/>
      <c r="F74" s="78"/>
      <c r="O74" s="78"/>
    </row>
    <row r="75" spans="1:15" x14ac:dyDescent="0.2">
      <c r="B75" s="78"/>
      <c r="C75" s="78"/>
      <c r="D75" s="78"/>
      <c r="E75" s="78"/>
      <c r="F75" s="78"/>
      <c r="O75" s="78"/>
    </row>
  </sheetData>
  <dataValidations count="1">
    <dataValidation type="list" sqref="H10:H18" xr:uid="{00000000-0002-0000-0200-000000000000}">
      <formula1>"Bear,Base,Bull"</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O33"/>
  <sheetViews>
    <sheetView showGridLines="0" zoomScaleNormal="100" workbookViewId="0"/>
  </sheetViews>
  <sheetFormatPr baseColWidth="10" defaultColWidth="8.83203125" defaultRowHeight="14" outlineLevelRow="1" x14ac:dyDescent="0.2"/>
  <cols>
    <col min="1" max="1" width="2" style="27" customWidth="1"/>
    <col min="2" max="2" width="23.33203125" style="27" customWidth="1"/>
    <col min="3" max="3" width="7" style="27" customWidth="1"/>
    <col min="4" max="13" width="12" style="27" customWidth="1"/>
    <col min="14" max="14" width="3" style="27" customWidth="1"/>
    <col min="15" max="15" width="60" style="27" customWidth="1"/>
    <col min="16" max="17" width="8.83203125" style="27" customWidth="1"/>
    <col min="18" max="16384" width="8.83203125" style="27"/>
  </cols>
  <sheetData>
    <row r="2" spans="2:15" ht="19" customHeight="1" x14ac:dyDescent="0.2">
      <c r="B2" s="45" t="s">
        <v>81</v>
      </c>
    </row>
    <row r="3" spans="2:15" x14ac:dyDescent="0.2">
      <c r="B3" s="22" t="s">
        <v>0</v>
      </c>
    </row>
    <row r="4" spans="2:15" x14ac:dyDescent="0.2">
      <c r="B4" s="22" t="s">
        <v>1</v>
      </c>
    </row>
    <row r="5" spans="2:15" x14ac:dyDescent="0.2">
      <c r="B5" s="46"/>
    </row>
    <row r="6" spans="2:15" ht="16" customHeight="1" x14ac:dyDescent="0.2">
      <c r="C6" s="26" t="s">
        <v>16</v>
      </c>
      <c r="D6" s="29" t="s">
        <v>17</v>
      </c>
      <c r="E6" s="29" t="s">
        <v>18</v>
      </c>
      <c r="F6" s="29" t="s">
        <v>19</v>
      </c>
      <c r="G6" s="29" t="s">
        <v>20</v>
      </c>
      <c r="H6" s="29" t="s">
        <v>21</v>
      </c>
      <c r="I6" s="30" t="s">
        <v>22</v>
      </c>
      <c r="J6" s="30" t="s">
        <v>23</v>
      </c>
      <c r="K6" s="30" t="s">
        <v>24</v>
      </c>
      <c r="L6" s="30" t="s">
        <v>25</v>
      </c>
      <c r="M6" s="30" t="s">
        <v>26</v>
      </c>
      <c r="O6" s="21" t="s">
        <v>113</v>
      </c>
    </row>
    <row r="8" spans="2:15" ht="16" customHeight="1" thickBot="1" x14ac:dyDescent="0.25">
      <c r="B8" s="26" t="s">
        <v>167</v>
      </c>
    </row>
    <row r="9" spans="2:15" x14ac:dyDescent="0.2">
      <c r="B9" s="31" t="s">
        <v>168</v>
      </c>
      <c r="C9" s="31" t="s">
        <v>28</v>
      </c>
      <c r="D9" s="47"/>
      <c r="E9" s="48">
        <v>411.2</v>
      </c>
      <c r="F9" s="48">
        <v>489.7</v>
      </c>
      <c r="G9" s="48">
        <v>554.5</v>
      </c>
      <c r="H9" s="48">
        <v>607.6</v>
      </c>
      <c r="I9" s="41">
        <f>H21</f>
        <v>669.1</v>
      </c>
      <c r="J9" s="49">
        <f>I21</f>
        <v>734.673</v>
      </c>
      <c r="K9" s="49">
        <f>J21</f>
        <v>802.21319000000005</v>
      </c>
      <c r="L9" s="49">
        <f>K21</f>
        <v>871.77958569999998</v>
      </c>
      <c r="M9" s="49">
        <f>L21</f>
        <v>943.43297327099992</v>
      </c>
      <c r="O9" s="46"/>
    </row>
    <row r="10" spans="2:15" x14ac:dyDescent="0.2">
      <c r="B10" s="33" t="s">
        <v>105</v>
      </c>
      <c r="C10" s="33" t="s">
        <v>4</v>
      </c>
      <c r="D10" s="50"/>
      <c r="E10" s="51">
        <v>109</v>
      </c>
      <c r="F10" s="51">
        <v>105</v>
      </c>
      <c r="G10" s="51">
        <v>103</v>
      </c>
      <c r="H10" s="51">
        <v>103</v>
      </c>
      <c r="I10" s="124">
        <f>Assumptions!$D$10</f>
        <v>103</v>
      </c>
      <c r="J10" s="124">
        <f>Assumptions!$D$10+(INDEX(Assumptions!$E$10:$G$10,MATCH(Assumptions!$H$10,Assumptions!$E$9:$G$9,0))-Assumptions!$D$10)*1/4</f>
        <v>103</v>
      </c>
      <c r="K10" s="124">
        <f>Assumptions!$D$10+(INDEX(Assumptions!$E$10:$G$10,MATCH(Assumptions!$H$10,Assumptions!$E$9:$G$9,0))-Assumptions!$D$10)*2/4</f>
        <v>103</v>
      </c>
      <c r="L10" s="124">
        <f>Assumptions!$D$10+(INDEX(Assumptions!$E$10:$G$10,MATCH(Assumptions!$H$10,Assumptions!$E$9:$G$9,0))-Assumptions!$D$10)*3/4</f>
        <v>103</v>
      </c>
      <c r="M10" s="124">
        <f>Assumptions!$D$10+(INDEX(Assumptions!$E$10:$G$10,MATCH(Assumptions!$H$10,Assumptions!$E$9:$G$9,0))-Assumptions!$D$10)*4/4</f>
        <v>103</v>
      </c>
      <c r="O10" s="22" t="s">
        <v>483</v>
      </c>
    </row>
    <row r="11" spans="2:15" x14ac:dyDescent="0.2">
      <c r="B11" s="37" t="s">
        <v>169</v>
      </c>
      <c r="C11" s="37" t="s">
        <v>28</v>
      </c>
      <c r="D11" s="52"/>
      <c r="E11" s="53">
        <f t="shared" ref="E11:M11" si="0">E9*E10/100</f>
        <v>448.20799999999997</v>
      </c>
      <c r="F11" s="53">
        <f t="shared" si="0"/>
        <v>514.18499999999995</v>
      </c>
      <c r="G11" s="53">
        <f t="shared" si="0"/>
        <v>571.13499999999999</v>
      </c>
      <c r="H11" s="53">
        <f t="shared" si="0"/>
        <v>625.82799999999997</v>
      </c>
      <c r="I11" s="53">
        <f t="shared" si="0"/>
        <v>689.173</v>
      </c>
      <c r="J11" s="53">
        <f t="shared" si="0"/>
        <v>756.71319000000005</v>
      </c>
      <c r="K11" s="53">
        <f t="shared" si="0"/>
        <v>826.27958569999998</v>
      </c>
      <c r="L11" s="53">
        <f t="shared" si="0"/>
        <v>897.93297327099992</v>
      </c>
      <c r="M11" s="53">
        <f t="shared" si="0"/>
        <v>971.73596246912984</v>
      </c>
      <c r="O11" s="46"/>
    </row>
    <row r="12" spans="2:15" x14ac:dyDescent="0.2">
      <c r="B12" s="33" t="s">
        <v>170</v>
      </c>
      <c r="C12" s="33" t="s">
        <v>4</v>
      </c>
      <c r="D12" s="50"/>
      <c r="E12" s="54">
        <f>IF(E21=0,"",E11/E21*100)</f>
        <v>91.527057382070652</v>
      </c>
      <c r="F12" s="54">
        <f>IF(F21=0,"",F11/F21*100)</f>
        <v>92.729486023444537</v>
      </c>
      <c r="G12" s="54">
        <f>IF(G21=0,"",G11/G21*100)</f>
        <v>93.998518762343636</v>
      </c>
      <c r="H12" s="54">
        <f>IF(H21=0,"",H11/H21*100)</f>
        <v>93.532805260798085</v>
      </c>
      <c r="I12" s="54">
        <f>I11/I21*100</f>
        <v>93.806768453448001</v>
      </c>
      <c r="J12" s="54">
        <f>J11/J21*100</f>
        <v>94.328190988732061</v>
      </c>
      <c r="K12" s="54">
        <f>K11/K21*100</f>
        <v>94.780790839066782</v>
      </c>
      <c r="L12" s="54">
        <f>L11/L21*100</f>
        <v>95.177187856573866</v>
      </c>
      <c r="M12" s="54">
        <f>M11/M21*100</f>
        <v>95.527094825711998</v>
      </c>
      <c r="O12" s="20" t="s">
        <v>484</v>
      </c>
    </row>
    <row r="14" spans="2:15" ht="16" customHeight="1" thickBot="1" x14ac:dyDescent="0.25">
      <c r="B14" s="26" t="s">
        <v>171</v>
      </c>
    </row>
    <row r="15" spans="2:15" x14ac:dyDescent="0.2">
      <c r="B15" s="31" t="s">
        <v>106</v>
      </c>
      <c r="C15" s="31" t="s">
        <v>30</v>
      </c>
      <c r="D15" s="47"/>
      <c r="E15" s="48">
        <v>1200</v>
      </c>
      <c r="F15" s="48">
        <v>1100</v>
      </c>
      <c r="G15" s="48">
        <v>1300</v>
      </c>
      <c r="H15" s="48">
        <v>1300</v>
      </c>
      <c r="I15" s="117">
        <f>Assumptions!$D$11</f>
        <v>1300</v>
      </c>
      <c r="J15" s="117">
        <f>Assumptions!$D$11+(INDEX(Assumptions!$E$11:$G$11,MATCH(Assumptions!$H$11,Assumptions!$E$9:$G$9,0))-Assumptions!$D$11)*1/4</f>
        <v>1300</v>
      </c>
      <c r="K15" s="117">
        <f>Assumptions!$D$11+(INDEX(Assumptions!$E$11:$G$11,MATCH(Assumptions!$H$11,Assumptions!$E$9:$G$9,0))-Assumptions!$D$11)*2/4</f>
        <v>1300</v>
      </c>
      <c r="L15" s="117">
        <f>Assumptions!$D$11+(INDEX(Assumptions!$E$11:$G$11,MATCH(Assumptions!$H$11,Assumptions!$E$9:$G$9,0))-Assumptions!$D$11)*3/4</f>
        <v>1300</v>
      </c>
      <c r="M15" s="117">
        <f>Assumptions!$D$11+(INDEX(Assumptions!$E$11:$G$11,MATCH(Assumptions!$H$11,Assumptions!$E$9:$G$9,0))-Assumptions!$D$11)*4/4</f>
        <v>1300</v>
      </c>
      <c r="O15" s="22" t="s">
        <v>172</v>
      </c>
    </row>
    <row r="16" spans="2:15" x14ac:dyDescent="0.2">
      <c r="B16" s="37" t="s">
        <v>107</v>
      </c>
      <c r="C16" s="37" t="s">
        <v>108</v>
      </c>
      <c r="D16" s="52"/>
      <c r="E16" s="53">
        <f>IF(E15=0,"",(E21-E11)/E15*1000)</f>
        <v>34.576666666666682</v>
      </c>
      <c r="F16" s="53">
        <f>IF(F15=0,"",(F21-F11)/F15*1000)</f>
        <v>36.650000000000048</v>
      </c>
      <c r="G16" s="53">
        <f>IF(G15=0,"",(G21-G11)/G15*1000)</f>
        <v>28.050000000000022</v>
      </c>
      <c r="H16" s="53">
        <f>IF(H15=0,"",(H21-H11)/H15*1000)</f>
        <v>33.28615384615388</v>
      </c>
      <c r="I16" s="125">
        <f>Assumptions!$D$12</f>
        <v>35</v>
      </c>
      <c r="J16" s="125">
        <f>Assumptions!$D$12+(INDEX(Assumptions!$E$12:$G$12,MATCH(Assumptions!$H$12,Assumptions!$E$9:$G$9,0))-Assumptions!$D$12)*1/4</f>
        <v>35</v>
      </c>
      <c r="K16" s="125">
        <f>Assumptions!$D$12+(INDEX(Assumptions!$E$12:$G$12,MATCH(Assumptions!$H$12,Assumptions!$E$9:$G$9,0))-Assumptions!$D$12)*2/4</f>
        <v>35</v>
      </c>
      <c r="L16" s="125">
        <f>Assumptions!$D$12+(INDEX(Assumptions!$E$12:$G$12,MATCH(Assumptions!$H$12,Assumptions!$E$9:$G$9,0))-Assumptions!$D$12)*3/4</f>
        <v>35</v>
      </c>
      <c r="M16" s="125">
        <f>Assumptions!$D$12+(INDEX(Assumptions!$E$12:$G$12,MATCH(Assumptions!$H$12,Assumptions!$E$9:$G$9,0))-Assumptions!$D$12)*4/4</f>
        <v>35</v>
      </c>
      <c r="O16" s="22" t="s">
        <v>173</v>
      </c>
    </row>
    <row r="17" spans="2:15" x14ac:dyDescent="0.2">
      <c r="B17" s="37" t="s">
        <v>174</v>
      </c>
      <c r="C17" s="37" t="s">
        <v>28</v>
      </c>
      <c r="D17" s="52"/>
      <c r="E17" s="53">
        <f>E21-E11</f>
        <v>41.492000000000019</v>
      </c>
      <c r="F17" s="53">
        <f>F21-F11</f>
        <v>40.315000000000055</v>
      </c>
      <c r="G17" s="53">
        <f>G21-G11</f>
        <v>36.465000000000032</v>
      </c>
      <c r="H17" s="53">
        <f>H21-H11</f>
        <v>43.272000000000048</v>
      </c>
      <c r="I17" s="53">
        <f>I15*I16/1000</f>
        <v>45.5</v>
      </c>
      <c r="J17" s="53">
        <f>J15*J16/1000</f>
        <v>45.5</v>
      </c>
      <c r="K17" s="53">
        <f>K15*K16/1000</f>
        <v>45.5</v>
      </c>
      <c r="L17" s="53">
        <f>L15*L16/1000</f>
        <v>45.5</v>
      </c>
      <c r="M17" s="53">
        <f>M15*M16/1000</f>
        <v>45.5</v>
      </c>
      <c r="O17" s="22" t="s">
        <v>175</v>
      </c>
    </row>
    <row r="18" spans="2:15" x14ac:dyDescent="0.2">
      <c r="B18" s="33" t="s">
        <v>176</v>
      </c>
      <c r="C18" s="33" t="s">
        <v>4</v>
      </c>
      <c r="D18" s="52"/>
      <c r="E18" s="54">
        <f>IF(E21=0,"",E17/E21*100)</f>
        <v>8.4729426179293483</v>
      </c>
      <c r="F18" s="54">
        <f>IF(F21=0,"",F17/F21*100)</f>
        <v>7.2705139765554652</v>
      </c>
      <c r="G18" s="54">
        <f>IF(G21=0,"",G17/G21*100)</f>
        <v>6.0014812376563578</v>
      </c>
      <c r="H18" s="54">
        <f>IF(H21=0,"",H17/H21*100)</f>
        <v>6.4671947392019202</v>
      </c>
      <c r="I18" s="54">
        <f>I17/I21*100</f>
        <v>6.1932315465520036</v>
      </c>
      <c r="J18" s="54">
        <f>J17/J21*100</f>
        <v>5.6718090112679391</v>
      </c>
      <c r="K18" s="54">
        <f>K17/K21*100</f>
        <v>5.2192091609332119</v>
      </c>
      <c r="L18" s="54">
        <f>L17/L21*100</f>
        <v>4.8228121434261322</v>
      </c>
      <c r="M18" s="54">
        <f>M17/M21*100</f>
        <v>4.4729051742879955</v>
      </c>
    </row>
    <row r="20" spans="2:15" ht="16" customHeight="1" thickBot="1" x14ac:dyDescent="0.25">
      <c r="B20" s="26" t="s">
        <v>177</v>
      </c>
    </row>
    <row r="21" spans="2:15" x14ac:dyDescent="0.2">
      <c r="B21" s="55" t="s">
        <v>115</v>
      </c>
      <c r="C21" s="31" t="s">
        <v>28</v>
      </c>
      <c r="D21" s="36">
        <v>411.2</v>
      </c>
      <c r="E21" s="36">
        <v>489.7</v>
      </c>
      <c r="F21" s="36">
        <v>554.5</v>
      </c>
      <c r="G21" s="36">
        <v>607.6</v>
      </c>
      <c r="H21" s="36">
        <v>669.1</v>
      </c>
      <c r="I21" s="56">
        <f>I11+I17</f>
        <v>734.673</v>
      </c>
      <c r="J21" s="56">
        <f>J11+J17</f>
        <v>802.21319000000005</v>
      </c>
      <c r="K21" s="56">
        <f>K11+K17</f>
        <v>871.77958569999998</v>
      </c>
      <c r="L21" s="56">
        <f>L11+L17</f>
        <v>943.43297327099992</v>
      </c>
      <c r="M21" s="56">
        <f>M11+M17</f>
        <v>1017.2359624691298</v>
      </c>
      <c r="O21" s="46"/>
    </row>
    <row r="22" spans="2:15" x14ac:dyDescent="0.2">
      <c r="B22" s="33" t="s">
        <v>116</v>
      </c>
      <c r="C22" s="33" t="s">
        <v>4</v>
      </c>
      <c r="D22" s="50"/>
      <c r="E22" s="35">
        <f t="shared" ref="E22:M22" si="1">(E21/D21-1)*100</f>
        <v>19.090466926070036</v>
      </c>
      <c r="F22" s="35">
        <f t="shared" si="1"/>
        <v>13.232591382479075</v>
      </c>
      <c r="G22" s="35">
        <f t="shared" si="1"/>
        <v>9.5761947700631289</v>
      </c>
      <c r="H22" s="35">
        <f t="shared" si="1"/>
        <v>10.121790651744567</v>
      </c>
      <c r="I22" s="35">
        <f t="shared" si="1"/>
        <v>9.800179345389326</v>
      </c>
      <c r="J22" s="35">
        <f t="shared" si="1"/>
        <v>9.1932315465520063</v>
      </c>
      <c r="K22" s="35">
        <f t="shared" si="1"/>
        <v>8.6718090112679391</v>
      </c>
      <c r="L22" s="35">
        <f t="shared" si="1"/>
        <v>8.2192091609331932</v>
      </c>
      <c r="M22" s="35">
        <f t="shared" si="1"/>
        <v>7.8228121434261277</v>
      </c>
      <c r="O22" s="46"/>
    </row>
    <row r="23" spans="2:15" outlineLevel="1" x14ac:dyDescent="0.2">
      <c r="B23" s="33" t="s">
        <v>178</v>
      </c>
      <c r="C23" s="33" t="s">
        <v>4</v>
      </c>
      <c r="D23" s="50"/>
      <c r="E23" s="54">
        <f t="shared" ref="E23:M23" si="2">(E11-E9)/D21*100</f>
        <v>8.9999999999999947</v>
      </c>
      <c r="F23" s="54">
        <f t="shared" si="2"/>
        <v>4.9999999999999911</v>
      </c>
      <c r="G23" s="54">
        <f t="shared" si="2"/>
        <v>2.9999999999999987</v>
      </c>
      <c r="H23" s="54">
        <f t="shared" si="2"/>
        <v>2.999999999999992</v>
      </c>
      <c r="I23" s="54">
        <f t="shared" si="2"/>
        <v>2.9999999999999969</v>
      </c>
      <c r="J23" s="54">
        <f t="shared" si="2"/>
        <v>3.0000000000000071</v>
      </c>
      <c r="K23" s="54">
        <f t="shared" si="2"/>
        <v>2.9999999999999911</v>
      </c>
      <c r="L23" s="54">
        <f t="shared" si="2"/>
        <v>2.9999999999999929</v>
      </c>
      <c r="M23" s="54">
        <f t="shared" si="2"/>
        <v>2.999999999999992</v>
      </c>
      <c r="O23" s="46"/>
    </row>
    <row r="24" spans="2:15" outlineLevel="1" x14ac:dyDescent="0.2">
      <c r="B24" s="33" t="s">
        <v>179</v>
      </c>
      <c r="C24" s="33" t="s">
        <v>4</v>
      </c>
      <c r="D24" s="50"/>
      <c r="E24" s="54">
        <f t="shared" ref="E24:M24" si="3">E17/D21*100</f>
        <v>10.090466926070043</v>
      </c>
      <c r="F24" s="54">
        <f t="shared" si="3"/>
        <v>8.2325913824790806</v>
      </c>
      <c r="G24" s="54">
        <f t="shared" si="3"/>
        <v>6.5761947700631262</v>
      </c>
      <c r="H24" s="54">
        <f t="shared" si="3"/>
        <v>7.1217906517445764</v>
      </c>
      <c r="I24" s="54">
        <f t="shared" si="3"/>
        <v>6.8001793453893287</v>
      </c>
      <c r="J24" s="54">
        <f t="shared" si="3"/>
        <v>6.1932315465520036</v>
      </c>
      <c r="K24" s="54">
        <f t="shared" si="3"/>
        <v>5.6718090112679391</v>
      </c>
      <c r="L24" s="54">
        <f t="shared" si="3"/>
        <v>5.2192091609332119</v>
      </c>
      <c r="M24" s="54">
        <f t="shared" si="3"/>
        <v>4.8228121434261322</v>
      </c>
      <c r="O24" s="46"/>
    </row>
    <row r="26" spans="2:15" ht="16" customHeight="1" thickBot="1" x14ac:dyDescent="0.25">
      <c r="B26" s="26" t="s">
        <v>180</v>
      </c>
    </row>
    <row r="27" spans="2:15" x14ac:dyDescent="0.2">
      <c r="B27" s="31" t="s">
        <v>181</v>
      </c>
      <c r="C27" s="31" t="s">
        <v>30</v>
      </c>
      <c r="D27" s="57">
        <v>10000</v>
      </c>
      <c r="E27" s="58">
        <f t="shared" ref="E27:M27" si="4">D31</f>
        <v>10000</v>
      </c>
      <c r="F27" s="58">
        <f t="shared" si="4"/>
        <v>10000</v>
      </c>
      <c r="G27" s="58">
        <f t="shared" si="4"/>
        <v>10000</v>
      </c>
      <c r="H27" s="58">
        <f t="shared" si="4"/>
        <v>10000</v>
      </c>
      <c r="I27" s="58">
        <f t="shared" si="4"/>
        <v>10000</v>
      </c>
      <c r="J27" s="58">
        <f t="shared" si="4"/>
        <v>10000</v>
      </c>
      <c r="K27" s="58">
        <f t="shared" si="4"/>
        <v>10000</v>
      </c>
      <c r="L27" s="58">
        <f t="shared" si="4"/>
        <v>10000</v>
      </c>
      <c r="M27" s="58">
        <f t="shared" si="4"/>
        <v>10000</v>
      </c>
      <c r="O27" s="22" t="s">
        <v>486</v>
      </c>
    </row>
    <row r="28" spans="2:15" x14ac:dyDescent="0.2">
      <c r="B28" s="37" t="s">
        <v>182</v>
      </c>
      <c r="C28" s="37" t="s">
        <v>30</v>
      </c>
      <c r="D28" s="52"/>
      <c r="E28" s="59">
        <f t="shared" ref="E28:M28" si="5">E15</f>
        <v>1200</v>
      </c>
      <c r="F28" s="59">
        <f t="shared" si="5"/>
        <v>1100</v>
      </c>
      <c r="G28" s="59">
        <f t="shared" si="5"/>
        <v>1300</v>
      </c>
      <c r="H28" s="59">
        <f t="shared" si="5"/>
        <v>1300</v>
      </c>
      <c r="I28" s="59">
        <f t="shared" si="5"/>
        <v>1300</v>
      </c>
      <c r="J28" s="59">
        <f t="shared" si="5"/>
        <v>1300</v>
      </c>
      <c r="K28" s="59">
        <f t="shared" si="5"/>
        <v>1300</v>
      </c>
      <c r="L28" s="59">
        <f t="shared" si="5"/>
        <v>1300</v>
      </c>
      <c r="M28" s="59">
        <f t="shared" si="5"/>
        <v>1300</v>
      </c>
      <c r="O28" s="20" t="s">
        <v>487</v>
      </c>
    </row>
    <row r="29" spans="2:15" x14ac:dyDescent="0.2">
      <c r="B29" s="37" t="s">
        <v>183</v>
      </c>
      <c r="C29" s="37" t="s">
        <v>30</v>
      </c>
      <c r="D29" s="52"/>
      <c r="E29" s="59">
        <f t="shared" ref="E29:M29" si="6">E31-E27-E28</f>
        <v>-1200</v>
      </c>
      <c r="F29" s="59">
        <f t="shared" si="6"/>
        <v>-1100</v>
      </c>
      <c r="G29" s="59">
        <f t="shared" si="6"/>
        <v>-1300</v>
      </c>
      <c r="H29" s="59">
        <f t="shared" si="6"/>
        <v>-1300</v>
      </c>
      <c r="I29" s="59">
        <f t="shared" si="6"/>
        <v>-1300</v>
      </c>
      <c r="J29" s="59">
        <f t="shared" si="6"/>
        <v>-1300</v>
      </c>
      <c r="K29" s="59">
        <f t="shared" si="6"/>
        <v>-1300</v>
      </c>
      <c r="L29" s="59">
        <f t="shared" si="6"/>
        <v>-1300</v>
      </c>
      <c r="M29" s="59">
        <f t="shared" si="6"/>
        <v>-1300</v>
      </c>
      <c r="O29" s="46"/>
    </row>
    <row r="30" spans="2:15" x14ac:dyDescent="0.2">
      <c r="B30" s="33" t="s">
        <v>184</v>
      </c>
      <c r="C30" s="33" t="s">
        <v>4</v>
      </c>
      <c r="D30" s="50"/>
      <c r="E30" s="35">
        <f t="shared" ref="E30:M30" si="7">IF(E27=0,"",ABS(E29)/E27*100)</f>
        <v>12</v>
      </c>
      <c r="F30" s="35">
        <f t="shared" si="7"/>
        <v>11</v>
      </c>
      <c r="G30" s="35">
        <f t="shared" si="7"/>
        <v>13</v>
      </c>
      <c r="H30" s="35">
        <f t="shared" si="7"/>
        <v>13</v>
      </c>
      <c r="I30" s="35">
        <f t="shared" si="7"/>
        <v>13</v>
      </c>
      <c r="J30" s="35">
        <f t="shared" si="7"/>
        <v>13</v>
      </c>
      <c r="K30" s="35">
        <f t="shared" si="7"/>
        <v>13</v>
      </c>
      <c r="L30" s="35">
        <f t="shared" si="7"/>
        <v>13</v>
      </c>
      <c r="M30" s="35">
        <f t="shared" si="7"/>
        <v>13</v>
      </c>
      <c r="O30" s="20" t="s">
        <v>485</v>
      </c>
    </row>
    <row r="31" spans="2:15" x14ac:dyDescent="0.2">
      <c r="B31" s="37" t="s">
        <v>117</v>
      </c>
      <c r="C31" s="37" t="s">
        <v>30</v>
      </c>
      <c r="D31" s="60">
        <v>10000</v>
      </c>
      <c r="E31" s="60">
        <v>10000</v>
      </c>
      <c r="F31" s="60">
        <v>10000</v>
      </c>
      <c r="G31" s="60">
        <v>10000</v>
      </c>
      <c r="H31" s="60">
        <v>10000</v>
      </c>
      <c r="I31" s="60">
        <v>10000</v>
      </c>
      <c r="J31" s="60">
        <v>10000</v>
      </c>
      <c r="K31" s="60">
        <v>10000</v>
      </c>
      <c r="L31" s="60">
        <v>10000</v>
      </c>
      <c r="M31" s="60">
        <v>10000</v>
      </c>
      <c r="O31" s="22" t="s">
        <v>185</v>
      </c>
    </row>
    <row r="32" spans="2:15" x14ac:dyDescent="0.2">
      <c r="B32" s="37" t="s">
        <v>118</v>
      </c>
      <c r="C32" s="37" t="s">
        <v>108</v>
      </c>
      <c r="D32" s="53">
        <f t="shared" ref="D32:M32" si="8">D21/D31*1000</f>
        <v>41.12</v>
      </c>
      <c r="E32" s="53">
        <f t="shared" si="8"/>
        <v>48.97</v>
      </c>
      <c r="F32" s="53">
        <f t="shared" si="8"/>
        <v>55.45</v>
      </c>
      <c r="G32" s="53">
        <f t="shared" si="8"/>
        <v>60.76</v>
      </c>
      <c r="H32" s="53">
        <f t="shared" si="8"/>
        <v>66.91</v>
      </c>
      <c r="I32" s="53">
        <f t="shared" si="8"/>
        <v>73.467299999999994</v>
      </c>
      <c r="J32" s="53">
        <f t="shared" si="8"/>
        <v>80.221318999999994</v>
      </c>
      <c r="K32" s="53">
        <f t="shared" si="8"/>
        <v>87.177958569999987</v>
      </c>
      <c r="L32" s="53">
        <f t="shared" si="8"/>
        <v>94.34329732709999</v>
      </c>
      <c r="M32" s="53">
        <f t="shared" si="8"/>
        <v>101.72359624691299</v>
      </c>
    </row>
    <row r="33" spans="2:15" x14ac:dyDescent="0.2">
      <c r="B33" s="54" t="s">
        <v>186</v>
      </c>
      <c r="C33" s="54" t="s">
        <v>4</v>
      </c>
      <c r="D33" s="61"/>
      <c r="E33" s="54">
        <f t="shared" ref="E33:M33" si="9">(E32/D32-1)*100</f>
        <v>19.090466926070036</v>
      </c>
      <c r="F33" s="54">
        <f t="shared" si="9"/>
        <v>13.232591382479075</v>
      </c>
      <c r="G33" s="54">
        <f t="shared" si="9"/>
        <v>9.5761947700631076</v>
      </c>
      <c r="H33" s="54">
        <f t="shared" si="9"/>
        <v>10.121790651744567</v>
      </c>
      <c r="I33" s="54">
        <f t="shared" si="9"/>
        <v>9.800179345389326</v>
      </c>
      <c r="J33" s="54">
        <f t="shared" si="9"/>
        <v>9.1932315465520063</v>
      </c>
      <c r="K33" s="54">
        <f t="shared" si="9"/>
        <v>8.6718090112679391</v>
      </c>
      <c r="L33" s="54">
        <f t="shared" si="9"/>
        <v>8.2192091609332163</v>
      </c>
      <c r="M33" s="54">
        <f t="shared" si="9"/>
        <v>7.8228121434261277</v>
      </c>
      <c r="O33" s="22" t="s">
        <v>187</v>
      </c>
    </row>
  </sheetData>
  <pageMargins left="0.75" right="0.75" top="1" bottom="1" header="0.5" footer="0.5"/>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O53"/>
  <sheetViews>
    <sheetView showGridLines="0" workbookViewId="0"/>
  </sheetViews>
  <sheetFormatPr baseColWidth="10" defaultColWidth="8.83203125" defaultRowHeight="14" x14ac:dyDescent="0.2"/>
  <cols>
    <col min="1" max="1" width="1.6640625" style="27" customWidth="1"/>
    <col min="2" max="2" width="35" style="27" customWidth="1"/>
    <col min="3" max="3" width="8" style="27" customWidth="1"/>
    <col min="4" max="13" width="12" style="28" customWidth="1"/>
    <col min="14" max="14" width="3.1640625" style="27" customWidth="1"/>
    <col min="15" max="15" width="50" style="27" customWidth="1"/>
    <col min="16" max="17" width="8.83203125" style="27" customWidth="1"/>
    <col min="18" max="16384" width="8.83203125" style="27"/>
  </cols>
  <sheetData>
    <row r="2" spans="2:15" ht="19" customHeight="1" x14ac:dyDescent="0.2">
      <c r="B2" s="45" t="s">
        <v>82</v>
      </c>
    </row>
    <row r="3" spans="2:15" x14ac:dyDescent="0.2">
      <c r="B3" s="22" t="s">
        <v>0</v>
      </c>
    </row>
    <row r="4" spans="2:15" x14ac:dyDescent="0.2">
      <c r="B4" s="22" t="s">
        <v>1</v>
      </c>
    </row>
    <row r="6" spans="2:15" x14ac:dyDescent="0.2">
      <c r="C6" s="26" t="s">
        <v>16</v>
      </c>
      <c r="D6" s="29" t="s">
        <v>17</v>
      </c>
      <c r="E6" s="29" t="s">
        <v>18</v>
      </c>
      <c r="F6" s="29" t="s">
        <v>19</v>
      </c>
      <c r="G6" s="29" t="s">
        <v>20</v>
      </c>
      <c r="H6" s="29" t="s">
        <v>21</v>
      </c>
      <c r="I6" s="30" t="s">
        <v>22</v>
      </c>
      <c r="J6" s="30" t="s">
        <v>23</v>
      </c>
      <c r="K6" s="30" t="s">
        <v>24</v>
      </c>
      <c r="L6" s="30" t="s">
        <v>25</v>
      </c>
      <c r="M6" s="30" t="s">
        <v>26</v>
      </c>
      <c r="O6" s="21" t="s">
        <v>113</v>
      </c>
    </row>
    <row r="8" spans="2:15" ht="16" customHeight="1" thickBot="1" x14ac:dyDescent="0.25">
      <c r="B8" s="26" t="s">
        <v>188</v>
      </c>
    </row>
    <row r="9" spans="2:15" x14ac:dyDescent="0.2">
      <c r="B9" s="31" t="s">
        <v>115</v>
      </c>
      <c r="C9" s="31" t="s">
        <v>28</v>
      </c>
      <c r="D9" s="32">
        <f>Assumptions!D22</f>
        <v>411.2</v>
      </c>
      <c r="E9" s="32">
        <f>Assumptions!E22</f>
        <v>489.7</v>
      </c>
      <c r="F9" s="32">
        <f>Assumptions!F22</f>
        <v>554.5</v>
      </c>
      <c r="G9" s="32">
        <f>Assumptions!G22</f>
        <v>607.6</v>
      </c>
      <c r="H9" s="32">
        <f>Assumptions!H22</f>
        <v>669.1</v>
      </c>
      <c r="I9" s="32">
        <f>Assumptions!I22</f>
        <v>734.673</v>
      </c>
      <c r="J9" s="32">
        <f>Assumptions!J22</f>
        <v>802.21319000000005</v>
      </c>
      <c r="K9" s="32">
        <f>Assumptions!K22</f>
        <v>871.77958569999998</v>
      </c>
      <c r="L9" s="32">
        <f>Assumptions!L22</f>
        <v>943.43297327099992</v>
      </c>
      <c r="M9" s="32">
        <f>Assumptions!M22</f>
        <v>1017.2359624691298</v>
      </c>
      <c r="O9" s="7" t="s">
        <v>476</v>
      </c>
    </row>
    <row r="10" spans="2:15" s="20" customFormat="1" x14ac:dyDescent="0.2">
      <c r="B10" s="33" t="s">
        <v>116</v>
      </c>
      <c r="C10" s="33" t="s">
        <v>4</v>
      </c>
      <c r="D10" s="34"/>
      <c r="E10" s="35">
        <f t="shared" ref="E10:M10" si="0">(E9/D9-1)*100</f>
        <v>19.090466926070036</v>
      </c>
      <c r="F10" s="35">
        <f t="shared" si="0"/>
        <v>13.232591382479075</v>
      </c>
      <c r="G10" s="35">
        <f t="shared" si="0"/>
        <v>9.5761947700631289</v>
      </c>
      <c r="H10" s="35">
        <f t="shared" si="0"/>
        <v>10.121790651744567</v>
      </c>
      <c r="I10" s="35">
        <f t="shared" si="0"/>
        <v>9.800179345389326</v>
      </c>
      <c r="J10" s="35">
        <f t="shared" si="0"/>
        <v>9.1932315465520063</v>
      </c>
      <c r="K10" s="35">
        <f t="shared" si="0"/>
        <v>8.6718090112679391</v>
      </c>
      <c r="L10" s="35">
        <f t="shared" si="0"/>
        <v>8.2192091609331932</v>
      </c>
      <c r="M10" s="35">
        <f t="shared" si="0"/>
        <v>7.8228121434261277</v>
      </c>
    </row>
    <row r="12" spans="2:15" ht="16" customHeight="1" thickBot="1" x14ac:dyDescent="0.25">
      <c r="B12" s="26" t="s">
        <v>189</v>
      </c>
    </row>
    <row r="13" spans="2:15" x14ac:dyDescent="0.2">
      <c r="B13" s="31" t="s">
        <v>190</v>
      </c>
      <c r="C13" s="31" t="s">
        <v>28</v>
      </c>
      <c r="D13" s="36">
        <v>89.4</v>
      </c>
      <c r="E13" s="36">
        <v>102.8</v>
      </c>
      <c r="F13" s="36">
        <v>107.5</v>
      </c>
      <c r="G13" s="36">
        <v>111.5</v>
      </c>
      <c r="H13" s="36">
        <v>114.8</v>
      </c>
      <c r="I13" s="32">
        <f>I9*(100-Assumptions!I39)/100</f>
        <v>124.89441000000001</v>
      </c>
      <c r="J13" s="32">
        <f>J9*(100-Assumptions!J39)/100</f>
        <v>133.36794283750001</v>
      </c>
      <c r="K13" s="32">
        <f>K9*(100-Assumptions!K39)/100</f>
        <v>141.66418267624999</v>
      </c>
      <c r="L13" s="32">
        <f>L9*(100-Assumptions!L39)/100</f>
        <v>149.76998450677124</v>
      </c>
      <c r="M13" s="32">
        <f>M9*(100-Assumptions!M39)/100</f>
        <v>157.67157418271512</v>
      </c>
      <c r="O13" s="22" t="s">
        <v>191</v>
      </c>
    </row>
    <row r="14" spans="2:15" x14ac:dyDescent="0.2">
      <c r="B14" s="37" t="s">
        <v>192</v>
      </c>
      <c r="C14" s="37" t="s">
        <v>28</v>
      </c>
      <c r="D14" s="38">
        <f t="shared" ref="D14:M14" si="1">D9-D13</f>
        <v>321.79999999999995</v>
      </c>
      <c r="E14" s="38">
        <f t="shared" si="1"/>
        <v>386.9</v>
      </c>
      <c r="F14" s="38">
        <f t="shared" si="1"/>
        <v>447</v>
      </c>
      <c r="G14" s="38">
        <f t="shared" si="1"/>
        <v>496.1</v>
      </c>
      <c r="H14" s="38">
        <f t="shared" si="1"/>
        <v>554.30000000000007</v>
      </c>
      <c r="I14" s="38">
        <f t="shared" si="1"/>
        <v>609.77859000000001</v>
      </c>
      <c r="J14" s="38">
        <f t="shared" si="1"/>
        <v>668.84524716250007</v>
      </c>
      <c r="K14" s="38">
        <f t="shared" si="1"/>
        <v>730.11540302374999</v>
      </c>
      <c r="L14" s="38">
        <f t="shared" si="1"/>
        <v>793.66298876422866</v>
      </c>
      <c r="M14" s="38">
        <f t="shared" si="1"/>
        <v>859.56438828641467</v>
      </c>
    </row>
    <row r="15" spans="2:15" x14ac:dyDescent="0.2">
      <c r="B15" s="37" t="s">
        <v>109</v>
      </c>
      <c r="C15" s="37" t="s">
        <v>4</v>
      </c>
      <c r="D15" s="38">
        <f t="shared" ref="D15:M15" si="2">D14/D9*100</f>
        <v>78.258754863813223</v>
      </c>
      <c r="E15" s="38">
        <f t="shared" si="2"/>
        <v>79.00755564631406</v>
      </c>
      <c r="F15" s="38">
        <f t="shared" si="2"/>
        <v>80.613165013525702</v>
      </c>
      <c r="G15" s="38">
        <f t="shared" si="2"/>
        <v>81.64911125740619</v>
      </c>
      <c r="H15" s="38">
        <f t="shared" si="2"/>
        <v>82.842624420863856</v>
      </c>
      <c r="I15" s="38">
        <f t="shared" si="2"/>
        <v>83</v>
      </c>
      <c r="J15" s="38">
        <f t="shared" si="2"/>
        <v>83.375</v>
      </c>
      <c r="K15" s="38">
        <f t="shared" si="2"/>
        <v>83.75</v>
      </c>
      <c r="L15" s="38">
        <f t="shared" si="2"/>
        <v>84.125</v>
      </c>
      <c r="M15" s="38">
        <f t="shared" si="2"/>
        <v>84.5</v>
      </c>
      <c r="O15" s="20" t="s">
        <v>477</v>
      </c>
    </row>
    <row r="17" spans="2:15" ht="16" customHeight="1" thickBot="1" x14ac:dyDescent="0.25">
      <c r="B17" s="26" t="s">
        <v>193</v>
      </c>
    </row>
    <row r="18" spans="2:15" x14ac:dyDescent="0.2">
      <c r="B18" s="31" t="s">
        <v>194</v>
      </c>
      <c r="C18" s="31" t="s">
        <v>28</v>
      </c>
      <c r="D18" s="36">
        <v>81.3</v>
      </c>
      <c r="E18" s="36">
        <v>101.2</v>
      </c>
      <c r="F18" s="36">
        <v>110.5</v>
      </c>
      <c r="G18" s="36">
        <v>111.9</v>
      </c>
      <c r="H18" s="36">
        <v>117.3</v>
      </c>
      <c r="I18" s="32">
        <f>I9*Assumptions!I40/100</f>
        <v>128.56777500000001</v>
      </c>
      <c r="J18" s="32">
        <f>J9*Assumptions!J40/100</f>
        <v>140.38730825000002</v>
      </c>
      <c r="K18" s="32">
        <f>K9*Assumptions!K40/100</f>
        <v>152.56142749749998</v>
      </c>
      <c r="L18" s="32">
        <f>L9*Assumptions!L40/100</f>
        <v>165.10077032242498</v>
      </c>
      <c r="M18" s="32">
        <f>M9*Assumptions!M40/100</f>
        <v>178.01629343209774</v>
      </c>
    </row>
    <row r="19" spans="2:15" x14ac:dyDescent="0.2">
      <c r="B19" s="33" t="s">
        <v>195</v>
      </c>
      <c r="C19" s="33" t="s">
        <v>4</v>
      </c>
      <c r="D19" s="35">
        <f t="shared" ref="D19:M19" si="3">D18/D9*100</f>
        <v>19.771400778210115</v>
      </c>
      <c r="E19" s="35">
        <f t="shared" si="3"/>
        <v>20.665713702266693</v>
      </c>
      <c r="F19" s="35">
        <f t="shared" si="3"/>
        <v>19.927862939585211</v>
      </c>
      <c r="G19" s="35">
        <f t="shared" si="3"/>
        <v>18.416721527320608</v>
      </c>
      <c r="H19" s="35">
        <f t="shared" si="3"/>
        <v>17.531011806904797</v>
      </c>
      <c r="I19" s="35">
        <f t="shared" si="3"/>
        <v>17.5</v>
      </c>
      <c r="J19" s="35">
        <f t="shared" si="3"/>
        <v>17.5</v>
      </c>
      <c r="K19" s="35">
        <f t="shared" si="3"/>
        <v>17.5</v>
      </c>
      <c r="L19" s="35">
        <f t="shared" si="3"/>
        <v>17.5</v>
      </c>
      <c r="M19" s="35">
        <f t="shared" si="3"/>
        <v>17.5</v>
      </c>
      <c r="O19" s="20" t="s">
        <v>478</v>
      </c>
    </row>
    <row r="20" spans="2:15" x14ac:dyDescent="0.2">
      <c r="B20" s="37" t="s">
        <v>196</v>
      </c>
      <c r="C20" s="37" t="s">
        <v>28</v>
      </c>
      <c r="D20" s="39">
        <v>76.5</v>
      </c>
      <c r="E20" s="39">
        <v>97.2</v>
      </c>
      <c r="F20" s="39">
        <v>111.7</v>
      </c>
      <c r="G20" s="39">
        <v>128.30000000000001</v>
      </c>
      <c r="H20" s="39">
        <v>143.5</v>
      </c>
      <c r="I20" s="40">
        <f>I9*Assumptions!I41/100</f>
        <v>154.28133</v>
      </c>
      <c r="J20" s="40">
        <f>J9*Assumptions!J41/100</f>
        <v>165.45647043750003</v>
      </c>
      <c r="K20" s="40">
        <f>K9*Assumptions!K41/100</f>
        <v>176.53536610424999</v>
      </c>
      <c r="L20" s="40">
        <f>L9*Assumptions!L41/100</f>
        <v>187.50730343761123</v>
      </c>
      <c r="M20" s="40">
        <f>M9*Assumptions!M41/100</f>
        <v>198.3610126814803</v>
      </c>
    </row>
    <row r="21" spans="2:15" x14ac:dyDescent="0.2">
      <c r="B21" s="33" t="s">
        <v>197</v>
      </c>
      <c r="C21" s="33" t="s">
        <v>4</v>
      </c>
      <c r="D21" s="35">
        <f t="shared" ref="D21:L21" si="4">D20/D9*100</f>
        <v>18.604085603112843</v>
      </c>
      <c r="E21" s="35">
        <f t="shared" si="4"/>
        <v>19.848887073718604</v>
      </c>
      <c r="F21" s="35">
        <f t="shared" si="4"/>
        <v>20.144274120829579</v>
      </c>
      <c r="G21" s="35">
        <f t="shared" si="4"/>
        <v>21.115865701119159</v>
      </c>
      <c r="H21" s="35">
        <f t="shared" si="4"/>
        <v>21.44671947392019</v>
      </c>
      <c r="I21" s="35">
        <f t="shared" si="4"/>
        <v>21</v>
      </c>
      <c r="J21" s="35">
        <f t="shared" si="4"/>
        <v>20.625</v>
      </c>
      <c r="K21" s="35">
        <f t="shared" si="4"/>
        <v>20.25</v>
      </c>
      <c r="L21" s="35">
        <f t="shared" si="4"/>
        <v>19.875</v>
      </c>
      <c r="M21" s="35">
        <f>M20/M9*100</f>
        <v>19.499999999999996</v>
      </c>
      <c r="O21" s="20" t="s">
        <v>479</v>
      </c>
    </row>
    <row r="22" spans="2:15" x14ac:dyDescent="0.2">
      <c r="B22" s="37" t="s">
        <v>198</v>
      </c>
      <c r="C22" s="37" t="s">
        <v>28</v>
      </c>
      <c r="D22" s="39">
        <v>76.3</v>
      </c>
      <c r="E22" s="39">
        <v>58</v>
      </c>
      <c r="F22" s="39">
        <v>61.7</v>
      </c>
      <c r="G22" s="39">
        <v>68.7</v>
      </c>
      <c r="H22" s="39">
        <v>71.599999999999994</v>
      </c>
      <c r="I22" s="40">
        <f>I9*Assumptions!I42/100</f>
        <v>77.140664999999998</v>
      </c>
      <c r="J22" s="40">
        <f>J9*Assumptions!J42/100</f>
        <v>84.232384950000011</v>
      </c>
      <c r="K22" s="40">
        <f>K9*Assumptions!K42/100</f>
        <v>87.177958569999987</v>
      </c>
      <c r="L22" s="40">
        <f>L9*Assumptions!L42/100</f>
        <v>94.34329732709999</v>
      </c>
      <c r="M22" s="40">
        <f>M9*Assumptions!M42/100</f>
        <v>101.72359624691299</v>
      </c>
    </row>
    <row r="23" spans="2:15" x14ac:dyDescent="0.2">
      <c r="B23" s="33" t="s">
        <v>199</v>
      </c>
      <c r="C23" s="33" t="s">
        <v>4</v>
      </c>
      <c r="D23" s="35">
        <f t="shared" ref="D23:M23" si="5">D22/D9*100</f>
        <v>18.555447470817121</v>
      </c>
      <c r="E23" s="35">
        <f t="shared" si="5"/>
        <v>11.843986113947315</v>
      </c>
      <c r="F23" s="35">
        <f t="shared" si="5"/>
        <v>11.127141568981065</v>
      </c>
      <c r="G23" s="35">
        <f t="shared" si="5"/>
        <v>11.306780776826859</v>
      </c>
      <c r="H23" s="35">
        <f t="shared" si="5"/>
        <v>10.700941563293975</v>
      </c>
      <c r="I23" s="35">
        <f t="shared" si="5"/>
        <v>10.5</v>
      </c>
      <c r="J23" s="35">
        <f t="shared" si="5"/>
        <v>10.500000000000002</v>
      </c>
      <c r="K23" s="35">
        <f t="shared" si="5"/>
        <v>10</v>
      </c>
      <c r="L23" s="35">
        <f t="shared" si="5"/>
        <v>10</v>
      </c>
      <c r="M23" s="35">
        <f t="shared" si="5"/>
        <v>10</v>
      </c>
      <c r="O23" s="20" t="s">
        <v>480</v>
      </c>
    </row>
    <row r="24" spans="2:15" x14ac:dyDescent="0.2">
      <c r="B24" s="37" t="s">
        <v>200</v>
      </c>
      <c r="C24" s="37" t="s">
        <v>28</v>
      </c>
      <c r="D24" s="38">
        <f t="shared" ref="D24:M24" si="6">D18+D20+D22</f>
        <v>234.10000000000002</v>
      </c>
      <c r="E24" s="38">
        <f t="shared" si="6"/>
        <v>256.39999999999998</v>
      </c>
      <c r="F24" s="38">
        <f t="shared" si="6"/>
        <v>283.89999999999998</v>
      </c>
      <c r="G24" s="38">
        <f t="shared" si="6"/>
        <v>308.90000000000003</v>
      </c>
      <c r="H24" s="38">
        <f t="shared" si="6"/>
        <v>332.4</v>
      </c>
      <c r="I24" s="38">
        <f t="shared" si="6"/>
        <v>359.98977000000002</v>
      </c>
      <c r="J24" s="38">
        <f t="shared" si="6"/>
        <v>390.07616363750003</v>
      </c>
      <c r="K24" s="38">
        <f t="shared" si="6"/>
        <v>416.27475217174992</v>
      </c>
      <c r="L24" s="38">
        <f t="shared" si="6"/>
        <v>446.95137108713618</v>
      </c>
      <c r="M24" s="38">
        <f t="shared" si="6"/>
        <v>478.10090236049098</v>
      </c>
    </row>
    <row r="25" spans="2:15" x14ac:dyDescent="0.2">
      <c r="B25" s="33" t="s">
        <v>201</v>
      </c>
      <c r="C25" s="33" t="s">
        <v>4</v>
      </c>
      <c r="D25" s="35">
        <f t="shared" ref="D25:M25" si="7">D24/D9*100</f>
        <v>56.930933852140086</v>
      </c>
      <c r="E25" s="35">
        <f t="shared" si="7"/>
        <v>52.35858688993261</v>
      </c>
      <c r="F25" s="35">
        <f t="shared" si="7"/>
        <v>51.199278629395849</v>
      </c>
      <c r="G25" s="35">
        <f t="shared" si="7"/>
        <v>50.839368005266628</v>
      </c>
      <c r="H25" s="35">
        <f t="shared" si="7"/>
        <v>49.678672844118957</v>
      </c>
      <c r="I25" s="35">
        <f t="shared" si="7"/>
        <v>49.000000000000007</v>
      </c>
      <c r="J25" s="35">
        <f t="shared" si="7"/>
        <v>48.625</v>
      </c>
      <c r="K25" s="35">
        <f t="shared" si="7"/>
        <v>47.749999999999993</v>
      </c>
      <c r="L25" s="35">
        <f t="shared" si="7"/>
        <v>47.374999999999993</v>
      </c>
      <c r="M25" s="35">
        <f t="shared" si="7"/>
        <v>47</v>
      </c>
    </row>
    <row r="27" spans="2:15" ht="16" customHeight="1" thickBot="1" x14ac:dyDescent="0.25">
      <c r="B27" s="26" t="s">
        <v>202</v>
      </c>
    </row>
    <row r="28" spans="2:15" x14ac:dyDescent="0.2">
      <c r="B28" s="31" t="s">
        <v>203</v>
      </c>
      <c r="C28" s="31" t="s">
        <v>28</v>
      </c>
      <c r="D28" s="41">
        <f t="shared" ref="D28:M28" si="8">D14-D24</f>
        <v>87.699999999999932</v>
      </c>
      <c r="E28" s="41">
        <f t="shared" si="8"/>
        <v>130.5</v>
      </c>
      <c r="F28" s="41">
        <f t="shared" si="8"/>
        <v>163.10000000000002</v>
      </c>
      <c r="G28" s="41">
        <f t="shared" si="8"/>
        <v>187.2</v>
      </c>
      <c r="H28" s="41">
        <f t="shared" si="8"/>
        <v>221.90000000000009</v>
      </c>
      <c r="I28" s="41">
        <f t="shared" si="8"/>
        <v>249.78881999999999</v>
      </c>
      <c r="J28" s="41">
        <f t="shared" si="8"/>
        <v>278.76908352500004</v>
      </c>
      <c r="K28" s="41">
        <f t="shared" si="8"/>
        <v>313.84065085200007</v>
      </c>
      <c r="L28" s="41">
        <f t="shared" si="8"/>
        <v>346.71161767709248</v>
      </c>
      <c r="M28" s="41">
        <f t="shared" si="8"/>
        <v>381.46348592592369</v>
      </c>
    </row>
    <row r="29" spans="2:15" x14ac:dyDescent="0.2">
      <c r="B29" s="33" t="s">
        <v>136</v>
      </c>
      <c r="C29" s="33" t="s">
        <v>4</v>
      </c>
      <c r="D29" s="35">
        <f t="shared" ref="D29:M29" si="9">D28/D9*100</f>
        <v>21.327821011673137</v>
      </c>
      <c r="E29" s="35">
        <f t="shared" si="9"/>
        <v>26.648968756381457</v>
      </c>
      <c r="F29" s="35">
        <f t="shared" si="9"/>
        <v>29.413886384129849</v>
      </c>
      <c r="G29" s="35">
        <f t="shared" si="9"/>
        <v>30.809743252139558</v>
      </c>
      <c r="H29" s="35">
        <f t="shared" si="9"/>
        <v>33.163951576744893</v>
      </c>
      <c r="I29" s="35">
        <f t="shared" si="9"/>
        <v>34</v>
      </c>
      <c r="J29" s="35">
        <f t="shared" si="9"/>
        <v>34.75</v>
      </c>
      <c r="K29" s="35">
        <f t="shared" si="9"/>
        <v>36.000000000000007</v>
      </c>
      <c r="L29" s="35">
        <f t="shared" si="9"/>
        <v>36.75</v>
      </c>
      <c r="M29" s="35">
        <f t="shared" si="9"/>
        <v>37.5</v>
      </c>
    </row>
    <row r="31" spans="2:15" ht="16" customHeight="1" thickBot="1" x14ac:dyDescent="0.25">
      <c r="B31" s="26" t="s">
        <v>204</v>
      </c>
    </row>
    <row r="32" spans="2:15" ht="15" customHeight="1" x14ac:dyDescent="0.2">
      <c r="B32" s="31" t="s">
        <v>205</v>
      </c>
      <c r="C32" s="31" t="s">
        <v>28</v>
      </c>
      <c r="D32" s="36">
        <v>2.2999999999999998</v>
      </c>
      <c r="E32" s="36">
        <v>5.2</v>
      </c>
      <c r="F32" s="36">
        <v>16.899999999999999</v>
      </c>
      <c r="G32" s="36">
        <v>25.8</v>
      </c>
      <c r="H32" s="36">
        <v>25.3</v>
      </c>
      <c r="I32" s="36">
        <v>23.5</v>
      </c>
      <c r="J32" s="36">
        <v>22</v>
      </c>
      <c r="K32" s="36">
        <v>20.5</v>
      </c>
      <c r="L32" s="36">
        <v>19</v>
      </c>
      <c r="M32" s="36">
        <v>17.5</v>
      </c>
      <c r="O32" s="22" t="s">
        <v>206</v>
      </c>
    </row>
    <row r="33" spans="2:15" ht="15" customHeight="1" x14ac:dyDescent="0.2">
      <c r="B33" s="37" t="s">
        <v>207</v>
      </c>
      <c r="C33" s="37" t="s">
        <v>28</v>
      </c>
      <c r="D33" s="39">
        <v>-0.6</v>
      </c>
      <c r="E33" s="39">
        <v>-2</v>
      </c>
      <c r="F33" s="39">
        <v>-1.3</v>
      </c>
      <c r="G33" s="39">
        <v>-3.2</v>
      </c>
      <c r="H33" s="39">
        <v>-0.4</v>
      </c>
      <c r="I33" s="39">
        <v>-0.5</v>
      </c>
      <c r="J33" s="39">
        <v>-0.5</v>
      </c>
      <c r="K33" s="39">
        <v>-0.5</v>
      </c>
      <c r="L33" s="39">
        <v>-0.5</v>
      </c>
      <c r="M33" s="39">
        <v>-0.5</v>
      </c>
      <c r="O33" s="42" t="s">
        <v>208</v>
      </c>
    </row>
    <row r="34" spans="2:15" x14ac:dyDescent="0.2">
      <c r="B34" s="37" t="s">
        <v>209</v>
      </c>
      <c r="C34" s="37" t="s">
        <v>28</v>
      </c>
      <c r="D34" s="38">
        <f t="shared" ref="D34:M34" si="10">D28+D32+D33</f>
        <v>89.399999999999935</v>
      </c>
      <c r="E34" s="38">
        <f t="shared" si="10"/>
        <v>133.69999999999999</v>
      </c>
      <c r="F34" s="38">
        <f t="shared" si="10"/>
        <v>178.70000000000002</v>
      </c>
      <c r="G34" s="38">
        <f t="shared" si="10"/>
        <v>209.8</v>
      </c>
      <c r="H34" s="38">
        <f t="shared" si="10"/>
        <v>246.8000000000001</v>
      </c>
      <c r="I34" s="38">
        <f t="shared" si="10"/>
        <v>272.78881999999999</v>
      </c>
      <c r="J34" s="38">
        <f t="shared" si="10"/>
        <v>300.26908352500004</v>
      </c>
      <c r="K34" s="38">
        <f t="shared" si="10"/>
        <v>333.84065085200007</v>
      </c>
      <c r="L34" s="38">
        <f t="shared" si="10"/>
        <v>365.21161767709248</v>
      </c>
      <c r="M34" s="38">
        <f t="shared" si="10"/>
        <v>398.46348592592369</v>
      </c>
      <c r="O34" s="42"/>
    </row>
    <row r="35" spans="2:15" x14ac:dyDescent="0.2">
      <c r="B35" s="37" t="s">
        <v>210</v>
      </c>
      <c r="C35" s="37" t="s">
        <v>28</v>
      </c>
      <c r="D35" s="43">
        <f t="shared" ref="D35:M35" si="11">D34*D36/100</f>
        <v>18.416399999999989</v>
      </c>
      <c r="E35" s="43">
        <f t="shared" si="11"/>
        <v>25.670399999999994</v>
      </c>
      <c r="F35" s="43">
        <f t="shared" si="11"/>
        <v>27.162400000000002</v>
      </c>
      <c r="G35" s="43">
        <f t="shared" si="11"/>
        <v>36.085599999999999</v>
      </c>
      <c r="H35" s="43">
        <f t="shared" si="11"/>
        <v>48.61960000000002</v>
      </c>
      <c r="I35" s="43">
        <f t="shared" si="11"/>
        <v>54.557763999999999</v>
      </c>
      <c r="J35" s="43">
        <f t="shared" si="11"/>
        <v>60.05381670500001</v>
      </c>
      <c r="K35" s="43">
        <f t="shared" si="11"/>
        <v>66.768130170400013</v>
      </c>
      <c r="L35" s="43">
        <f t="shared" si="11"/>
        <v>73.04232353541849</v>
      </c>
      <c r="M35" s="43">
        <f t="shared" si="11"/>
        <v>79.692697185184727</v>
      </c>
      <c r="O35" s="42"/>
    </row>
    <row r="36" spans="2:15" x14ac:dyDescent="0.2">
      <c r="B36" s="33" t="s">
        <v>138</v>
      </c>
      <c r="C36" s="33" t="s">
        <v>4</v>
      </c>
      <c r="D36" s="44">
        <f>Assumptions!D44</f>
        <v>20.6</v>
      </c>
      <c r="E36" s="44">
        <f>Assumptions!E44</f>
        <v>19.2</v>
      </c>
      <c r="F36" s="44">
        <f>Assumptions!F44</f>
        <v>15.2</v>
      </c>
      <c r="G36" s="44">
        <f>Assumptions!G44</f>
        <v>17.2</v>
      </c>
      <c r="H36" s="44">
        <f>Assumptions!H44</f>
        <v>19.7</v>
      </c>
      <c r="I36" s="44">
        <f>Assumptions!I44</f>
        <v>20</v>
      </c>
      <c r="J36" s="44">
        <f>Assumptions!J44</f>
        <v>20</v>
      </c>
      <c r="K36" s="44">
        <f>Assumptions!K44</f>
        <v>20</v>
      </c>
      <c r="L36" s="44">
        <f>Assumptions!L44</f>
        <v>20</v>
      </c>
      <c r="M36" s="44">
        <f>Assumptions!M44</f>
        <v>20</v>
      </c>
      <c r="O36" s="20" t="s">
        <v>481</v>
      </c>
    </row>
    <row r="37" spans="2:15" x14ac:dyDescent="0.2">
      <c r="B37" s="37" t="s">
        <v>211</v>
      </c>
      <c r="C37" s="37" t="s">
        <v>28</v>
      </c>
      <c r="D37" s="38">
        <f t="shared" ref="D37:M37" si="12">D34-D35</f>
        <v>70.983599999999939</v>
      </c>
      <c r="E37" s="38">
        <f t="shared" si="12"/>
        <v>108.02959999999999</v>
      </c>
      <c r="F37" s="38">
        <f t="shared" si="12"/>
        <v>151.53760000000003</v>
      </c>
      <c r="G37" s="38">
        <f t="shared" si="12"/>
        <v>173.71440000000001</v>
      </c>
      <c r="H37" s="38">
        <f t="shared" si="12"/>
        <v>198.18040000000008</v>
      </c>
      <c r="I37" s="38">
        <f t="shared" si="12"/>
        <v>218.231056</v>
      </c>
      <c r="J37" s="38">
        <f t="shared" si="12"/>
        <v>240.21526682000004</v>
      </c>
      <c r="K37" s="38">
        <f t="shared" si="12"/>
        <v>267.07252068160005</v>
      </c>
      <c r="L37" s="38">
        <f t="shared" si="12"/>
        <v>292.16929414167396</v>
      </c>
      <c r="M37" s="38">
        <f t="shared" si="12"/>
        <v>318.77078874073896</v>
      </c>
    </row>
    <row r="38" spans="2:15" x14ac:dyDescent="0.2">
      <c r="B38" s="33" t="s">
        <v>212</v>
      </c>
      <c r="C38" s="33" t="s">
        <v>4</v>
      </c>
      <c r="D38" s="35">
        <f t="shared" ref="D38:M38" si="13">D37/D9*100</f>
        <v>17.26254863813228</v>
      </c>
      <c r="E38" s="35">
        <f t="shared" si="13"/>
        <v>22.060363487849703</v>
      </c>
      <c r="F38" s="35">
        <f t="shared" si="13"/>
        <v>27.328692515779984</v>
      </c>
      <c r="G38" s="35">
        <f t="shared" si="13"/>
        <v>28.590256747860437</v>
      </c>
      <c r="H38" s="35">
        <f t="shared" si="13"/>
        <v>29.618950829472436</v>
      </c>
      <c r="I38" s="35">
        <f t="shared" si="13"/>
        <v>29.704515614429823</v>
      </c>
      <c r="J38" s="35">
        <f t="shared" si="13"/>
        <v>29.944068461402392</v>
      </c>
      <c r="K38" s="35">
        <f t="shared" si="13"/>
        <v>30.635326298350147</v>
      </c>
      <c r="L38" s="35">
        <f t="shared" si="13"/>
        <v>30.968738895004545</v>
      </c>
      <c r="M38" s="35">
        <f t="shared" si="13"/>
        <v>31.336956271875096</v>
      </c>
    </row>
    <row r="40" spans="2:15" ht="16" customHeight="1" thickBot="1" x14ac:dyDescent="0.25">
      <c r="B40" s="26" t="s">
        <v>213</v>
      </c>
    </row>
    <row r="41" spans="2:15" x14ac:dyDescent="0.2">
      <c r="B41" s="31" t="s">
        <v>157</v>
      </c>
      <c r="C41" s="31" t="s">
        <v>52</v>
      </c>
      <c r="D41" s="32">
        <f>Assumptions!D57</f>
        <v>40.1</v>
      </c>
      <c r="E41" s="32">
        <f>Assumptions!E57</f>
        <v>39.299999999999997</v>
      </c>
      <c r="F41" s="32">
        <f>Assumptions!F57</f>
        <v>37.6</v>
      </c>
      <c r="G41" s="32">
        <f>Assumptions!G57</f>
        <v>37.4</v>
      </c>
      <c r="H41" s="32">
        <f>Assumptions!H57</f>
        <v>36.5</v>
      </c>
      <c r="I41" s="32">
        <f>Assumptions!I57</f>
        <v>35.5</v>
      </c>
      <c r="J41" s="32">
        <f>Assumptions!J57</f>
        <v>34.799999999999997</v>
      </c>
      <c r="K41" s="32">
        <f>Assumptions!K57</f>
        <v>34.1</v>
      </c>
      <c r="L41" s="32">
        <f>Assumptions!L57</f>
        <v>33.5</v>
      </c>
      <c r="M41" s="32">
        <f>Assumptions!M57</f>
        <v>32.9</v>
      </c>
      <c r="O41" s="20" t="s">
        <v>482</v>
      </c>
    </row>
    <row r="42" spans="2:15" x14ac:dyDescent="0.2">
      <c r="B42" s="37" t="s">
        <v>214</v>
      </c>
      <c r="C42" s="37" t="s">
        <v>54</v>
      </c>
      <c r="D42" s="38">
        <f t="shared" ref="D42:M42" si="14">D37/D41</f>
        <v>1.7701645885286768</v>
      </c>
      <c r="E42" s="38">
        <f>E37/E41</f>
        <v>2.7488447837150125</v>
      </c>
      <c r="F42" s="38">
        <f t="shared" si="14"/>
        <v>4.030255319148937</v>
      </c>
      <c r="G42" s="38">
        <f t="shared" si="14"/>
        <v>4.644770053475936</v>
      </c>
      <c r="H42" s="38">
        <f t="shared" si="14"/>
        <v>5.4296000000000024</v>
      </c>
      <c r="I42" s="38">
        <f t="shared" si="14"/>
        <v>6.1473536901408448</v>
      </c>
      <c r="J42" s="38">
        <f t="shared" si="14"/>
        <v>6.9027375522988521</v>
      </c>
      <c r="K42" s="38">
        <f t="shared" si="14"/>
        <v>7.8320387296656904</v>
      </c>
      <c r="L42" s="38">
        <f t="shared" si="14"/>
        <v>8.7214714669156397</v>
      </c>
      <c r="M42" s="38">
        <f t="shared" si="14"/>
        <v>9.6890817246425218</v>
      </c>
    </row>
    <row r="43" spans="2:15" x14ac:dyDescent="0.2">
      <c r="B43" s="33" t="s">
        <v>215</v>
      </c>
      <c r="C43" s="33" t="s">
        <v>4</v>
      </c>
      <c r="D43" s="34"/>
      <c r="E43" s="35">
        <f t="shared" ref="E43:M43" si="15">(E42/D42-1)*100</f>
        <v>55.287525325528854</v>
      </c>
      <c r="F43" s="35">
        <f t="shared" si="15"/>
        <v>46.616329267675937</v>
      </c>
      <c r="G43" s="35">
        <f t="shared" si="15"/>
        <v>15.247538571744013</v>
      </c>
      <c r="H43" s="35">
        <f t="shared" si="15"/>
        <v>16.897067830876477</v>
      </c>
      <c r="I43" s="35">
        <f t="shared" si="15"/>
        <v>13.219273798085339</v>
      </c>
      <c r="J43" s="35">
        <f t="shared" si="15"/>
        <v>12.287951860806313</v>
      </c>
      <c r="K43" s="35">
        <f t="shared" si="15"/>
        <v>13.462791687007547</v>
      </c>
      <c r="L43" s="35">
        <f t="shared" si="15"/>
        <v>11.356337320971278</v>
      </c>
      <c r="M43" s="35">
        <f t="shared" si="15"/>
        <v>11.094575742149161</v>
      </c>
    </row>
    <row r="45" spans="2:15" ht="16" customHeight="1" thickBot="1" x14ac:dyDescent="0.25">
      <c r="B45" s="26" t="s">
        <v>216</v>
      </c>
    </row>
    <row r="46" spans="2:15" x14ac:dyDescent="0.2">
      <c r="B46" s="31" t="s">
        <v>217</v>
      </c>
      <c r="C46" s="31" t="s">
        <v>28</v>
      </c>
      <c r="D46" s="36">
        <v>35.9</v>
      </c>
      <c r="E46" s="36">
        <v>34.6</v>
      </c>
      <c r="F46" s="36">
        <v>27</v>
      </c>
      <c r="G46" s="36">
        <v>18.5</v>
      </c>
      <c r="H46" s="36">
        <v>14.5</v>
      </c>
      <c r="I46" s="32">
        <f>I9*Assumptions!I51/100</f>
        <v>13.224114</v>
      </c>
      <c r="J46" s="32">
        <f>J9*Assumptions!J51/100</f>
        <v>12.033197850000001</v>
      </c>
      <c r="K46" s="32">
        <f>K9*Assumptions!K51/100</f>
        <v>11.333134614099999</v>
      </c>
      <c r="L46" s="32">
        <f>L9*Assumptions!L51/100</f>
        <v>11.321195679251998</v>
      </c>
      <c r="M46" s="32">
        <f>M9*Assumptions!M51/100</f>
        <v>11.189595587160429</v>
      </c>
      <c r="O46" s="22" t="s">
        <v>218</v>
      </c>
    </row>
    <row r="47" spans="2:15" x14ac:dyDescent="0.2">
      <c r="B47" s="37" t="s">
        <v>219</v>
      </c>
      <c r="C47" s="37" t="s">
        <v>28</v>
      </c>
      <c r="D47" s="38">
        <f t="shared" ref="D47:M47" si="16">D28+D46</f>
        <v>123.59999999999994</v>
      </c>
      <c r="E47" s="38">
        <f t="shared" si="16"/>
        <v>165.1</v>
      </c>
      <c r="F47" s="38">
        <f t="shared" si="16"/>
        <v>190.10000000000002</v>
      </c>
      <c r="G47" s="38">
        <f t="shared" si="16"/>
        <v>205.7</v>
      </c>
      <c r="H47" s="38">
        <f t="shared" si="16"/>
        <v>236.40000000000009</v>
      </c>
      <c r="I47" s="38">
        <f t="shared" si="16"/>
        <v>263.01293399999997</v>
      </c>
      <c r="J47" s="38">
        <f t="shared" si="16"/>
        <v>290.80228137500006</v>
      </c>
      <c r="K47" s="38">
        <f t="shared" si="16"/>
        <v>325.17378546610007</v>
      </c>
      <c r="L47" s="38">
        <f t="shared" si="16"/>
        <v>358.03281335634449</v>
      </c>
      <c r="M47" s="38">
        <f t="shared" si="16"/>
        <v>392.65308151308415</v>
      </c>
    </row>
    <row r="48" spans="2:15" x14ac:dyDescent="0.2">
      <c r="B48" s="33" t="s">
        <v>220</v>
      </c>
      <c r="C48" s="33" t="s">
        <v>4</v>
      </c>
      <c r="D48" s="35">
        <f t="shared" ref="D48:M48" si="17">D47/D9*100</f>
        <v>30.058365758754853</v>
      </c>
      <c r="E48" s="35">
        <f t="shared" si="17"/>
        <v>33.714519093322444</v>
      </c>
      <c r="F48" s="35">
        <f t="shared" si="17"/>
        <v>34.283137962128045</v>
      </c>
      <c r="G48" s="35">
        <f t="shared" si="17"/>
        <v>33.854509545753778</v>
      </c>
      <c r="H48" s="35">
        <f t="shared" si="17"/>
        <v>35.33104169780303</v>
      </c>
      <c r="I48" s="35">
        <f t="shared" si="17"/>
        <v>35.799999999999997</v>
      </c>
      <c r="J48" s="35">
        <f t="shared" si="17"/>
        <v>36.250000000000007</v>
      </c>
      <c r="K48" s="35">
        <f t="shared" si="17"/>
        <v>37.300000000000011</v>
      </c>
      <c r="L48" s="35">
        <f t="shared" si="17"/>
        <v>37.950000000000003</v>
      </c>
      <c r="M48" s="35">
        <f t="shared" si="17"/>
        <v>38.6</v>
      </c>
    </row>
    <row r="49" spans="2:15" x14ac:dyDescent="0.2">
      <c r="B49" s="37" t="s">
        <v>221</v>
      </c>
      <c r="C49" s="37" t="s">
        <v>28</v>
      </c>
      <c r="D49" s="39">
        <v>67.599999999999994</v>
      </c>
      <c r="E49" s="39">
        <v>53.4</v>
      </c>
      <c r="F49" s="39">
        <v>69.099999999999994</v>
      </c>
      <c r="G49" s="39">
        <v>77.099999999999994</v>
      </c>
      <c r="H49" s="39">
        <v>77</v>
      </c>
      <c r="I49" s="40">
        <f>I9*Assumptions!I52/100</f>
        <v>84.487394999999992</v>
      </c>
      <c r="J49" s="40">
        <f>J9*Assumptions!J52/100</f>
        <v>88.243450900000013</v>
      </c>
      <c r="K49" s="40">
        <f>K9*Assumptions!K52/100</f>
        <v>91.536856498500001</v>
      </c>
      <c r="L49" s="40">
        <f>L9*Assumptions!L52/100</f>
        <v>94.34329732709999</v>
      </c>
      <c r="M49" s="40">
        <f>M9*Assumptions!M52/100</f>
        <v>101.72359624691299</v>
      </c>
      <c r="O49" s="22" t="s">
        <v>218</v>
      </c>
    </row>
    <row r="50" spans="2:15" x14ac:dyDescent="0.2">
      <c r="B50" s="33" t="s">
        <v>150</v>
      </c>
      <c r="C50" s="33" t="s">
        <v>4</v>
      </c>
      <c r="D50" s="35">
        <f t="shared" ref="D50:M50" si="18">D49/D9*100</f>
        <v>16.439688715953306</v>
      </c>
      <c r="E50" s="35">
        <f t="shared" si="18"/>
        <v>10.904635491117011</v>
      </c>
      <c r="F50" s="35">
        <f t="shared" si="18"/>
        <v>12.461677186654644</v>
      </c>
      <c r="G50" s="35">
        <f t="shared" si="18"/>
        <v>12.689269256089531</v>
      </c>
      <c r="H50" s="35">
        <f t="shared" si="18"/>
        <v>11.507995815274247</v>
      </c>
      <c r="I50" s="35">
        <f t="shared" si="18"/>
        <v>11.5</v>
      </c>
      <c r="J50" s="35">
        <f t="shared" si="18"/>
        <v>11.000000000000002</v>
      </c>
      <c r="K50" s="35">
        <f t="shared" si="18"/>
        <v>10.5</v>
      </c>
      <c r="L50" s="35">
        <f t="shared" si="18"/>
        <v>10</v>
      </c>
      <c r="M50" s="35">
        <f t="shared" si="18"/>
        <v>10</v>
      </c>
    </row>
    <row r="53" spans="2:15" x14ac:dyDescent="0.2">
      <c r="B53" s="22"/>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2:O43"/>
  <sheetViews>
    <sheetView showGridLines="0" workbookViewId="0"/>
  </sheetViews>
  <sheetFormatPr baseColWidth="10" defaultColWidth="8.83203125" defaultRowHeight="14" outlineLevelRow="1" x14ac:dyDescent="0.2"/>
  <cols>
    <col min="1" max="1" width="3" style="6" customWidth="1"/>
    <col min="2" max="2" width="36" style="6" customWidth="1"/>
    <col min="3" max="3" width="7" style="6" customWidth="1"/>
    <col min="4" max="13" width="11" style="6" customWidth="1"/>
    <col min="14" max="14" width="3.33203125" style="6" customWidth="1"/>
    <col min="15" max="15" width="55" style="20" customWidth="1"/>
    <col min="16" max="17" width="8.83203125" style="6" customWidth="1"/>
    <col min="18" max="16384" width="8.83203125" style="6"/>
  </cols>
  <sheetData>
    <row r="2" spans="2:15" ht="19" customHeight="1" x14ac:dyDescent="0.2">
      <c r="B2" s="3" t="s">
        <v>84</v>
      </c>
    </row>
    <row r="3" spans="2:15" x14ac:dyDescent="0.2">
      <c r="B3" s="2" t="s">
        <v>0</v>
      </c>
    </row>
    <row r="4" spans="2:15" x14ac:dyDescent="0.2">
      <c r="B4" s="2" t="s">
        <v>1</v>
      </c>
    </row>
    <row r="6" spans="2:15" x14ac:dyDescent="0.2">
      <c r="C6" s="1" t="s">
        <v>16</v>
      </c>
      <c r="D6" s="17" t="s">
        <v>17</v>
      </c>
      <c r="E6" s="17" t="s">
        <v>18</v>
      </c>
      <c r="F6" s="17" t="s">
        <v>19</v>
      </c>
      <c r="G6" s="17" t="s">
        <v>20</v>
      </c>
      <c r="H6" s="17" t="s">
        <v>21</v>
      </c>
      <c r="I6" s="18" t="s">
        <v>22</v>
      </c>
      <c r="J6" s="18" t="s">
        <v>23</v>
      </c>
      <c r="K6" s="18" t="s">
        <v>24</v>
      </c>
      <c r="L6" s="18" t="s">
        <v>25</v>
      </c>
      <c r="M6" s="18" t="s">
        <v>26</v>
      </c>
      <c r="O6" s="21" t="s">
        <v>113</v>
      </c>
    </row>
    <row r="8" spans="2:15" ht="16" customHeight="1" thickBot="1" x14ac:dyDescent="0.25">
      <c r="B8" s="1" t="s">
        <v>222</v>
      </c>
      <c r="E8" s="105"/>
      <c r="F8" s="105"/>
      <c r="G8" s="105"/>
      <c r="H8" s="105"/>
      <c r="I8" s="105"/>
      <c r="J8" s="105"/>
      <c r="K8" s="105"/>
      <c r="L8" s="105"/>
      <c r="M8" s="105"/>
    </row>
    <row r="9" spans="2:15" x14ac:dyDescent="0.2">
      <c r="B9" s="14" t="s">
        <v>223</v>
      </c>
      <c r="C9" s="14" t="s">
        <v>28</v>
      </c>
      <c r="D9" s="97"/>
      <c r="E9" s="23">
        <v>321.3</v>
      </c>
      <c r="F9" s="23">
        <v>427.1</v>
      </c>
      <c r="G9" s="23">
        <v>381.4</v>
      </c>
      <c r="H9" s="23">
        <v>445.9</v>
      </c>
      <c r="I9" s="25">
        <f>H9+'Cash Flow'!I31</f>
        <v>515.52155717465746</v>
      </c>
      <c r="J9" s="25">
        <f>I9+'Cash Flow'!J31</f>
        <v>613.31227213470549</v>
      </c>
      <c r="K9" s="25">
        <f>J9+'Cash Flow'!K31</f>
        <v>732.04798065849002</v>
      </c>
      <c r="L9" s="25">
        <f>K9+'Cash Flow'!L31</f>
        <v>868.77806043798796</v>
      </c>
      <c r="M9" s="25">
        <f>L9+'Cash Flow'!M31</f>
        <v>1033.5461954513644</v>
      </c>
      <c r="O9" s="22" t="s">
        <v>224</v>
      </c>
    </row>
    <row r="10" spans="2:15" x14ac:dyDescent="0.2">
      <c r="B10" s="9" t="s">
        <v>225</v>
      </c>
      <c r="C10" s="9" t="s">
        <v>28</v>
      </c>
      <c r="D10" s="8"/>
      <c r="E10" s="24">
        <v>121.8</v>
      </c>
      <c r="F10" s="24">
        <v>146.19999999999999</v>
      </c>
      <c r="G10" s="24">
        <v>164.6</v>
      </c>
      <c r="H10" s="24">
        <v>171</v>
      </c>
      <c r="I10" s="106">
        <f>'Income Statement'!I9*Assumptions!I48/365</f>
        <v>187.19065479452055</v>
      </c>
      <c r="J10" s="106">
        <f>'Income Statement'!J9*Assumptions!J48/365</f>
        <v>204.3995251232877</v>
      </c>
      <c r="K10" s="106">
        <f>'Income Statement'!K9*Assumptions!K48/365</f>
        <v>222.1246615619178</v>
      </c>
      <c r="L10" s="106">
        <f>'Income Statement'!L9*Assumptions!L48/365</f>
        <v>240.3815520937068</v>
      </c>
      <c r="M10" s="106">
        <f>'Income Statement'!M9*Assumptions!M48/365</f>
        <v>259.18614934144949</v>
      </c>
      <c r="O10" s="22" t="s">
        <v>226</v>
      </c>
    </row>
    <row r="11" spans="2:15" x14ac:dyDescent="0.2">
      <c r="B11" s="9" t="s">
        <v>227</v>
      </c>
      <c r="C11" s="9" t="s">
        <v>28</v>
      </c>
      <c r="D11" s="8"/>
      <c r="E11" s="24">
        <v>30.2</v>
      </c>
      <c r="F11" s="24">
        <v>26.7</v>
      </c>
      <c r="G11" s="24">
        <v>39.700000000000003</v>
      </c>
      <c r="H11" s="24">
        <v>40.700000000000003</v>
      </c>
      <c r="I11" s="24">
        <v>40.700000000000003</v>
      </c>
      <c r="J11" s="24">
        <v>40.700000000000003</v>
      </c>
      <c r="K11" s="24">
        <v>40.700000000000003</v>
      </c>
      <c r="L11" s="24">
        <v>40.700000000000003</v>
      </c>
      <c r="M11" s="24">
        <v>40.700000000000003</v>
      </c>
      <c r="O11" s="20" t="s">
        <v>228</v>
      </c>
    </row>
    <row r="12" spans="2:15" x14ac:dyDescent="0.2">
      <c r="B12" s="9" t="s">
        <v>229</v>
      </c>
      <c r="C12" s="9" t="s">
        <v>28</v>
      </c>
      <c r="D12" s="8"/>
      <c r="E12" s="24">
        <v>473.3</v>
      </c>
      <c r="F12" s="24">
        <v>600</v>
      </c>
      <c r="G12" s="24">
        <v>585.70000000000005</v>
      </c>
      <c r="H12" s="24">
        <v>657.6</v>
      </c>
      <c r="I12" s="107">
        <f>I9+I10+I11</f>
        <v>743.41221196917809</v>
      </c>
      <c r="J12" s="107">
        <f>J9+J10+J11</f>
        <v>858.41179725799327</v>
      </c>
      <c r="K12" s="107">
        <f>K9+K10+K11</f>
        <v>994.8726422204079</v>
      </c>
      <c r="L12" s="107">
        <f>L9+L10+L11</f>
        <v>1149.8596125316949</v>
      </c>
      <c r="M12" s="107">
        <f>M9+M10+M11</f>
        <v>1333.4323447928139</v>
      </c>
    </row>
    <row r="13" spans="2:15" x14ac:dyDescent="0.2">
      <c r="E13" s="105"/>
      <c r="F13" s="105"/>
      <c r="G13" s="105"/>
      <c r="H13" s="105"/>
      <c r="I13" s="105"/>
      <c r="J13" s="105"/>
      <c r="K13" s="105"/>
      <c r="L13" s="105"/>
      <c r="M13" s="105"/>
    </row>
    <row r="14" spans="2:15" ht="16" customHeight="1" thickBot="1" x14ac:dyDescent="0.25">
      <c r="B14" s="1" t="s">
        <v>230</v>
      </c>
      <c r="E14" s="105"/>
      <c r="F14" s="105"/>
      <c r="G14" s="105"/>
      <c r="H14" s="105"/>
      <c r="I14" s="105"/>
      <c r="J14" s="105"/>
      <c r="K14" s="105"/>
      <c r="L14" s="105"/>
      <c r="M14" s="105"/>
    </row>
    <row r="15" spans="2:15" x14ac:dyDescent="0.2">
      <c r="B15" s="14" t="s">
        <v>231</v>
      </c>
      <c r="C15" s="14" t="s">
        <v>28</v>
      </c>
      <c r="D15" s="97"/>
      <c r="E15" s="23">
        <v>47.4</v>
      </c>
      <c r="F15" s="23">
        <v>32.6</v>
      </c>
      <c r="G15" s="23">
        <v>30.3</v>
      </c>
      <c r="H15" s="23">
        <v>23.2</v>
      </c>
      <c r="I15" s="25">
        <f>H15+'Income Statement'!I9*Assumptions!I50/100-'Income Statement'!I46</f>
        <v>18.791961999999998</v>
      </c>
      <c r="J15" s="25">
        <f>I15+'Income Statement'!J9*Assumptions!J50/100-'Income Statement'!J46</f>
        <v>16.385322429999999</v>
      </c>
      <c r="K15" s="25">
        <f>J15+'Income Statement'!K9*Assumptions!K50/100-'Income Statement'!K46</f>
        <v>13.769983672900002</v>
      </c>
      <c r="L15" s="25">
        <f>K15+'Income Statement'!L9*Assumptions!L50/100-'Income Statement'!L46</f>
        <v>11.883117726358003</v>
      </c>
      <c r="M15" s="25">
        <f>L15+'Income Statement'!M9*Assumptions!M50/100-'Income Statement'!M46</f>
        <v>10.865881763888872</v>
      </c>
    </row>
    <row r="16" spans="2:15" x14ac:dyDescent="0.2">
      <c r="B16" s="9" t="s">
        <v>232</v>
      </c>
      <c r="C16" s="9" t="s">
        <v>28</v>
      </c>
      <c r="D16" s="8"/>
      <c r="E16" s="24">
        <v>20.2</v>
      </c>
      <c r="F16" s="24">
        <v>17.2</v>
      </c>
      <c r="G16" s="24">
        <v>14.3</v>
      </c>
      <c r="H16" s="24">
        <v>11.7</v>
      </c>
      <c r="I16" s="24">
        <v>11.7</v>
      </c>
      <c r="J16" s="24">
        <v>11.7</v>
      </c>
      <c r="K16" s="24">
        <v>11.7</v>
      </c>
      <c r="L16" s="24">
        <v>11.7</v>
      </c>
      <c r="M16" s="24">
        <v>11.7</v>
      </c>
      <c r="O16" s="20" t="s">
        <v>233</v>
      </c>
    </row>
    <row r="17" spans="2:15" x14ac:dyDescent="0.2">
      <c r="B17" s="9" t="s">
        <v>234</v>
      </c>
      <c r="C17" s="9" t="s">
        <v>28</v>
      </c>
      <c r="D17" s="8"/>
      <c r="E17" s="24">
        <v>33.799999999999997</v>
      </c>
      <c r="F17" s="24">
        <v>22.4</v>
      </c>
      <c r="G17" s="24">
        <v>41</v>
      </c>
      <c r="H17" s="24">
        <v>46</v>
      </c>
      <c r="I17" s="24">
        <v>46</v>
      </c>
      <c r="J17" s="24">
        <v>46</v>
      </c>
      <c r="K17" s="24">
        <v>46</v>
      </c>
      <c r="L17" s="24">
        <v>46</v>
      </c>
      <c r="M17" s="24">
        <v>46</v>
      </c>
      <c r="O17" s="20" t="s">
        <v>235</v>
      </c>
    </row>
    <row r="18" spans="2:15" x14ac:dyDescent="0.2">
      <c r="B18" s="9" t="s">
        <v>236</v>
      </c>
      <c r="C18" s="9" t="s">
        <v>28</v>
      </c>
      <c r="D18" s="8"/>
      <c r="E18" s="24">
        <v>126.2</v>
      </c>
      <c r="F18" s="24">
        <v>140.4</v>
      </c>
      <c r="G18" s="24">
        <v>302.3</v>
      </c>
      <c r="H18" s="24">
        <v>356.6</v>
      </c>
      <c r="I18" s="107">
        <f>H18-'Cash Flow'!I20</f>
        <v>403.97134703082196</v>
      </c>
      <c r="J18" s="107">
        <f>I18-'Cash Flow'!J20</f>
        <v>457.33910113200693</v>
      </c>
      <c r="K18" s="107">
        <f>J18-'Cash Flow'!K20</f>
        <v>515.12501366979245</v>
      </c>
      <c r="L18" s="107">
        <f>K18-'Cash Flow'!L20</f>
        <v>577.09520358371151</v>
      </c>
      <c r="M18" s="107">
        <f>L18-'Cash Flow'!M20</f>
        <v>644.14352616689996</v>
      </c>
      <c r="O18" s="22" t="s">
        <v>237</v>
      </c>
    </row>
    <row r="19" spans="2:15" x14ac:dyDescent="0.2">
      <c r="B19" s="9" t="s">
        <v>238</v>
      </c>
      <c r="C19" s="9" t="s">
        <v>28</v>
      </c>
      <c r="D19" s="8"/>
      <c r="E19" s="24">
        <v>700.9</v>
      </c>
      <c r="F19" s="24">
        <v>812.6</v>
      </c>
      <c r="G19" s="24">
        <v>973.5</v>
      </c>
      <c r="H19" s="24">
        <v>1095.0999999999999</v>
      </c>
      <c r="I19" s="107">
        <f>I12+I15+I16+I17+I18</f>
        <v>1223.8755210000002</v>
      </c>
      <c r="J19" s="107">
        <f>J12+J15+J16+J17+J18</f>
        <v>1389.8362208200001</v>
      </c>
      <c r="K19" s="107">
        <f>K12+K15+K16+K17+K18</f>
        <v>1581.4676395631004</v>
      </c>
      <c r="L19" s="107">
        <f>L12+L15+L16+L17+L18</f>
        <v>1796.5379338417645</v>
      </c>
      <c r="M19" s="107">
        <f>M12+M15+M16+M17+M18</f>
        <v>2046.1417527236026</v>
      </c>
    </row>
    <row r="20" spans="2:15" x14ac:dyDescent="0.2">
      <c r="E20" s="105"/>
      <c r="F20" s="105"/>
      <c r="G20" s="105"/>
      <c r="H20" s="105"/>
      <c r="I20" s="105"/>
      <c r="J20" s="105"/>
      <c r="K20" s="105"/>
      <c r="L20" s="105"/>
      <c r="M20" s="105"/>
    </row>
    <row r="21" spans="2:15" ht="16" customHeight="1" thickBot="1" x14ac:dyDescent="0.25">
      <c r="B21" s="1" t="s">
        <v>239</v>
      </c>
      <c r="E21" s="105"/>
      <c r="F21" s="105"/>
      <c r="G21" s="105"/>
      <c r="H21" s="105"/>
      <c r="I21" s="105"/>
      <c r="J21" s="105"/>
      <c r="K21" s="105"/>
      <c r="L21" s="105"/>
      <c r="M21" s="105"/>
    </row>
    <row r="22" spans="2:15" x14ac:dyDescent="0.2">
      <c r="B22" s="14" t="s">
        <v>240</v>
      </c>
      <c r="C22" s="14" t="s">
        <v>28</v>
      </c>
      <c r="D22" s="97"/>
      <c r="E22" s="23">
        <v>2.8</v>
      </c>
      <c r="F22" s="23">
        <v>1</v>
      </c>
      <c r="G22" s="23">
        <v>1.3</v>
      </c>
      <c r="H22" s="23">
        <v>1.2</v>
      </c>
      <c r="I22" s="23">
        <v>1.2</v>
      </c>
      <c r="J22" s="23">
        <v>1.2</v>
      </c>
      <c r="K22" s="23">
        <v>1.2</v>
      </c>
      <c r="L22" s="23">
        <v>1.2</v>
      </c>
      <c r="M22" s="23">
        <v>1.2</v>
      </c>
      <c r="O22" s="20" t="s">
        <v>241</v>
      </c>
    </row>
    <row r="23" spans="2:15" x14ac:dyDescent="0.2">
      <c r="B23" s="9" t="s">
        <v>242</v>
      </c>
      <c r="C23" s="9" t="s">
        <v>28</v>
      </c>
      <c r="D23" s="8"/>
      <c r="E23" s="24">
        <v>42.6</v>
      </c>
      <c r="F23" s="24">
        <v>43.1</v>
      </c>
      <c r="G23" s="24">
        <v>45.9</v>
      </c>
      <c r="H23" s="24">
        <v>57.7</v>
      </c>
      <c r="I23" s="161">
        <f>H23+(1*'Cash Flow'!I14)</f>
        <v>50.353270000000002</v>
      </c>
      <c r="J23" s="161">
        <f>I23+(1*'Cash Flow'!J14)</f>
        <v>42.331138100000004</v>
      </c>
      <c r="K23" s="161">
        <f>J23+(1*'Cash Flow'!K14)</f>
        <v>33.613342243000005</v>
      </c>
      <c r="L23" s="161">
        <f>K23+(1*'Cash Flow'!L14)</f>
        <v>24.179012510290008</v>
      </c>
      <c r="M23" s="161">
        <f>L23+(1*'Cash Flow'!M14)</f>
        <v>14.00665288559871</v>
      </c>
      <c r="O23" s="20" t="s">
        <v>462</v>
      </c>
    </row>
    <row r="24" spans="2:15" x14ac:dyDescent="0.2">
      <c r="B24" s="9" t="s">
        <v>243</v>
      </c>
      <c r="C24" s="9" t="s">
        <v>28</v>
      </c>
      <c r="D24" s="8"/>
      <c r="E24" s="24">
        <v>293.7</v>
      </c>
      <c r="F24" s="24">
        <v>333.3</v>
      </c>
      <c r="G24" s="24">
        <v>371.5</v>
      </c>
      <c r="H24" s="24">
        <v>401.1</v>
      </c>
      <c r="I24" s="106">
        <f>'Income Statement'!I9*Assumptions!I49/100*0.96</f>
        <v>423.17164799999995</v>
      </c>
      <c r="J24" s="106">
        <f>'Income Statement'!J9*Assumptions!J49/100*0.96</f>
        <v>462.07479744</v>
      </c>
      <c r="K24" s="106">
        <f>'Income Statement'!K9*Assumptions!K49/100*0.96</f>
        <v>502.14504136319999</v>
      </c>
      <c r="L24" s="106">
        <f>'Income Statement'!L9*Assumptions!L49/100*0.96</f>
        <v>543.41739260409599</v>
      </c>
      <c r="M24" s="106">
        <f>'Income Statement'!M9*Assumptions!M49/100*0.96</f>
        <v>585.92791438221877</v>
      </c>
      <c r="O24" s="20" t="s">
        <v>463</v>
      </c>
    </row>
    <row r="25" spans="2:15" x14ac:dyDescent="0.2">
      <c r="B25" s="9" t="s">
        <v>244</v>
      </c>
      <c r="C25" s="9" t="s">
        <v>28</v>
      </c>
      <c r="D25" s="8"/>
      <c r="E25" s="24">
        <v>13.1</v>
      </c>
      <c r="F25" s="24">
        <v>11.9</v>
      </c>
      <c r="G25" s="24">
        <v>9.6999999999999993</v>
      </c>
      <c r="H25" s="24">
        <v>7.3</v>
      </c>
      <c r="I25" s="24">
        <v>7.4</v>
      </c>
      <c r="J25" s="24">
        <v>7.4</v>
      </c>
      <c r="K25" s="24">
        <v>7.4</v>
      </c>
      <c r="L25" s="24">
        <v>7.4</v>
      </c>
      <c r="M25" s="24">
        <v>7.4</v>
      </c>
      <c r="O25" s="20" t="s">
        <v>245</v>
      </c>
    </row>
    <row r="26" spans="2:15" x14ac:dyDescent="0.2">
      <c r="B26" s="9" t="s">
        <v>246</v>
      </c>
      <c r="C26" s="9" t="s">
        <v>28</v>
      </c>
      <c r="D26" s="8"/>
      <c r="E26" s="24">
        <v>352.2</v>
      </c>
      <c r="F26" s="24">
        <v>389.2</v>
      </c>
      <c r="G26" s="24">
        <v>428.4</v>
      </c>
      <c r="H26" s="24">
        <v>467.3</v>
      </c>
      <c r="I26" s="107">
        <f>I22+I23+I24+I25</f>
        <v>482.12491799999992</v>
      </c>
      <c r="J26" s="107">
        <f>J22+J23+J24+J25</f>
        <v>513.00593554</v>
      </c>
      <c r="K26" s="107">
        <f>K22+K23+K24+K25</f>
        <v>544.35838360619994</v>
      </c>
      <c r="L26" s="107">
        <f>L22+L23+L24+L25</f>
        <v>576.19640511438593</v>
      </c>
      <c r="M26" s="107">
        <f>M22+M23+M24+M25</f>
        <v>608.53456726781747</v>
      </c>
    </row>
    <row r="27" spans="2:15" x14ac:dyDescent="0.2">
      <c r="E27" s="105"/>
      <c r="F27" s="105"/>
      <c r="G27" s="105"/>
      <c r="H27" s="105"/>
      <c r="I27" s="105"/>
      <c r="J27" s="105"/>
      <c r="K27" s="105"/>
      <c r="L27" s="105"/>
      <c r="M27" s="105"/>
    </row>
    <row r="28" spans="2:15" ht="16" customHeight="1" thickBot="1" x14ac:dyDescent="0.25">
      <c r="B28" s="1" t="s">
        <v>247</v>
      </c>
      <c r="E28" s="105"/>
      <c r="F28" s="105"/>
      <c r="G28" s="105"/>
      <c r="H28" s="105"/>
      <c r="I28" s="105"/>
      <c r="J28" s="105"/>
      <c r="K28" s="105"/>
      <c r="L28" s="105"/>
      <c r="M28" s="105"/>
    </row>
    <row r="29" spans="2:15" x14ac:dyDescent="0.2">
      <c r="B29" s="14" t="s">
        <v>248</v>
      </c>
      <c r="C29" s="14" t="s">
        <v>28</v>
      </c>
      <c r="D29" s="97"/>
      <c r="E29" s="23">
        <v>23.5</v>
      </c>
      <c r="F29" s="23">
        <v>31.7</v>
      </c>
      <c r="G29" s="23">
        <v>24.3</v>
      </c>
      <c r="H29" s="23">
        <v>16.3</v>
      </c>
      <c r="I29" s="108">
        <f>'Income Statement'!I9*Assumptions!I49/100*0.04</f>
        <v>17.632151999999998</v>
      </c>
      <c r="J29" s="108">
        <f>'Income Statement'!J9*Assumptions!J49/100*0.04</f>
        <v>19.253116560000002</v>
      </c>
      <c r="K29" s="108">
        <f>'Income Statement'!K9*Assumptions!K49/100*0.04</f>
        <v>20.922710056800003</v>
      </c>
      <c r="L29" s="108">
        <f>'Income Statement'!L9*Assumptions!L49/100*0.04</f>
        <v>22.642391358504</v>
      </c>
      <c r="M29" s="108">
        <f>'Income Statement'!M9*Assumptions!M49/100*0.04</f>
        <v>24.413663099259114</v>
      </c>
      <c r="O29" s="20" t="s">
        <v>464</v>
      </c>
    </row>
    <row r="30" spans="2:15" x14ac:dyDescent="0.2">
      <c r="B30" s="9" t="s">
        <v>249</v>
      </c>
      <c r="C30" s="9" t="s">
        <v>28</v>
      </c>
      <c r="D30" s="8"/>
      <c r="E30" s="24">
        <v>29.1</v>
      </c>
      <c r="F30" s="24">
        <v>16.899999999999999</v>
      </c>
      <c r="G30" s="24">
        <v>37.5</v>
      </c>
      <c r="H30" s="24">
        <v>45</v>
      </c>
      <c r="I30" s="24">
        <v>45</v>
      </c>
      <c r="J30" s="24">
        <v>45</v>
      </c>
      <c r="K30" s="24">
        <v>45</v>
      </c>
      <c r="L30" s="24">
        <v>45</v>
      </c>
      <c r="M30" s="24">
        <v>45</v>
      </c>
      <c r="O30" s="20" t="s">
        <v>250</v>
      </c>
    </row>
    <row r="31" spans="2:15" x14ac:dyDescent="0.2">
      <c r="B31" s="9" t="s">
        <v>251</v>
      </c>
      <c r="C31" s="9" t="s">
        <v>28</v>
      </c>
      <c r="D31" s="8"/>
      <c r="E31" s="24">
        <v>0</v>
      </c>
      <c r="F31" s="24">
        <v>0</v>
      </c>
      <c r="G31" s="24">
        <v>0</v>
      </c>
      <c r="H31" s="24">
        <v>0</v>
      </c>
      <c r="I31" s="24">
        <v>0</v>
      </c>
      <c r="J31" s="24">
        <v>0</v>
      </c>
      <c r="K31" s="24">
        <v>0</v>
      </c>
      <c r="L31" s="24">
        <v>0</v>
      </c>
      <c r="M31" s="24">
        <v>0</v>
      </c>
      <c r="O31" s="22" t="s">
        <v>252</v>
      </c>
    </row>
    <row r="32" spans="2:15" x14ac:dyDescent="0.2">
      <c r="B32" s="9" t="s">
        <v>253</v>
      </c>
      <c r="C32" s="9" t="s">
        <v>28</v>
      </c>
      <c r="D32" s="8"/>
      <c r="E32" s="24">
        <v>7</v>
      </c>
      <c r="F32" s="24">
        <v>6.7</v>
      </c>
      <c r="G32" s="24">
        <v>6.3</v>
      </c>
      <c r="H32" s="24">
        <v>5.3</v>
      </c>
      <c r="I32" s="24">
        <v>5.3</v>
      </c>
      <c r="J32" s="24">
        <v>5.3</v>
      </c>
      <c r="K32" s="24">
        <v>5.3</v>
      </c>
      <c r="L32" s="24">
        <v>5.3</v>
      </c>
      <c r="M32" s="24">
        <v>5.3</v>
      </c>
      <c r="O32" s="20" t="s">
        <v>254</v>
      </c>
    </row>
    <row r="33" spans="2:15" x14ac:dyDescent="0.2">
      <c r="B33" s="9" t="s">
        <v>255</v>
      </c>
      <c r="C33" s="9" t="s">
        <v>28</v>
      </c>
      <c r="D33" s="8"/>
      <c r="E33" s="24">
        <v>411.8</v>
      </c>
      <c r="F33" s="24">
        <v>444.4</v>
      </c>
      <c r="G33" s="24">
        <v>496.4</v>
      </c>
      <c r="H33" s="24">
        <v>533.9</v>
      </c>
      <c r="I33" s="107">
        <f>I26+I29+I30+I31+I32</f>
        <v>550.05706999999984</v>
      </c>
      <c r="J33" s="107">
        <f>J26+J29+J30+J31+J32</f>
        <v>582.55905209999992</v>
      </c>
      <c r="K33" s="107">
        <f>K26+K29+K30+K31+K32</f>
        <v>615.58109366299993</v>
      </c>
      <c r="L33" s="107">
        <f>L26+L29+L30+L31+L32</f>
        <v>649.13879647288991</v>
      </c>
      <c r="M33" s="107">
        <f>M26+M29+M30+M31+M32</f>
        <v>683.24823036707653</v>
      </c>
    </row>
    <row r="34" spans="2:15" x14ac:dyDescent="0.2">
      <c r="B34" s="8"/>
      <c r="C34" s="8"/>
      <c r="D34" s="8"/>
      <c r="E34" s="109"/>
      <c r="F34" s="109"/>
      <c r="G34" s="109"/>
      <c r="H34" s="109"/>
      <c r="I34" s="109"/>
      <c r="J34" s="109"/>
      <c r="K34" s="109"/>
      <c r="L34" s="109"/>
      <c r="M34" s="109"/>
    </row>
    <row r="35" spans="2:15" ht="16" customHeight="1" thickBot="1" x14ac:dyDescent="0.25">
      <c r="B35" s="1" t="s">
        <v>256</v>
      </c>
      <c r="E35" s="105"/>
      <c r="F35" s="105"/>
      <c r="G35" s="105"/>
      <c r="H35" s="105"/>
      <c r="I35" s="105"/>
      <c r="J35" s="105"/>
      <c r="K35" s="105"/>
      <c r="L35" s="105"/>
      <c r="M35" s="105"/>
    </row>
    <row r="36" spans="2:15" x14ac:dyDescent="0.2">
      <c r="B36" s="14" t="s">
        <v>257</v>
      </c>
      <c r="C36" s="14" t="s">
        <v>28</v>
      </c>
      <c r="D36" s="97"/>
      <c r="E36" s="23">
        <v>512.5</v>
      </c>
      <c r="F36" s="23">
        <v>598</v>
      </c>
      <c r="G36" s="23">
        <v>664.9</v>
      </c>
      <c r="H36" s="23">
        <v>731.8</v>
      </c>
      <c r="I36" s="25">
        <f>H36+'Income Statement'!I49+'Cash Flow'!I27</f>
        <v>811.28739499999995</v>
      </c>
      <c r="J36" s="25">
        <f>I36+'Income Statement'!J49+'Cash Flow'!J27</f>
        <v>894.53084589999992</v>
      </c>
      <c r="K36" s="25">
        <f>J36+'Income Statement'!K49+'Cash Flow'!K27</f>
        <v>981.06770239849993</v>
      </c>
      <c r="L36" s="25">
        <f>K36+'Income Statement'!L49+'Cash Flow'!L27</f>
        <v>1070.4109997255998</v>
      </c>
      <c r="M36" s="25">
        <f>L36+'Income Statement'!M49+'Cash Flow'!M27</f>
        <v>1167.1345959725129</v>
      </c>
      <c r="O36" s="20" t="s">
        <v>465</v>
      </c>
    </row>
    <row r="37" spans="2:15" x14ac:dyDescent="0.2">
      <c r="B37" s="9" t="s">
        <v>258</v>
      </c>
      <c r="C37" s="9" t="s">
        <v>28</v>
      </c>
      <c r="D37" s="8"/>
      <c r="E37" s="24">
        <v>-221.4</v>
      </c>
      <c r="F37" s="24">
        <v>-228.1</v>
      </c>
      <c r="G37" s="24">
        <v>-189.2</v>
      </c>
      <c r="H37" s="24">
        <v>-166.7</v>
      </c>
      <c r="I37" s="107">
        <f>H37+'Income Statement'!I37-Assumptions!I56</f>
        <v>-133.46894399999999</v>
      </c>
      <c r="J37" s="107">
        <f>I37+'Income Statement'!J37-Assumptions!J56</f>
        <v>-83.253677179999954</v>
      </c>
      <c r="K37" s="107">
        <f>J37+'Income Statement'!K37-Assumptions!K56</f>
        <v>-11.181156498399901</v>
      </c>
      <c r="L37" s="107">
        <f>K37+'Income Statement'!L37-Assumptions!L56</f>
        <v>80.988137643274058</v>
      </c>
      <c r="M37" s="107">
        <f>L37+'Income Statement'!M37-Assumptions!M56</f>
        <v>199.75892638401302</v>
      </c>
      <c r="O37" s="22" t="s">
        <v>259</v>
      </c>
    </row>
    <row r="38" spans="2:15" x14ac:dyDescent="0.2">
      <c r="B38" s="9" t="s">
        <v>260</v>
      </c>
      <c r="C38" s="9" t="s">
        <v>28</v>
      </c>
      <c r="D38" s="8"/>
      <c r="E38" s="24">
        <v>-1.9</v>
      </c>
      <c r="F38" s="24">
        <v>-1.7</v>
      </c>
      <c r="G38" s="24">
        <v>1.4</v>
      </c>
      <c r="H38" s="24">
        <v>-4</v>
      </c>
      <c r="I38" s="24">
        <v>-4</v>
      </c>
      <c r="J38" s="24">
        <v>-4</v>
      </c>
      <c r="K38" s="24">
        <v>-4</v>
      </c>
      <c r="L38" s="24">
        <v>-4</v>
      </c>
      <c r="M38" s="24">
        <v>-4</v>
      </c>
      <c r="O38" s="20" t="s">
        <v>261</v>
      </c>
    </row>
    <row r="39" spans="2:15" x14ac:dyDescent="0.2">
      <c r="B39" s="9" t="s">
        <v>262</v>
      </c>
      <c r="C39" s="9" t="s">
        <v>28</v>
      </c>
      <c r="D39" s="8"/>
      <c r="E39" s="24">
        <v>289.10000000000002</v>
      </c>
      <c r="F39" s="24">
        <v>368.2</v>
      </c>
      <c r="G39" s="24">
        <v>477.1</v>
      </c>
      <c r="H39" s="24">
        <v>561.20000000000005</v>
      </c>
      <c r="I39" s="107">
        <f>I36+I37+I38</f>
        <v>673.81845099999998</v>
      </c>
      <c r="J39" s="107">
        <f>J36+J37+J38</f>
        <v>807.27716871999996</v>
      </c>
      <c r="K39" s="107">
        <f>K36+K37+K38</f>
        <v>965.88654590010003</v>
      </c>
      <c r="L39" s="107">
        <f>L36+L37+L38</f>
        <v>1147.3991373688739</v>
      </c>
      <c r="M39" s="107">
        <f>M36+M37+M38</f>
        <v>1362.8935223565259</v>
      </c>
    </row>
    <row r="40" spans="2:15" ht="16" customHeight="1" thickBot="1" x14ac:dyDescent="0.25">
      <c r="E40" s="105"/>
      <c r="F40" s="105"/>
      <c r="G40" s="105"/>
      <c r="H40" s="105"/>
      <c r="I40" s="105"/>
      <c r="J40" s="105"/>
      <c r="K40" s="105"/>
      <c r="L40" s="105"/>
      <c r="M40" s="105"/>
    </row>
    <row r="41" spans="2:15" x14ac:dyDescent="0.2">
      <c r="B41" s="14" t="s">
        <v>263</v>
      </c>
      <c r="C41" s="14" t="s">
        <v>28</v>
      </c>
      <c r="D41" s="97"/>
      <c r="E41" s="25">
        <f t="shared" ref="E41:M41" si="0">E33+E39</f>
        <v>700.90000000000009</v>
      </c>
      <c r="F41" s="25">
        <f t="shared" si="0"/>
        <v>812.59999999999991</v>
      </c>
      <c r="G41" s="25">
        <f t="shared" si="0"/>
        <v>973.5</v>
      </c>
      <c r="H41" s="25">
        <f t="shared" si="0"/>
        <v>1095.0999999999999</v>
      </c>
      <c r="I41" s="25">
        <f t="shared" si="0"/>
        <v>1223.8755209999999</v>
      </c>
      <c r="J41" s="25">
        <f t="shared" si="0"/>
        <v>1389.8362208199999</v>
      </c>
      <c r="K41" s="25">
        <f t="shared" si="0"/>
        <v>1581.4676395631</v>
      </c>
      <c r="L41" s="25">
        <f t="shared" si="0"/>
        <v>1796.5379338417638</v>
      </c>
      <c r="M41" s="25">
        <f t="shared" si="0"/>
        <v>2046.1417527236024</v>
      </c>
    </row>
    <row r="42" spans="2:15" x14ac:dyDescent="0.2">
      <c r="I42" s="92"/>
      <c r="J42" s="92"/>
      <c r="K42" s="92"/>
      <c r="L42" s="92"/>
      <c r="M42" s="92"/>
    </row>
    <row r="43" spans="2:15" outlineLevel="1" x14ac:dyDescent="0.2">
      <c r="B43" s="2" t="s">
        <v>264</v>
      </c>
      <c r="C43" s="7"/>
      <c r="D43" s="7"/>
      <c r="E43" s="177">
        <f t="shared" ref="E43:M43" si="1">E19-E41</f>
        <v>0</v>
      </c>
      <c r="F43" s="177">
        <f t="shared" si="1"/>
        <v>0</v>
      </c>
      <c r="G43" s="177">
        <f t="shared" si="1"/>
        <v>0</v>
      </c>
      <c r="H43" s="177">
        <f t="shared" si="1"/>
        <v>0</v>
      </c>
      <c r="I43" s="177">
        <f t="shared" si="1"/>
        <v>0</v>
      </c>
      <c r="J43" s="177">
        <f t="shared" si="1"/>
        <v>0</v>
      </c>
      <c r="K43" s="177">
        <f t="shared" si="1"/>
        <v>0</v>
      </c>
      <c r="L43" s="177">
        <f t="shared" si="1"/>
        <v>0</v>
      </c>
      <c r="M43" s="177">
        <f t="shared" si="1"/>
        <v>0</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O46"/>
  <sheetViews>
    <sheetView showGridLines="0" workbookViewId="0"/>
  </sheetViews>
  <sheetFormatPr baseColWidth="10" defaultColWidth="8.83203125" defaultRowHeight="14" x14ac:dyDescent="0.2"/>
  <cols>
    <col min="1" max="1" width="3.5" style="6" customWidth="1"/>
    <col min="2" max="2" width="35" style="6" customWidth="1"/>
    <col min="3" max="3" width="8" style="6" customWidth="1"/>
    <col min="4" max="13" width="12" style="6" customWidth="1"/>
    <col min="14" max="14" width="8.83203125" style="6" customWidth="1"/>
    <col min="15" max="15" width="50" style="7" customWidth="1"/>
    <col min="16" max="17" width="8.83203125" style="6" customWidth="1"/>
    <col min="18" max="16384" width="8.83203125" style="6"/>
  </cols>
  <sheetData>
    <row r="2" spans="2:15" ht="19" customHeight="1" x14ac:dyDescent="0.2">
      <c r="B2" s="3" t="s">
        <v>265</v>
      </c>
    </row>
    <row r="3" spans="2:15" x14ac:dyDescent="0.2">
      <c r="B3" s="2" t="s">
        <v>0</v>
      </c>
    </row>
    <row r="4" spans="2:15" x14ac:dyDescent="0.2">
      <c r="B4" s="2" t="s">
        <v>1</v>
      </c>
    </row>
    <row r="6" spans="2:15" ht="16" customHeight="1" thickBot="1" x14ac:dyDescent="0.25">
      <c r="C6" s="1" t="s">
        <v>16</v>
      </c>
      <c r="D6" s="19" t="s">
        <v>17</v>
      </c>
      <c r="E6" s="19" t="s">
        <v>18</v>
      </c>
      <c r="F6" s="19" t="s">
        <v>19</v>
      </c>
      <c r="G6" s="19" t="s">
        <v>20</v>
      </c>
      <c r="H6" s="19" t="s">
        <v>21</v>
      </c>
      <c r="I6" s="19" t="s">
        <v>22</v>
      </c>
      <c r="J6" s="19" t="s">
        <v>23</v>
      </c>
      <c r="K6" s="19" t="s">
        <v>24</v>
      </c>
      <c r="L6" s="19" t="s">
        <v>25</v>
      </c>
      <c r="M6" s="19" t="s">
        <v>26</v>
      </c>
      <c r="O6" s="21" t="s">
        <v>113</v>
      </c>
    </row>
    <row r="8" spans="2:15" ht="16" customHeight="1" thickBot="1" x14ac:dyDescent="0.25">
      <c r="B8" s="1" t="s">
        <v>266</v>
      </c>
    </row>
    <row r="9" spans="2:15" x14ac:dyDescent="0.2">
      <c r="B9" s="85" t="s">
        <v>211</v>
      </c>
      <c r="C9" s="85" t="s">
        <v>28</v>
      </c>
      <c r="D9" s="86">
        <f>'Income Statement'!D37</f>
        <v>70.983599999999939</v>
      </c>
      <c r="E9" s="86">
        <f>'Income Statement'!E37</f>
        <v>108.02959999999999</v>
      </c>
      <c r="F9" s="86">
        <f>'Income Statement'!F37</f>
        <v>151.53760000000003</v>
      </c>
      <c r="G9" s="86">
        <f>'Income Statement'!G37</f>
        <v>173.71440000000001</v>
      </c>
      <c r="H9" s="86">
        <f>'Income Statement'!H37</f>
        <v>198.18040000000008</v>
      </c>
      <c r="I9" s="86">
        <f>'Income Statement'!I37</f>
        <v>218.231056</v>
      </c>
      <c r="J9" s="86">
        <f>'Income Statement'!J37</f>
        <v>240.21526682000004</v>
      </c>
      <c r="K9" s="86">
        <f>'Income Statement'!K37</f>
        <v>267.07252068160005</v>
      </c>
      <c r="L9" s="86">
        <f>'Income Statement'!L37</f>
        <v>292.16929414167396</v>
      </c>
      <c r="M9" s="86">
        <f>'Income Statement'!M37</f>
        <v>318.77078874073896</v>
      </c>
    </row>
    <row r="10" spans="2:15" x14ac:dyDescent="0.2">
      <c r="B10" s="9" t="s">
        <v>217</v>
      </c>
      <c r="C10" s="9" t="s">
        <v>28</v>
      </c>
      <c r="D10" s="15">
        <f>'Income Statement'!D46</f>
        <v>35.9</v>
      </c>
      <c r="E10" s="15">
        <f>'Income Statement'!E46</f>
        <v>34.6</v>
      </c>
      <c r="F10" s="15">
        <f>'Income Statement'!F46</f>
        <v>27</v>
      </c>
      <c r="G10" s="15">
        <f>'Income Statement'!G46</f>
        <v>18.5</v>
      </c>
      <c r="H10" s="15">
        <f>'Income Statement'!H46</f>
        <v>14.5</v>
      </c>
      <c r="I10" s="15">
        <f>'Income Statement'!I46</f>
        <v>13.224114</v>
      </c>
      <c r="J10" s="15">
        <f>'Income Statement'!J46</f>
        <v>12.033197850000001</v>
      </c>
      <c r="K10" s="15">
        <f>'Income Statement'!K46</f>
        <v>11.333134614099999</v>
      </c>
      <c r="L10" s="15">
        <f>'Income Statement'!L46</f>
        <v>11.321195679251998</v>
      </c>
      <c r="M10" s="15">
        <f>'Income Statement'!M46</f>
        <v>11.189595587160429</v>
      </c>
      <c r="O10" s="7" t="s">
        <v>466</v>
      </c>
    </row>
    <row r="11" spans="2:15" x14ac:dyDescent="0.2">
      <c r="B11" s="9" t="s">
        <v>221</v>
      </c>
      <c r="C11" s="9" t="s">
        <v>28</v>
      </c>
      <c r="D11" s="15">
        <f>'Income Statement'!D49</f>
        <v>67.599999999999994</v>
      </c>
      <c r="E11" s="15">
        <f>'Income Statement'!E49</f>
        <v>53.4</v>
      </c>
      <c r="F11" s="15">
        <f>'Income Statement'!F49</f>
        <v>69.099999999999994</v>
      </c>
      <c r="G11" s="15">
        <f>'Income Statement'!G49</f>
        <v>77.099999999999994</v>
      </c>
      <c r="H11" s="15">
        <f>'Income Statement'!H49</f>
        <v>77</v>
      </c>
      <c r="I11" s="15">
        <f>'Income Statement'!I49</f>
        <v>84.487394999999992</v>
      </c>
      <c r="J11" s="15">
        <f>'Income Statement'!J49</f>
        <v>88.243450900000013</v>
      </c>
      <c r="K11" s="15">
        <f>'Income Statement'!K49</f>
        <v>91.536856498500001</v>
      </c>
      <c r="L11" s="15">
        <f>'Income Statement'!L49</f>
        <v>94.34329732709999</v>
      </c>
      <c r="M11" s="15">
        <f>'Income Statement'!M49</f>
        <v>101.72359624691299</v>
      </c>
      <c r="O11" s="7" t="s">
        <v>467</v>
      </c>
    </row>
    <row r="12" spans="2:15" x14ac:dyDescent="0.2">
      <c r="B12" s="9" t="s">
        <v>267</v>
      </c>
      <c r="C12" s="9" t="s">
        <v>28</v>
      </c>
      <c r="D12" s="87">
        <v>-9.1999999999999993</v>
      </c>
      <c r="E12" s="87">
        <v>-13.4</v>
      </c>
      <c r="F12" s="87">
        <v>-25</v>
      </c>
      <c r="G12" s="87">
        <v>-19.100000000000001</v>
      </c>
      <c r="H12" s="87">
        <v>-7.7</v>
      </c>
      <c r="I12" s="15">
        <f>-('Balance Sheet'!I10-'Balance Sheet'!H10)</f>
        <v>-16.190654794520555</v>
      </c>
      <c r="J12" s="15">
        <f>-('Balance Sheet'!J10-'Balance Sheet'!I10)</f>
        <v>-17.208870328767148</v>
      </c>
      <c r="K12" s="15">
        <f>-('Balance Sheet'!K10-'Balance Sheet'!J10)</f>
        <v>-17.725136438630102</v>
      </c>
      <c r="L12" s="15">
        <f>-('Balance Sheet'!L10-'Balance Sheet'!K10)</f>
        <v>-18.256890531788997</v>
      </c>
      <c r="M12" s="15">
        <f>-('Balance Sheet'!M10-'Balance Sheet'!L10)</f>
        <v>-18.804597247742691</v>
      </c>
      <c r="O12" s="2" t="s">
        <v>268</v>
      </c>
    </row>
    <row r="13" spans="2:15" x14ac:dyDescent="0.2">
      <c r="B13" s="9" t="s">
        <v>269</v>
      </c>
      <c r="C13" s="9" t="s">
        <v>28</v>
      </c>
      <c r="D13" s="87">
        <v>46.6</v>
      </c>
      <c r="E13" s="87">
        <v>25.2</v>
      </c>
      <c r="F13" s="87">
        <v>47.7</v>
      </c>
      <c r="G13" s="87">
        <v>30.8</v>
      </c>
      <c r="H13" s="87">
        <v>21.7</v>
      </c>
      <c r="I13" s="15">
        <f>('Balance Sheet'!I24+'Balance Sheet'!I29)-('Balance Sheet'!H24+'Balance Sheet'!H29)</f>
        <v>23.403799999999933</v>
      </c>
      <c r="J13" s="15">
        <f>('Balance Sheet'!J24+'Balance Sheet'!J29)-('Balance Sheet'!I24+'Balance Sheet'!I29)</f>
        <v>40.524114000000054</v>
      </c>
      <c r="K13" s="15">
        <f>('Balance Sheet'!K24+'Balance Sheet'!K29)-('Balance Sheet'!J24+'Balance Sheet'!J29)</f>
        <v>41.739837420000015</v>
      </c>
      <c r="L13" s="15">
        <f>('Balance Sheet'!L24+'Balance Sheet'!L29)-('Balance Sheet'!K24+'Balance Sheet'!K29)</f>
        <v>42.992032542599986</v>
      </c>
      <c r="M13" s="15">
        <f>('Balance Sheet'!M24+'Balance Sheet'!M29)-('Balance Sheet'!L24+'Balance Sheet'!L29)</f>
        <v>44.281793518877862</v>
      </c>
      <c r="O13" s="2" t="s">
        <v>270</v>
      </c>
    </row>
    <row r="14" spans="2:15" x14ac:dyDescent="0.2">
      <c r="B14" s="9" t="s">
        <v>271</v>
      </c>
      <c r="C14" s="9" t="s">
        <v>28</v>
      </c>
      <c r="D14" s="88">
        <f>D15-D9-D10-D11-D12-D13</f>
        <v>-11.283599999999943</v>
      </c>
      <c r="E14" s="88">
        <f>E15-E9-E10-E11-E12-E13</f>
        <v>-8.9295999999999829</v>
      </c>
      <c r="F14" s="88">
        <f>F15-F9-F10-F11-F12-F13</f>
        <v>-25.737600000000029</v>
      </c>
      <c r="G14" s="88">
        <f>G15-G9-G10-G11-G12-G13</f>
        <v>-36.914400000000015</v>
      </c>
      <c r="H14" s="88">
        <f>H15-H9-H10-H11-H12-H13</f>
        <v>5.7195999999999003</v>
      </c>
      <c r="I14" s="176">
        <f>'Income Statement'!I9*-0.01</f>
        <v>-7.34673</v>
      </c>
      <c r="J14" s="176">
        <f>'Income Statement'!J9*-0.01</f>
        <v>-8.0221319000000015</v>
      </c>
      <c r="K14" s="176">
        <f>'Income Statement'!K9*-0.01</f>
        <v>-8.7177958570000005</v>
      </c>
      <c r="L14" s="176">
        <f>'Income Statement'!L9*-0.01</f>
        <v>-9.4343297327099993</v>
      </c>
      <c r="M14" s="176">
        <f>'Income Statement'!M9*-0.01</f>
        <v>-10.172359624691298</v>
      </c>
      <c r="O14" s="2" t="s">
        <v>461</v>
      </c>
    </row>
    <row r="15" spans="2:15" x14ac:dyDescent="0.2">
      <c r="B15" s="9" t="s">
        <v>272</v>
      </c>
      <c r="C15" s="9" t="s">
        <v>28</v>
      </c>
      <c r="D15" s="87">
        <v>200.6</v>
      </c>
      <c r="E15" s="87">
        <v>198.9</v>
      </c>
      <c r="F15" s="87">
        <v>244.6</v>
      </c>
      <c r="G15" s="87">
        <v>244.1</v>
      </c>
      <c r="H15" s="87">
        <v>309.39999999999998</v>
      </c>
      <c r="I15" s="88">
        <f>I9+I10+I11+I12+I13+I14</f>
        <v>315.80898020547943</v>
      </c>
      <c r="J15" s="88">
        <f>J9+J10+J11+J12+J13+J14</f>
        <v>355.78502734123299</v>
      </c>
      <c r="K15" s="88">
        <f>K9+K10+K11+K12+K13+K14</f>
        <v>385.23941691856999</v>
      </c>
      <c r="L15" s="88">
        <f>L9+L10+L11+L12+L13+L14</f>
        <v>413.13459942612695</v>
      </c>
      <c r="M15" s="88">
        <f>M9+M10+M11+M12+M13+M14</f>
        <v>446.98881722125628</v>
      </c>
      <c r="O15" s="2" t="s">
        <v>273</v>
      </c>
    </row>
    <row r="17" spans="2:15" ht="16" customHeight="1" thickBot="1" x14ac:dyDescent="0.25">
      <c r="B17" s="1" t="s">
        <v>274</v>
      </c>
    </row>
    <row r="18" spans="2:15" x14ac:dyDescent="0.2">
      <c r="B18" s="85" t="s">
        <v>275</v>
      </c>
      <c r="C18" s="85" t="s">
        <v>28</v>
      </c>
      <c r="D18" s="89">
        <v>-24.4</v>
      </c>
      <c r="E18" s="89">
        <v>-15.4</v>
      </c>
      <c r="F18" s="89">
        <v>-8.8000000000000007</v>
      </c>
      <c r="G18" s="89">
        <v>-12.3</v>
      </c>
      <c r="H18" s="89">
        <v>-5</v>
      </c>
      <c r="I18" s="86">
        <f>-'Income Statement'!I9*Assumptions!I50/100</f>
        <v>-8.8160759999999989</v>
      </c>
      <c r="J18" s="86">
        <f>-'Income Statement'!J9*Assumptions!J50/100</f>
        <v>-9.6265582800000011</v>
      </c>
      <c r="K18" s="86">
        <f>-'Income Statement'!K9*Assumptions!K50/100</f>
        <v>-8.7177958570000005</v>
      </c>
      <c r="L18" s="86">
        <f>-'Income Statement'!L9*Assumptions!L50/100</f>
        <v>-9.4343297327099993</v>
      </c>
      <c r="M18" s="86">
        <f>-'Income Statement'!M9*Assumptions!M50/100</f>
        <v>-10.172359624691298</v>
      </c>
      <c r="O18" s="2" t="s">
        <v>276</v>
      </c>
    </row>
    <row r="19" spans="2:15" x14ac:dyDescent="0.2">
      <c r="B19" s="9" t="s">
        <v>277</v>
      </c>
      <c r="C19" s="9" t="s">
        <v>28</v>
      </c>
      <c r="D19" s="87">
        <v>-1.2</v>
      </c>
      <c r="E19" s="87">
        <v>-8.6</v>
      </c>
      <c r="F19" s="87">
        <v>0</v>
      </c>
      <c r="G19" s="87">
        <v>0</v>
      </c>
      <c r="H19" s="87">
        <v>0</v>
      </c>
      <c r="I19" s="87">
        <v>0</v>
      </c>
      <c r="J19" s="87">
        <v>0</v>
      </c>
      <c r="K19" s="87">
        <v>0</v>
      </c>
      <c r="L19" s="87">
        <v>0</v>
      </c>
      <c r="M19" s="87">
        <v>0</v>
      </c>
    </row>
    <row r="20" spans="2:15" x14ac:dyDescent="0.2">
      <c r="B20" s="9" t="s">
        <v>278</v>
      </c>
      <c r="C20" s="9" t="s">
        <v>28</v>
      </c>
      <c r="D20" s="88">
        <f>D21-D18-D19</f>
        <v>-3.9000000000000012</v>
      </c>
      <c r="E20" s="88">
        <f>E21-E18-E19</f>
        <v>169.1</v>
      </c>
      <c r="F20" s="88">
        <f>F21-F18-F19</f>
        <v>-64.400000000000006</v>
      </c>
      <c r="G20" s="88">
        <f>G21-G18-G19</f>
        <v>-59.100000000000009</v>
      </c>
      <c r="H20" s="88">
        <f>H21-H18-H19</f>
        <v>-100.9</v>
      </c>
      <c r="I20" s="88">
        <f>-I15*0.15</f>
        <v>-47.371347030821916</v>
      </c>
      <c r="J20" s="88">
        <f>-J15*0.15</f>
        <v>-53.36775410118495</v>
      </c>
      <c r="K20" s="88">
        <f>-K15*0.15</f>
        <v>-57.785912537785492</v>
      </c>
      <c r="L20" s="88">
        <f>-L15*0.15</f>
        <v>-61.970189913919043</v>
      </c>
      <c r="M20" s="88">
        <f>-M15*0.15</f>
        <v>-67.048322583188437</v>
      </c>
      <c r="O20" s="2" t="s">
        <v>468</v>
      </c>
    </row>
    <row r="21" spans="2:15" x14ac:dyDescent="0.2">
      <c r="B21" s="9" t="s">
        <v>279</v>
      </c>
      <c r="C21" s="9" t="s">
        <v>28</v>
      </c>
      <c r="D21" s="87">
        <v>-29.5</v>
      </c>
      <c r="E21" s="87">
        <v>145.1</v>
      </c>
      <c r="F21" s="87">
        <v>-73.2</v>
      </c>
      <c r="G21" s="87">
        <v>-71.400000000000006</v>
      </c>
      <c r="H21" s="87">
        <v>-105.9</v>
      </c>
      <c r="I21" s="88">
        <f>I18+I19+I20</f>
        <v>-56.187423030821918</v>
      </c>
      <c r="J21" s="88">
        <f>J18+J19+J20</f>
        <v>-62.994312381184955</v>
      </c>
      <c r="K21" s="88">
        <f>K18+K19+K20</f>
        <v>-66.503708394785491</v>
      </c>
      <c r="L21" s="88">
        <f>L18+L19+L20</f>
        <v>-71.404519646629041</v>
      </c>
      <c r="M21" s="88">
        <f>M18+M19+M20</f>
        <v>-77.220682207879733</v>
      </c>
    </row>
    <row r="23" spans="2:15" ht="16" customHeight="1" thickBot="1" x14ac:dyDescent="0.25">
      <c r="B23" s="1" t="s">
        <v>280</v>
      </c>
    </row>
    <row r="24" spans="2:15" x14ac:dyDescent="0.2">
      <c r="B24" s="85" t="s">
        <v>155</v>
      </c>
      <c r="C24" s="85" t="s">
        <v>28</v>
      </c>
      <c r="D24" s="90">
        <f>-Assumptions!D56</f>
        <v>-130</v>
      </c>
      <c r="E24" s="90">
        <f>-Assumptions!E56</f>
        <v>-317.3</v>
      </c>
      <c r="F24" s="90">
        <f>-Assumptions!F56</f>
        <v>-170.8</v>
      </c>
      <c r="G24" s="90">
        <f>-Assumptions!G56</f>
        <v>-139.9</v>
      </c>
      <c r="H24" s="90">
        <f>-Assumptions!H56</f>
        <v>-183.4</v>
      </c>
      <c r="I24" s="90">
        <f>-Assumptions!I56</f>
        <v>-185</v>
      </c>
      <c r="J24" s="90">
        <f>-Assumptions!J56</f>
        <v>-190</v>
      </c>
      <c r="K24" s="90">
        <f>-Assumptions!K56</f>
        <v>-195</v>
      </c>
      <c r="L24" s="90">
        <f>-Assumptions!L56</f>
        <v>-200</v>
      </c>
      <c r="M24" s="90">
        <f>-Assumptions!M56</f>
        <v>-200</v>
      </c>
      <c r="O24" s="7" t="s">
        <v>469</v>
      </c>
    </row>
    <row r="25" spans="2:15" x14ac:dyDescent="0.2">
      <c r="B25" s="9" t="s">
        <v>281</v>
      </c>
      <c r="C25" s="9" t="s">
        <v>28</v>
      </c>
      <c r="D25" s="16">
        <v>0</v>
      </c>
      <c r="E25" s="16">
        <v>0</v>
      </c>
      <c r="F25" s="16">
        <v>0</v>
      </c>
      <c r="G25" s="16">
        <v>0</v>
      </c>
      <c r="H25" s="16">
        <v>0</v>
      </c>
      <c r="I25" s="16">
        <v>0</v>
      </c>
      <c r="J25" s="16">
        <v>0</v>
      </c>
      <c r="K25" s="16">
        <v>0</v>
      </c>
      <c r="L25" s="16">
        <v>0</v>
      </c>
      <c r="M25" s="16">
        <v>0</v>
      </c>
      <c r="O25" s="7" t="s">
        <v>358</v>
      </c>
    </row>
    <row r="26" spans="2:15" x14ac:dyDescent="0.2">
      <c r="B26" s="9" t="s">
        <v>282</v>
      </c>
      <c r="C26" s="9" t="s">
        <v>28</v>
      </c>
      <c r="D26" s="16">
        <v>0</v>
      </c>
      <c r="E26" s="16">
        <v>0</v>
      </c>
      <c r="F26" s="16">
        <v>0</v>
      </c>
      <c r="G26" s="16">
        <v>0</v>
      </c>
      <c r="H26" s="16">
        <v>0</v>
      </c>
      <c r="I26" s="16">
        <v>0</v>
      </c>
      <c r="J26" s="16">
        <v>0</v>
      </c>
      <c r="K26" s="16">
        <v>0</v>
      </c>
      <c r="L26" s="16">
        <v>0</v>
      </c>
      <c r="M26" s="16">
        <v>0</v>
      </c>
      <c r="O26" s="7" t="s">
        <v>357</v>
      </c>
    </row>
    <row r="27" spans="2:15" x14ac:dyDescent="0.2">
      <c r="B27" s="9" t="s">
        <v>283</v>
      </c>
      <c r="C27" s="9" t="s">
        <v>28</v>
      </c>
      <c r="D27" s="16">
        <v>22.1</v>
      </c>
      <c r="E27" s="16">
        <v>11.3</v>
      </c>
      <c r="F27" s="16">
        <v>29.3</v>
      </c>
      <c r="G27" s="16">
        <v>-5.8</v>
      </c>
      <c r="H27" s="16">
        <v>-2</v>
      </c>
      <c r="I27" s="16">
        <v>-5</v>
      </c>
      <c r="J27" s="16">
        <v>-5</v>
      </c>
      <c r="K27" s="16">
        <v>-5</v>
      </c>
      <c r="L27" s="16">
        <v>-5</v>
      </c>
      <c r="M27" s="16">
        <v>-5</v>
      </c>
      <c r="O27" s="2" t="s">
        <v>284</v>
      </c>
    </row>
    <row r="28" spans="2:15" x14ac:dyDescent="0.2">
      <c r="B28" s="9" t="s">
        <v>285</v>
      </c>
      <c r="C28" s="9" t="s">
        <v>28</v>
      </c>
      <c r="D28" s="9">
        <f t="shared" ref="D28:M28" si="0">D24+D25+D26+D27</f>
        <v>-107.9</v>
      </c>
      <c r="E28" s="9">
        <f t="shared" si="0"/>
        <v>-306</v>
      </c>
      <c r="F28" s="9">
        <f t="shared" si="0"/>
        <v>-141.5</v>
      </c>
      <c r="G28" s="9">
        <f t="shared" si="0"/>
        <v>-145.70000000000002</v>
      </c>
      <c r="H28" s="9">
        <f t="shared" si="0"/>
        <v>-185.4</v>
      </c>
      <c r="I28" s="9">
        <f t="shared" si="0"/>
        <v>-190</v>
      </c>
      <c r="J28" s="9">
        <f t="shared" si="0"/>
        <v>-195</v>
      </c>
      <c r="K28" s="9">
        <f t="shared" si="0"/>
        <v>-200</v>
      </c>
      <c r="L28" s="9">
        <f t="shared" si="0"/>
        <v>-205</v>
      </c>
      <c r="M28" s="9">
        <f t="shared" si="0"/>
        <v>-205</v>
      </c>
    </row>
    <row r="30" spans="2:15" ht="16" customHeight="1" thickBot="1" x14ac:dyDescent="0.25">
      <c r="B30" s="1" t="s">
        <v>286</v>
      </c>
    </row>
    <row r="31" spans="2:15" x14ac:dyDescent="0.2">
      <c r="B31" s="85" t="s">
        <v>287</v>
      </c>
      <c r="C31" s="85" t="s">
        <v>28</v>
      </c>
      <c r="D31" s="91">
        <f t="shared" ref="D31:M31" si="1">D15+D21+D28</f>
        <v>63.199999999999989</v>
      </c>
      <c r="E31" s="91">
        <f t="shared" si="1"/>
        <v>38</v>
      </c>
      <c r="F31" s="91">
        <f t="shared" si="1"/>
        <v>29.899999999999977</v>
      </c>
      <c r="G31" s="91">
        <f t="shared" si="1"/>
        <v>26.999999999999972</v>
      </c>
      <c r="H31" s="91">
        <f t="shared" si="1"/>
        <v>18.099999999999966</v>
      </c>
      <c r="I31" s="91">
        <f t="shared" si="1"/>
        <v>69.621557174657482</v>
      </c>
      <c r="J31" s="91">
        <f t="shared" si="1"/>
        <v>97.790714960048035</v>
      </c>
      <c r="K31" s="91">
        <f t="shared" si="1"/>
        <v>118.73570852378452</v>
      </c>
      <c r="L31" s="91">
        <f t="shared" si="1"/>
        <v>136.73007977949794</v>
      </c>
      <c r="M31" s="91">
        <f t="shared" si="1"/>
        <v>164.76813501337654</v>
      </c>
    </row>
    <row r="32" spans="2:15" x14ac:dyDescent="0.2">
      <c r="B32" s="9" t="s">
        <v>288</v>
      </c>
      <c r="C32" s="9" t="s">
        <v>28</v>
      </c>
      <c r="D32" s="87">
        <v>75.3</v>
      </c>
      <c r="E32" s="87">
        <v>138.5</v>
      </c>
      <c r="F32" s="87">
        <v>176.4</v>
      </c>
      <c r="G32" s="87">
        <v>206.4</v>
      </c>
      <c r="H32" s="87">
        <v>233.4</v>
      </c>
      <c r="I32" s="88">
        <f>H33</f>
        <v>251.49999999999997</v>
      </c>
      <c r="J32" s="88">
        <f>I33</f>
        <v>321.12155717465748</v>
      </c>
      <c r="K32" s="88">
        <f>J33</f>
        <v>418.91227213470552</v>
      </c>
      <c r="L32" s="88">
        <f>K33</f>
        <v>537.64798065849004</v>
      </c>
      <c r="M32" s="88">
        <f>L33</f>
        <v>674.37806043798798</v>
      </c>
    </row>
    <row r="33" spans="2:15" x14ac:dyDescent="0.2">
      <c r="B33" s="9" t="s">
        <v>289</v>
      </c>
      <c r="C33" s="9" t="s">
        <v>28</v>
      </c>
      <c r="D33" s="88">
        <f t="shared" ref="D33:M33" si="2">D32+D31</f>
        <v>138.5</v>
      </c>
      <c r="E33" s="88">
        <f t="shared" si="2"/>
        <v>176.5</v>
      </c>
      <c r="F33" s="88">
        <f t="shared" si="2"/>
        <v>206.29999999999998</v>
      </c>
      <c r="G33" s="88">
        <f t="shared" si="2"/>
        <v>233.39999999999998</v>
      </c>
      <c r="H33" s="88">
        <f t="shared" si="2"/>
        <v>251.49999999999997</v>
      </c>
      <c r="I33" s="88">
        <f t="shared" si="2"/>
        <v>321.12155717465748</v>
      </c>
      <c r="J33" s="88">
        <f t="shared" si="2"/>
        <v>418.91227213470552</v>
      </c>
      <c r="K33" s="88">
        <f t="shared" si="2"/>
        <v>537.64798065849004</v>
      </c>
      <c r="L33" s="88">
        <f t="shared" si="2"/>
        <v>674.37806043798798</v>
      </c>
      <c r="M33" s="88">
        <f t="shared" si="2"/>
        <v>839.14619545136452</v>
      </c>
      <c r="O33" s="2" t="s">
        <v>470</v>
      </c>
    </row>
    <row r="35" spans="2:15" ht="16" customHeight="1" thickBot="1" x14ac:dyDescent="0.25">
      <c r="B35" s="1" t="s">
        <v>290</v>
      </c>
    </row>
    <row r="36" spans="2:15" x14ac:dyDescent="0.2">
      <c r="B36" s="85" t="s">
        <v>291</v>
      </c>
      <c r="C36" s="85" t="s">
        <v>28</v>
      </c>
      <c r="D36" s="91">
        <f t="shared" ref="D36:M36" si="3">D15</f>
        <v>200.6</v>
      </c>
      <c r="E36" s="91">
        <f t="shared" si="3"/>
        <v>198.9</v>
      </c>
      <c r="F36" s="91">
        <f t="shared" si="3"/>
        <v>244.6</v>
      </c>
      <c r="G36" s="91">
        <f t="shared" si="3"/>
        <v>244.1</v>
      </c>
      <c r="H36" s="91">
        <f t="shared" si="3"/>
        <v>309.39999999999998</v>
      </c>
      <c r="I36" s="91">
        <f t="shared" si="3"/>
        <v>315.80898020547943</v>
      </c>
      <c r="J36" s="91">
        <f t="shared" si="3"/>
        <v>355.78502734123299</v>
      </c>
      <c r="K36" s="91">
        <f t="shared" si="3"/>
        <v>385.23941691856999</v>
      </c>
      <c r="L36" s="91">
        <f t="shared" si="3"/>
        <v>413.13459942612695</v>
      </c>
      <c r="M36" s="91">
        <f t="shared" si="3"/>
        <v>446.98881722125628</v>
      </c>
    </row>
    <row r="37" spans="2:15" x14ac:dyDescent="0.2">
      <c r="B37" s="9" t="s">
        <v>292</v>
      </c>
      <c r="C37" s="9" t="s">
        <v>28</v>
      </c>
      <c r="D37" s="88">
        <f t="shared" ref="D37:M37" si="4">D18</f>
        <v>-24.4</v>
      </c>
      <c r="E37" s="88">
        <f t="shared" si="4"/>
        <v>-15.4</v>
      </c>
      <c r="F37" s="88">
        <f t="shared" si="4"/>
        <v>-8.8000000000000007</v>
      </c>
      <c r="G37" s="88">
        <f t="shared" si="4"/>
        <v>-12.3</v>
      </c>
      <c r="H37" s="88">
        <f t="shared" si="4"/>
        <v>-5</v>
      </c>
      <c r="I37" s="88">
        <f t="shared" si="4"/>
        <v>-8.8160759999999989</v>
      </c>
      <c r="J37" s="88">
        <f t="shared" si="4"/>
        <v>-9.6265582800000011</v>
      </c>
      <c r="K37" s="88">
        <f t="shared" si="4"/>
        <v>-8.7177958570000005</v>
      </c>
      <c r="L37" s="88">
        <f t="shared" si="4"/>
        <v>-9.4343297327099993</v>
      </c>
      <c r="M37" s="88">
        <f t="shared" si="4"/>
        <v>-10.172359624691298</v>
      </c>
    </row>
    <row r="38" spans="2:15" x14ac:dyDescent="0.2">
      <c r="B38" s="9" t="s">
        <v>293</v>
      </c>
      <c r="C38" s="9" t="s">
        <v>28</v>
      </c>
      <c r="D38" s="88">
        <f t="shared" ref="D38:M38" si="5">D36+D37</f>
        <v>176.2</v>
      </c>
      <c r="E38" s="88">
        <f t="shared" si="5"/>
        <v>183.5</v>
      </c>
      <c r="F38" s="88">
        <f t="shared" si="5"/>
        <v>235.79999999999998</v>
      </c>
      <c r="G38" s="88">
        <f t="shared" si="5"/>
        <v>231.79999999999998</v>
      </c>
      <c r="H38" s="88">
        <f t="shared" si="5"/>
        <v>304.39999999999998</v>
      </c>
      <c r="I38" s="88">
        <f t="shared" si="5"/>
        <v>306.99290420547942</v>
      </c>
      <c r="J38" s="88">
        <f t="shared" si="5"/>
        <v>346.15846906123301</v>
      </c>
      <c r="K38" s="88">
        <f t="shared" si="5"/>
        <v>376.52162106156999</v>
      </c>
      <c r="L38" s="88">
        <f t="shared" si="5"/>
        <v>403.70026969341694</v>
      </c>
      <c r="M38" s="88">
        <f t="shared" si="5"/>
        <v>436.81645759656499</v>
      </c>
    </row>
    <row r="39" spans="2:15" x14ac:dyDescent="0.2">
      <c r="B39" s="9" t="s">
        <v>294</v>
      </c>
      <c r="C39" s="9" t="s">
        <v>4</v>
      </c>
      <c r="D39" s="15">
        <f>D38/'Income Statement'!D9*100</f>
        <v>42.850194552529182</v>
      </c>
      <c r="E39" s="15">
        <f>E38/'Income Statement'!E9*100</f>
        <v>37.47192158464366</v>
      </c>
      <c r="F39" s="15">
        <f>F38/'Income Statement'!F9*100</f>
        <v>42.524797114517582</v>
      </c>
      <c r="G39" s="15">
        <f>G38/'Income Statement'!G9*100</f>
        <v>38.150098749177083</v>
      </c>
      <c r="H39" s="15">
        <f>H38/'Income Statement'!H9*100</f>
        <v>45.493947093110144</v>
      </c>
      <c r="I39" s="15">
        <f>I38/'Income Statement'!I9*100</f>
        <v>41.786332722922907</v>
      </c>
      <c r="J39" s="15">
        <f>J38/'Income Statement'!J9*100</f>
        <v>43.150433497762982</v>
      </c>
      <c r="K39" s="15">
        <f>K38/'Income Statement'!K9*100</f>
        <v>43.190002064482847</v>
      </c>
      <c r="L39" s="15">
        <f>L38/'Income Statement'!L9*100</f>
        <v>42.790561823776166</v>
      </c>
      <c r="M39" s="15">
        <f>M38/'Income Statement'!M9*100</f>
        <v>42.941507547205013</v>
      </c>
    </row>
    <row r="40" spans="2:15" x14ac:dyDescent="0.2">
      <c r="B40" s="9" t="s">
        <v>295</v>
      </c>
      <c r="C40" s="9" t="s">
        <v>54</v>
      </c>
      <c r="D40" s="15">
        <f>D38/Assumptions!D57</f>
        <v>4.3940149625935154</v>
      </c>
      <c r="E40" s="15">
        <f>E38/Assumptions!E57</f>
        <v>4.6692111959287539</v>
      </c>
      <c r="F40" s="15">
        <f>F38/Assumptions!F57</f>
        <v>6.2712765957446805</v>
      </c>
      <c r="G40" s="15">
        <f>G38/Assumptions!G57</f>
        <v>6.1978609625668444</v>
      </c>
      <c r="H40" s="15">
        <f>H38/Assumptions!H57</f>
        <v>8.3397260273972602</v>
      </c>
      <c r="I40" s="15">
        <f>I38/Assumptions!I57</f>
        <v>8.6476874424078716</v>
      </c>
      <c r="J40" s="15">
        <f>J38/Assumptions!J57</f>
        <v>9.9470824442883057</v>
      </c>
      <c r="K40" s="15">
        <f>K38/Assumptions!K57</f>
        <v>11.041689767201465</v>
      </c>
      <c r="L40" s="15">
        <f>L38/Assumptions!L57</f>
        <v>12.050754319206476</v>
      </c>
      <c r="M40" s="15">
        <f>M38/Assumptions!M57</f>
        <v>13.277095975579483</v>
      </c>
      <c r="O40" s="7" t="s">
        <v>471</v>
      </c>
    </row>
    <row r="41" spans="2:15" x14ac:dyDescent="0.2">
      <c r="D41" s="92"/>
      <c r="E41" s="92"/>
      <c r="F41" s="92"/>
      <c r="G41" s="92"/>
      <c r="H41" s="92"/>
      <c r="I41" s="92"/>
      <c r="J41" s="92"/>
      <c r="K41" s="92"/>
      <c r="L41" s="92"/>
      <c r="M41" s="92"/>
    </row>
    <row r="42" spans="2:15" x14ac:dyDescent="0.2">
      <c r="B42" s="93" t="s">
        <v>296</v>
      </c>
      <c r="C42" s="93" t="s">
        <v>28</v>
      </c>
      <c r="D42" s="94">
        <f t="shared" ref="D42:M42" si="6">D38-D11</f>
        <v>108.6</v>
      </c>
      <c r="E42" s="94">
        <f t="shared" si="6"/>
        <v>130.1</v>
      </c>
      <c r="F42" s="94">
        <f t="shared" si="6"/>
        <v>166.7</v>
      </c>
      <c r="G42" s="94">
        <f t="shared" si="6"/>
        <v>154.69999999999999</v>
      </c>
      <c r="H42" s="94">
        <f t="shared" si="6"/>
        <v>227.39999999999998</v>
      </c>
      <c r="I42" s="94">
        <f t="shared" si="6"/>
        <v>222.50550920547943</v>
      </c>
      <c r="J42" s="94">
        <f t="shared" si="6"/>
        <v>257.91501816123298</v>
      </c>
      <c r="K42" s="94">
        <f t="shared" si="6"/>
        <v>284.98476456306997</v>
      </c>
      <c r="L42" s="94">
        <f t="shared" si="6"/>
        <v>309.35697236631694</v>
      </c>
      <c r="M42" s="94">
        <f t="shared" si="6"/>
        <v>335.09286134965203</v>
      </c>
      <c r="O42" s="2" t="s">
        <v>297</v>
      </c>
    </row>
    <row r="43" spans="2:15" x14ac:dyDescent="0.2">
      <c r="B43" s="95" t="s">
        <v>298</v>
      </c>
      <c r="C43" s="95" t="s">
        <v>4</v>
      </c>
      <c r="D43" s="96">
        <f>D42/'Income Statement'!D9*100</f>
        <v>26.410505836575876</v>
      </c>
      <c r="E43" s="96">
        <f>E42/'Income Statement'!E9*100</f>
        <v>26.567286093526647</v>
      </c>
      <c r="F43" s="96">
        <f>F42/'Income Statement'!F9*100</f>
        <v>30.063119927862935</v>
      </c>
      <c r="G43" s="96">
        <f>G42/'Income Statement'!G9*100</f>
        <v>25.460829493087555</v>
      </c>
      <c r="H43" s="96">
        <f>H42/'Income Statement'!H9*100</f>
        <v>33.985951277835895</v>
      </c>
      <c r="I43" s="96">
        <f>I42/'Income Statement'!I9*100</f>
        <v>30.286332722922911</v>
      </c>
      <c r="J43" s="96">
        <f>J42/'Income Statement'!J9*100</f>
        <v>32.150433497762975</v>
      </c>
      <c r="K43" s="96">
        <f>K42/'Income Statement'!K9*100</f>
        <v>32.69000206448284</v>
      </c>
      <c r="L43" s="96">
        <f>L42/'Income Statement'!L9*100</f>
        <v>32.790561823776173</v>
      </c>
      <c r="M43" s="96">
        <f>M42/'Income Statement'!M9*100</f>
        <v>32.941507547205021</v>
      </c>
    </row>
    <row r="46" spans="2:15" x14ac:dyDescent="0.2">
      <c r="B46" s="2"/>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O84"/>
  <sheetViews>
    <sheetView showGridLines="0" workbookViewId="0"/>
  </sheetViews>
  <sheetFormatPr baseColWidth="10" defaultColWidth="8.83203125" defaultRowHeight="14" outlineLevelRow="1" x14ac:dyDescent="0.2"/>
  <cols>
    <col min="1" max="1" width="2.33203125" style="6" customWidth="1"/>
    <col min="2" max="2" width="35" style="6" customWidth="1"/>
    <col min="3" max="13" width="10.83203125" style="6" customWidth="1"/>
    <col min="14" max="14" width="8.83203125" style="6" customWidth="1"/>
    <col min="15" max="15" width="50" style="6" customWidth="1"/>
    <col min="16" max="17" width="8.83203125" style="6" customWidth="1"/>
    <col min="18" max="16384" width="8.83203125" style="6"/>
  </cols>
  <sheetData>
    <row r="2" spans="2:13" ht="19" customHeight="1" x14ac:dyDescent="0.2">
      <c r="B2" s="45" t="s">
        <v>364</v>
      </c>
    </row>
    <row r="3" spans="2:13" x14ac:dyDescent="0.2">
      <c r="B3" s="5" t="s">
        <v>0</v>
      </c>
    </row>
    <row r="4" spans="2:13" x14ac:dyDescent="0.2">
      <c r="B4" s="5" t="s">
        <v>1</v>
      </c>
    </row>
    <row r="5" spans="2:13" x14ac:dyDescent="0.2">
      <c r="B5" s="5"/>
    </row>
    <row r="6" spans="2:13" x14ac:dyDescent="0.2">
      <c r="B6" s="5"/>
    </row>
    <row r="7" spans="2:13" x14ac:dyDescent="0.2">
      <c r="B7" s="5"/>
    </row>
    <row r="8" spans="2:13" x14ac:dyDescent="0.2">
      <c r="B8" s="5"/>
    </row>
    <row r="10" spans="2:13" ht="16" customHeight="1" thickBot="1" x14ac:dyDescent="0.25">
      <c r="B10" s="4" t="s">
        <v>2</v>
      </c>
    </row>
    <row r="11" spans="2:13" x14ac:dyDescent="0.2">
      <c r="B11" s="11" t="s">
        <v>3</v>
      </c>
      <c r="C11" s="47" t="s">
        <v>4</v>
      </c>
      <c r="D11" s="117">
        <f>Assumptions!D60</f>
        <v>4.3099999999999996</v>
      </c>
      <c r="E11" s="97"/>
      <c r="F11" s="97"/>
      <c r="G11" s="97"/>
      <c r="H11" s="97"/>
      <c r="I11" s="97"/>
      <c r="J11" s="97"/>
      <c r="K11" s="97"/>
      <c r="L11" s="97"/>
      <c r="M11" s="97"/>
    </row>
    <row r="12" spans="2:13" x14ac:dyDescent="0.2">
      <c r="B12" s="10" t="s">
        <v>5</v>
      </c>
      <c r="C12" s="52" t="s">
        <v>4</v>
      </c>
      <c r="D12" s="118">
        <f>Assumptions!D61</f>
        <v>5.5</v>
      </c>
      <c r="E12" s="8"/>
      <c r="F12" s="8"/>
      <c r="G12" s="8"/>
      <c r="H12" s="8"/>
      <c r="I12" s="8"/>
      <c r="J12" s="8"/>
      <c r="K12" s="8"/>
      <c r="L12" s="8"/>
      <c r="M12" s="8"/>
    </row>
    <row r="13" spans="2:13" x14ac:dyDescent="0.2">
      <c r="B13" s="10" t="s">
        <v>6</v>
      </c>
      <c r="C13" s="52" t="s">
        <v>7</v>
      </c>
      <c r="D13" s="118">
        <f>Assumptions!D62</f>
        <v>0.61</v>
      </c>
      <c r="E13" s="8"/>
      <c r="F13" s="8"/>
      <c r="G13" s="8"/>
      <c r="H13" s="8"/>
      <c r="I13" s="8"/>
      <c r="J13" s="8"/>
      <c r="K13" s="8"/>
      <c r="L13" s="8"/>
      <c r="M13" s="8"/>
    </row>
    <row r="14" spans="2:13" x14ac:dyDescent="0.2">
      <c r="B14" s="10" t="s">
        <v>8</v>
      </c>
      <c r="C14" s="52" t="s">
        <v>4</v>
      </c>
      <c r="D14" s="111">
        <f>D11+D13*D12</f>
        <v>7.6649999999999991</v>
      </c>
      <c r="E14" s="8"/>
      <c r="F14" s="8"/>
      <c r="G14" s="8"/>
      <c r="H14" s="8"/>
      <c r="I14" s="8"/>
      <c r="J14" s="8"/>
      <c r="K14" s="8"/>
      <c r="L14" s="8"/>
      <c r="M14" s="8"/>
    </row>
    <row r="15" spans="2:13" x14ac:dyDescent="0.2">
      <c r="B15" s="10" t="s">
        <v>9</v>
      </c>
      <c r="C15" s="52" t="s">
        <v>4</v>
      </c>
      <c r="D15" s="118">
        <f>Assumptions!D64</f>
        <v>0</v>
      </c>
      <c r="E15" s="8"/>
      <c r="F15" s="8"/>
      <c r="G15" s="8"/>
      <c r="H15" s="8"/>
      <c r="I15" s="8"/>
      <c r="J15" s="8"/>
      <c r="K15" s="8"/>
      <c r="L15" s="8"/>
      <c r="M15" s="8"/>
    </row>
    <row r="16" spans="2:13" x14ac:dyDescent="0.2">
      <c r="B16" s="10" t="s">
        <v>10</v>
      </c>
      <c r="C16" s="52" t="s">
        <v>4</v>
      </c>
      <c r="D16" s="98">
        <f>Assumptions!I44</f>
        <v>20</v>
      </c>
      <c r="E16" s="8"/>
      <c r="F16" s="8"/>
      <c r="G16" s="8"/>
      <c r="H16" s="8"/>
      <c r="I16" s="8"/>
      <c r="J16" s="8"/>
      <c r="K16" s="8"/>
      <c r="L16" s="8"/>
      <c r="M16" s="8"/>
    </row>
    <row r="17" spans="2:15" x14ac:dyDescent="0.2">
      <c r="B17" s="10" t="s">
        <v>11</v>
      </c>
      <c r="C17" s="52" t="s">
        <v>4</v>
      </c>
      <c r="D17" s="10">
        <f>D15*(1-D16/100)</f>
        <v>0</v>
      </c>
      <c r="E17" s="8"/>
      <c r="F17" s="8"/>
      <c r="G17" s="8"/>
      <c r="H17" s="8"/>
      <c r="I17" s="8"/>
      <c r="J17" s="8"/>
      <c r="K17" s="8"/>
      <c r="L17" s="8"/>
      <c r="M17" s="8"/>
    </row>
    <row r="18" spans="2:15" x14ac:dyDescent="0.2">
      <c r="B18" s="10" t="s">
        <v>12</v>
      </c>
      <c r="C18" s="52" t="s">
        <v>4</v>
      </c>
      <c r="D18" s="118">
        <f>Assumptions!D65</f>
        <v>0</v>
      </c>
      <c r="E18" s="8"/>
      <c r="F18" s="8"/>
      <c r="G18" s="8"/>
      <c r="H18" s="8"/>
      <c r="I18" s="8"/>
      <c r="J18" s="8"/>
      <c r="K18" s="8"/>
      <c r="L18" s="8"/>
      <c r="M18" s="8"/>
    </row>
    <row r="19" spans="2:15" x14ac:dyDescent="0.2">
      <c r="B19" s="10" t="s">
        <v>13</v>
      </c>
      <c r="C19" s="52" t="s">
        <v>4</v>
      </c>
      <c r="D19" s="10">
        <f>100-D18</f>
        <v>100</v>
      </c>
      <c r="E19" s="8"/>
      <c r="F19" s="8"/>
      <c r="G19" s="8"/>
      <c r="H19" s="8"/>
      <c r="I19" s="8"/>
      <c r="J19" s="8"/>
      <c r="K19" s="8"/>
      <c r="L19" s="8"/>
      <c r="M19" s="8"/>
    </row>
    <row r="20" spans="2:15" x14ac:dyDescent="0.2">
      <c r="B20" s="10" t="s">
        <v>14</v>
      </c>
      <c r="C20" s="52" t="s">
        <v>4</v>
      </c>
      <c r="D20" s="123">
        <f>D14*D19/100+D17*D18/100</f>
        <v>7.6649999999999991</v>
      </c>
      <c r="E20" s="8"/>
      <c r="F20" s="8"/>
      <c r="G20" s="8"/>
      <c r="H20" s="8"/>
      <c r="I20" s="8"/>
      <c r="J20" s="8"/>
      <c r="K20" s="8"/>
      <c r="L20" s="8"/>
      <c r="M20" s="8"/>
      <c r="O20" s="5"/>
    </row>
    <row r="21" spans="2:15" x14ac:dyDescent="0.2">
      <c r="C21" s="115"/>
    </row>
    <row r="22" spans="2:15" ht="16" customHeight="1" thickBot="1" x14ac:dyDescent="0.25">
      <c r="B22" s="4" t="s">
        <v>15</v>
      </c>
      <c r="C22" s="1" t="s">
        <v>16</v>
      </c>
      <c r="D22" s="19" t="s">
        <v>17</v>
      </c>
      <c r="E22" s="19" t="s">
        <v>18</v>
      </c>
      <c r="F22" s="19" t="s">
        <v>19</v>
      </c>
      <c r="G22" s="19" t="s">
        <v>20</v>
      </c>
      <c r="H22" s="19" t="s">
        <v>21</v>
      </c>
      <c r="I22" s="19" t="s">
        <v>22</v>
      </c>
      <c r="J22" s="19" t="s">
        <v>23</v>
      </c>
      <c r="K22" s="19" t="s">
        <v>24</v>
      </c>
      <c r="L22" s="19" t="s">
        <v>25</v>
      </c>
      <c r="M22" s="19" t="s">
        <v>26</v>
      </c>
      <c r="O22" s="21" t="s">
        <v>113</v>
      </c>
    </row>
    <row r="23" spans="2:15" x14ac:dyDescent="0.2">
      <c r="B23" s="11" t="s">
        <v>27</v>
      </c>
      <c r="C23" s="11" t="s">
        <v>28</v>
      </c>
      <c r="D23" s="113"/>
      <c r="E23" s="113"/>
      <c r="F23" s="113"/>
      <c r="G23" s="113"/>
      <c r="H23" s="113"/>
      <c r="I23" s="12">
        <f>'Cash Flow'!I42</f>
        <v>222.50550920547943</v>
      </c>
      <c r="J23" s="12">
        <f>'Cash Flow'!J42</f>
        <v>257.91501816123298</v>
      </c>
      <c r="K23" s="12">
        <f>'Cash Flow'!K42</f>
        <v>284.98476456306997</v>
      </c>
      <c r="L23" s="12">
        <f>'Cash Flow'!L42</f>
        <v>309.35697236631694</v>
      </c>
      <c r="M23" s="12">
        <f>'Cash Flow'!M42</f>
        <v>335.09286134965203</v>
      </c>
      <c r="O23" s="7" t="s">
        <v>472</v>
      </c>
    </row>
    <row r="24" spans="2:15" x14ac:dyDescent="0.2">
      <c r="B24" s="10" t="s">
        <v>29</v>
      </c>
      <c r="C24" s="10" t="s">
        <v>30</v>
      </c>
      <c r="D24" s="112"/>
      <c r="E24" s="112"/>
      <c r="F24" s="112"/>
      <c r="G24" s="112"/>
      <c r="H24" s="112"/>
      <c r="I24" s="13">
        <v>1</v>
      </c>
      <c r="J24" s="13">
        <v>2</v>
      </c>
      <c r="K24" s="13">
        <v>3</v>
      </c>
      <c r="L24" s="13">
        <v>4</v>
      </c>
      <c r="M24" s="13">
        <v>5</v>
      </c>
    </row>
    <row r="25" spans="2:15" x14ac:dyDescent="0.2">
      <c r="B25" s="10" t="s">
        <v>31</v>
      </c>
      <c r="C25" s="10" t="s">
        <v>7</v>
      </c>
      <c r="D25" s="112"/>
      <c r="E25" s="112"/>
      <c r="F25" s="112"/>
      <c r="G25" s="112"/>
      <c r="H25" s="112"/>
      <c r="I25" s="111">
        <f>1/(1+$D$20/100)^I24</f>
        <v>0.92880694747596726</v>
      </c>
      <c r="J25" s="111">
        <f>1/(1+$D$20/100)^J24</f>
        <v>0.8626823456796241</v>
      </c>
      <c r="K25" s="111">
        <f>1/(1+$D$20/100)^K24</f>
        <v>0.80126535613209882</v>
      </c>
      <c r="L25" s="111">
        <f>1/(1+$D$20/100)^L24</f>
        <v>0.74422082954729851</v>
      </c>
      <c r="M25" s="111">
        <f>1/(1+$D$20/100)^M24</f>
        <v>0.69123747693985849</v>
      </c>
    </row>
    <row r="26" spans="2:15" x14ac:dyDescent="0.2">
      <c r="B26" s="10" t="s">
        <v>32</v>
      </c>
      <c r="C26" s="10" t="s">
        <v>28</v>
      </c>
      <c r="D26" s="112"/>
      <c r="E26" s="112"/>
      <c r="F26" s="112"/>
      <c r="G26" s="112"/>
      <c r="H26" s="112"/>
      <c r="I26" s="111">
        <f>I23*I25</f>
        <v>206.66466280172708</v>
      </c>
      <c r="J26" s="111">
        <f>J23*J25</f>
        <v>222.49873285333533</v>
      </c>
      <c r="K26" s="111">
        <f>K23*K25</f>
        <v>228.3484188698506</v>
      </c>
      <c r="L26" s="111">
        <f>L23*L25</f>
        <v>230.22990260070108</v>
      </c>
      <c r="M26" s="111">
        <f>M23*M25</f>
        <v>231.62874401989129</v>
      </c>
    </row>
    <row r="28" spans="2:15" ht="15" thickBot="1" x14ac:dyDescent="0.25">
      <c r="B28" s="4" t="s">
        <v>33</v>
      </c>
    </row>
    <row r="29" spans="2:15" x14ac:dyDescent="0.2">
      <c r="B29" s="144" t="s">
        <v>34</v>
      </c>
      <c r="C29" s="97"/>
      <c r="D29" s="97"/>
    </row>
    <row r="30" spans="2:15" x14ac:dyDescent="0.2">
      <c r="B30" s="10" t="s">
        <v>35</v>
      </c>
      <c r="C30" s="10" t="s">
        <v>4</v>
      </c>
      <c r="D30" s="138">
        <f>Assumptions!D67</f>
        <v>3</v>
      </c>
    </row>
    <row r="31" spans="2:15" x14ac:dyDescent="0.2">
      <c r="B31" s="10" t="s">
        <v>36</v>
      </c>
      <c r="C31" s="120" t="s">
        <v>28</v>
      </c>
      <c r="D31" s="139">
        <f>M23</f>
        <v>335.09286134965203</v>
      </c>
    </row>
    <row r="32" spans="2:15" x14ac:dyDescent="0.2">
      <c r="B32" s="10" t="s">
        <v>37</v>
      </c>
      <c r="C32" s="10" t="s">
        <v>28</v>
      </c>
      <c r="D32" s="139">
        <f>D31*(1+D30/100)/(D20/100-D30/100)</f>
        <v>7398.6205185453719</v>
      </c>
      <c r="O32" s="5" t="s">
        <v>475</v>
      </c>
    </row>
    <row r="33" spans="2:15" x14ac:dyDescent="0.2">
      <c r="B33" s="10" t="s">
        <v>38</v>
      </c>
      <c r="C33" s="10" t="s">
        <v>28</v>
      </c>
      <c r="D33" s="139">
        <f>D32*M25</f>
        <v>5114.2037800747703</v>
      </c>
      <c r="O33" s="100"/>
    </row>
    <row r="34" spans="2:15" x14ac:dyDescent="0.2">
      <c r="D34" s="105"/>
    </row>
    <row r="35" spans="2:15" x14ac:dyDescent="0.2">
      <c r="B35" s="99" t="s">
        <v>39</v>
      </c>
      <c r="D35" s="105"/>
    </row>
    <row r="36" spans="2:15" x14ac:dyDescent="0.2">
      <c r="B36" s="10" t="s">
        <v>40</v>
      </c>
      <c r="C36" s="10" t="s">
        <v>28</v>
      </c>
      <c r="D36" s="140">
        <f>'Income Statement'!M47</f>
        <v>392.65308151308415</v>
      </c>
    </row>
    <row r="37" spans="2:15" x14ac:dyDescent="0.2">
      <c r="B37" s="10" t="s">
        <v>41</v>
      </c>
      <c r="C37" s="10" t="s">
        <v>7</v>
      </c>
      <c r="D37" s="124">
        <f>INDEX(Assumptions!$E$17:$G$17,MATCH(Assumptions!$H$17,Assumptions!$E$9:$G$9,0))</f>
        <v>20</v>
      </c>
    </row>
    <row r="38" spans="2:15" x14ac:dyDescent="0.2">
      <c r="B38" s="10" t="s">
        <v>37</v>
      </c>
      <c r="C38" s="120" t="s">
        <v>28</v>
      </c>
      <c r="D38" s="139">
        <f>D36*D37</f>
        <v>7853.0616302616827</v>
      </c>
      <c r="O38" s="100"/>
    </row>
    <row r="39" spans="2:15" x14ac:dyDescent="0.2">
      <c r="B39" s="10" t="s">
        <v>38</v>
      </c>
      <c r="C39" s="10" t="s">
        <v>28</v>
      </c>
      <c r="D39" s="139">
        <f>D38*M25</f>
        <v>5428.3305075552971</v>
      </c>
      <c r="O39" s="100"/>
    </row>
    <row r="40" spans="2:15" x14ac:dyDescent="0.2">
      <c r="D40" s="105"/>
    </row>
    <row r="41" spans="2:15" ht="15" thickBot="1" x14ac:dyDescent="0.25">
      <c r="B41" s="4" t="s">
        <v>42</v>
      </c>
      <c r="D41" s="105"/>
    </row>
    <row r="42" spans="2:15" x14ac:dyDescent="0.2">
      <c r="B42" s="11" t="s">
        <v>43</v>
      </c>
      <c r="C42" s="11" t="s">
        <v>28</v>
      </c>
      <c r="D42" s="143">
        <f>SUM(I26:M26)</f>
        <v>1119.3704611455053</v>
      </c>
    </row>
    <row r="43" spans="2:15" x14ac:dyDescent="0.2">
      <c r="B43" s="10" t="s">
        <v>44</v>
      </c>
      <c r="C43" s="10" t="s">
        <v>28</v>
      </c>
      <c r="D43" s="139">
        <f>D33</f>
        <v>5114.2037800747703</v>
      </c>
      <c r="O43" s="100"/>
    </row>
    <row r="44" spans="2:15" x14ac:dyDescent="0.2">
      <c r="B44" s="10" t="s">
        <v>45</v>
      </c>
      <c r="C44" s="10" t="s">
        <v>28</v>
      </c>
      <c r="D44" s="139">
        <f>D42+D43</f>
        <v>6233.5742412202753</v>
      </c>
    </row>
    <row r="45" spans="2:15" x14ac:dyDescent="0.2">
      <c r="B45" s="10" t="s">
        <v>46</v>
      </c>
      <c r="C45" s="10" t="s">
        <v>28</v>
      </c>
      <c r="D45" s="139">
        <f>D39</f>
        <v>5428.3305075552971</v>
      </c>
      <c r="O45" s="100"/>
    </row>
    <row r="46" spans="2:15" x14ac:dyDescent="0.2">
      <c r="B46" s="10" t="s">
        <v>47</v>
      </c>
      <c r="C46" s="10" t="s">
        <v>28</v>
      </c>
      <c r="D46" s="139">
        <f>D42+D45</f>
        <v>6547.7009687008022</v>
      </c>
    </row>
    <row r="47" spans="2:15" x14ac:dyDescent="0.2">
      <c r="D47" s="105"/>
    </row>
    <row r="48" spans="2:15" x14ac:dyDescent="0.2">
      <c r="B48" s="10" t="s">
        <v>48</v>
      </c>
      <c r="C48" s="10" t="s">
        <v>28</v>
      </c>
      <c r="D48" s="141">
        <v>-698</v>
      </c>
      <c r="O48" s="5" t="s">
        <v>474</v>
      </c>
    </row>
    <row r="49" spans="2:15" x14ac:dyDescent="0.2">
      <c r="B49" s="10" t="s">
        <v>49</v>
      </c>
      <c r="C49" s="10" t="s">
        <v>28</v>
      </c>
      <c r="D49" s="139">
        <f>D44-D48</f>
        <v>6931.5742412202753</v>
      </c>
    </row>
    <row r="50" spans="2:15" x14ac:dyDescent="0.2">
      <c r="B50" s="10" t="s">
        <v>50</v>
      </c>
      <c r="C50" s="10" t="s">
        <v>28</v>
      </c>
      <c r="D50" s="139">
        <f>D46-D48</f>
        <v>7245.7009687008022</v>
      </c>
    </row>
    <row r="51" spans="2:15" x14ac:dyDescent="0.2">
      <c r="B51" s="10" t="s">
        <v>51</v>
      </c>
      <c r="C51" s="10" t="s">
        <v>52</v>
      </c>
      <c r="D51" s="140">
        <f>Assumptions!H57</f>
        <v>36.5</v>
      </c>
    </row>
    <row r="52" spans="2:15" x14ac:dyDescent="0.2">
      <c r="C52" s="115"/>
      <c r="D52" s="105"/>
    </row>
    <row r="53" spans="2:15" ht="16" customHeight="1" x14ac:dyDescent="0.2">
      <c r="B53" s="10" t="s">
        <v>53</v>
      </c>
      <c r="C53" s="10" t="s">
        <v>54</v>
      </c>
      <c r="D53" s="142">
        <f>D49/D51</f>
        <v>189.90614359507603</v>
      </c>
      <c r="O53" s="100"/>
    </row>
    <row r="54" spans="2:15" ht="16" customHeight="1" x14ac:dyDescent="0.2">
      <c r="B54" s="10" t="s">
        <v>55</v>
      </c>
      <c r="C54" s="10" t="s">
        <v>54</v>
      </c>
      <c r="D54" s="142">
        <f>D50/D51</f>
        <v>198.51235530687129</v>
      </c>
    </row>
    <row r="55" spans="2:15" x14ac:dyDescent="0.2">
      <c r="B55" s="10" t="s">
        <v>56</v>
      </c>
      <c r="C55" s="10" t="s">
        <v>54</v>
      </c>
      <c r="D55" s="141">
        <v>80.52</v>
      </c>
    </row>
    <row r="56" spans="2:15" x14ac:dyDescent="0.2">
      <c r="B56" s="10" t="s">
        <v>57</v>
      </c>
      <c r="C56" s="10" t="s">
        <v>4</v>
      </c>
      <c r="D56" s="139">
        <f>(D53/D55-1)*100</f>
        <v>135.84965672513167</v>
      </c>
    </row>
    <row r="57" spans="2:15" x14ac:dyDescent="0.2">
      <c r="B57" s="10" t="s">
        <v>58</v>
      </c>
      <c r="C57" s="10" t="s">
        <v>4</v>
      </c>
      <c r="D57" s="139">
        <f>(D54/D55-1)*100</f>
        <v>146.53794747500163</v>
      </c>
    </row>
    <row r="58" spans="2:15" x14ac:dyDescent="0.2">
      <c r="D58" s="105"/>
    </row>
    <row r="59" spans="2:15" x14ac:dyDescent="0.2">
      <c r="B59" s="10" t="s">
        <v>59</v>
      </c>
      <c r="C59" s="10" t="s">
        <v>4</v>
      </c>
      <c r="D59" s="139">
        <f>D43/D44*100</f>
        <v>82.042879127940267</v>
      </c>
      <c r="O59" s="5"/>
    </row>
    <row r="60" spans="2:15" x14ac:dyDescent="0.2">
      <c r="B60" s="10" t="s">
        <v>60</v>
      </c>
      <c r="C60" s="10" t="s">
        <v>4</v>
      </c>
      <c r="D60" s="139">
        <f>D45/D46*100</f>
        <v>82.904374123126587</v>
      </c>
    </row>
    <row r="64" spans="2:15" ht="15" x14ac:dyDescent="0.2">
      <c r="B64" s="145" t="s">
        <v>299</v>
      </c>
      <c r="C64" s="67"/>
      <c r="D64" s="27"/>
      <c r="E64" s="27"/>
      <c r="F64" s="27"/>
      <c r="G64" s="27"/>
      <c r="H64" s="27"/>
      <c r="I64" s="27"/>
    </row>
    <row r="65" spans="2:15" x14ac:dyDescent="0.2">
      <c r="B65" s="78" t="s">
        <v>300</v>
      </c>
      <c r="C65" s="67"/>
      <c r="D65" s="27"/>
      <c r="E65" s="27"/>
      <c r="F65" s="27"/>
      <c r="G65" s="27"/>
      <c r="H65" s="27"/>
      <c r="I65" s="27"/>
    </row>
    <row r="66" spans="2:15" x14ac:dyDescent="0.2">
      <c r="B66" s="147">
        <f>'DCF &amp; Sensitivity'!D53</f>
        <v>189.90614359507603</v>
      </c>
      <c r="C66" s="150">
        <v>6</v>
      </c>
      <c r="D66" s="150">
        <v>7</v>
      </c>
      <c r="E66" s="150">
        <v>8</v>
      </c>
      <c r="F66" s="150">
        <v>9</v>
      </c>
      <c r="G66" s="150">
        <v>10</v>
      </c>
      <c r="H66" s="150">
        <v>11</v>
      </c>
      <c r="I66" s="150">
        <v>12</v>
      </c>
      <c r="O66" s="7" t="s">
        <v>361</v>
      </c>
    </row>
    <row r="67" spans="2:15" x14ac:dyDescent="0.2">
      <c r="B67" s="153">
        <v>1.4999999999999999E-2</v>
      </c>
      <c r="C67" s="148">
        <f t="dataTable" ref="C67:I73" dt2D="1" dtr="1" r1="D20" r2="D30"/>
        <v>165.93448396351957</v>
      </c>
      <c r="D67" s="148">
        <v>144.10176870277255</v>
      </c>
      <c r="E67" s="148">
        <v>127.76260725703939</v>
      </c>
      <c r="F67" s="148">
        <v>115.08171616288564</v>
      </c>
      <c r="G67" s="148">
        <v>104.95908142073904</v>
      </c>
      <c r="H67" s="148">
        <v>96.695285528302179</v>
      </c>
      <c r="I67" s="148">
        <v>89.824380650593369</v>
      </c>
      <c r="O67" s="7" t="s">
        <v>473</v>
      </c>
    </row>
    <row r="68" spans="2:15" x14ac:dyDescent="0.2">
      <c r="B68" s="154">
        <v>0.02</v>
      </c>
      <c r="C68" s="149">
        <v>166.0360745613514</v>
      </c>
      <c r="D68" s="149">
        <v>144.17359531318331</v>
      </c>
      <c r="E68" s="149">
        <v>127.81555768591414</v>
      </c>
      <c r="F68" s="149">
        <v>115.1220195834062</v>
      </c>
      <c r="G68" s="149">
        <v>104.99054390162352</v>
      </c>
      <c r="H68" s="149">
        <v>96.720355162631833</v>
      </c>
      <c r="I68" s="149">
        <v>89.844698389200616</v>
      </c>
    </row>
    <row r="69" spans="2:15" x14ac:dyDescent="0.2">
      <c r="B69" s="154">
        <v>2.5000000000000001E-2</v>
      </c>
      <c r="C69" s="149">
        <v>166.13783518528837</v>
      </c>
      <c r="D69" s="149">
        <v>144.24552490081331</v>
      </c>
      <c r="E69" s="149">
        <v>127.86857451031098</v>
      </c>
      <c r="F69" s="149">
        <v>115.16236791024488</v>
      </c>
      <c r="G69" s="149">
        <v>105.02203792384226</v>
      </c>
      <c r="H69" s="149">
        <v>96.745447639452877</v>
      </c>
      <c r="I69" s="149">
        <v>89.865033094604215</v>
      </c>
    </row>
    <row r="70" spans="2:15" x14ac:dyDescent="0.2">
      <c r="B70" s="154">
        <v>0.03</v>
      </c>
      <c r="C70" s="149">
        <v>166.23976626253179</v>
      </c>
      <c r="D70" s="149">
        <v>144.3175576872778</v>
      </c>
      <c r="E70" s="149">
        <v>127.92165785519011</v>
      </c>
      <c r="F70" s="149">
        <v>115.20276121849585</v>
      </c>
      <c r="G70" s="149">
        <v>105.05356353484954</v>
      </c>
      <c r="H70" s="149">
        <v>96.770562989999391</v>
      </c>
      <c r="I70" s="149">
        <v>89.88538478806575</v>
      </c>
    </row>
    <row r="71" spans="2:15" x14ac:dyDescent="0.2">
      <c r="B71" s="154">
        <v>3.5000000000000003E-2</v>
      </c>
      <c r="C71" s="149">
        <v>166.34186822171526</v>
      </c>
      <c r="D71" s="149">
        <v>144.38969389482841</v>
      </c>
      <c r="E71" s="149">
        <v>127.97480784582555</v>
      </c>
      <c r="F71" s="149">
        <v>115.24319958342087</v>
      </c>
      <c r="G71" s="149">
        <v>105.08512078219505</v>
      </c>
      <c r="H71" s="149">
        <v>96.79570124556237</v>
      </c>
      <c r="I71" s="149">
        <v>89.905753490882489</v>
      </c>
    </row>
    <row r="72" spans="2:15" x14ac:dyDescent="0.2">
      <c r="B72" s="154">
        <v>0.04</v>
      </c>
      <c r="C72" s="149">
        <v>166.44414149291075</v>
      </c>
      <c r="D72" s="149">
        <v>144.46193374635533</v>
      </c>
      <c r="E72" s="149">
        <v>128.028024607806</v>
      </c>
      <c r="F72" s="149">
        <v>115.28368308044956</v>
      </c>
      <c r="G72" s="149">
        <v>105.1167097135238</v>
      </c>
      <c r="H72" s="149">
        <v>96.820862437489893</v>
      </c>
      <c r="I72" s="149">
        <v>89.926139224387185</v>
      </c>
    </row>
    <row r="73" spans="2:15" hidden="1" outlineLevel="1" x14ac:dyDescent="0.2">
      <c r="C73" s="92">
        <v>165.63072807600241</v>
      </c>
      <c r="D73" s="92">
        <v>143.88690452820083</v>
      </c>
      <c r="E73" s="92">
        <v>127.60415309863174</v>
      </c>
      <c r="F73" s="92">
        <v>114.96107459079414</v>
      </c>
      <c r="G73" s="92">
        <v>104.86488275297081</v>
      </c>
      <c r="H73" s="92">
        <v>96.620213368773221</v>
      </c>
      <c r="I73" s="92">
        <v>89.763529023464699</v>
      </c>
    </row>
    <row r="74" spans="2:15" collapsed="1" x14ac:dyDescent="0.2">
      <c r="C74" s="92"/>
      <c r="D74" s="92"/>
      <c r="E74" s="92"/>
      <c r="F74" s="92"/>
      <c r="G74" s="92"/>
      <c r="H74" s="92"/>
      <c r="I74" s="92"/>
    </row>
    <row r="75" spans="2:15" ht="15" x14ac:dyDescent="0.2">
      <c r="B75" s="145" t="s">
        <v>360</v>
      </c>
      <c r="C75" s="27"/>
      <c r="D75" s="27"/>
      <c r="E75" s="27"/>
      <c r="F75" s="27"/>
      <c r="G75" s="27"/>
      <c r="H75" s="27"/>
      <c r="I75" s="27"/>
    </row>
    <row r="76" spans="2:15" x14ac:dyDescent="0.2">
      <c r="B76" s="78" t="s">
        <v>301</v>
      </c>
      <c r="C76" s="27"/>
      <c r="D76" s="27"/>
      <c r="E76" s="27"/>
      <c r="F76" s="27"/>
      <c r="G76" s="27"/>
      <c r="H76" s="27"/>
      <c r="I76" s="27"/>
    </row>
    <row r="77" spans="2:15" x14ac:dyDescent="0.2">
      <c r="B77" s="147">
        <f>D54</f>
        <v>198.51235530687129</v>
      </c>
      <c r="C77" s="150">
        <v>6</v>
      </c>
      <c r="D77" s="150">
        <v>7</v>
      </c>
      <c r="E77" s="150">
        <v>8</v>
      </c>
      <c r="F77" s="150">
        <v>9</v>
      </c>
      <c r="G77" s="150">
        <v>10</v>
      </c>
      <c r="H77" s="150">
        <v>11</v>
      </c>
      <c r="I77" s="150">
        <v>12</v>
      </c>
    </row>
    <row r="78" spans="2:15" x14ac:dyDescent="0.2">
      <c r="B78" s="151">
        <v>12</v>
      </c>
      <c r="C78" s="148">
        <f t="dataTable" ref="C78:I84" dt2D="1" dtr="1" r1="D20" r2="D37" ca="1"/>
        <v>147.75704869509829</v>
      </c>
      <c r="D78" s="148">
        <v>142.41788151156044</v>
      </c>
      <c r="E78" s="148">
        <v>137.3593568928585</v>
      </c>
      <c r="F78" s="148">
        <v>132.56411830909755</v>
      </c>
      <c r="G78" s="148">
        <v>128.01603405015609</v>
      </c>
      <c r="H78" s="148">
        <v>123.70010048214905</v>
      </c>
      <c r="I78" s="148">
        <v>119.60235373842575</v>
      </c>
      <c r="O78" s="7" t="s">
        <v>365</v>
      </c>
    </row>
    <row r="79" spans="2:15" x14ac:dyDescent="0.2">
      <c r="B79" s="152">
        <v>15</v>
      </c>
      <c r="C79" s="149">
        <v>171.87320411386764</v>
      </c>
      <c r="D79" s="149">
        <v>165.4279818225607</v>
      </c>
      <c r="E79" s="149">
        <v>159.32372041680341</v>
      </c>
      <c r="F79" s="149">
        <v>153.53926035858652</v>
      </c>
      <c r="G79" s="149">
        <v>148.05493850574717</v>
      </c>
      <c r="H79" s="149">
        <v>142.85246974435935</v>
      </c>
      <c r="I79" s="149">
        <v>137.91483895194804</v>
      </c>
    </row>
    <row r="80" spans="2:15" x14ac:dyDescent="0.2">
      <c r="B80" s="152">
        <v>18</v>
      </c>
      <c r="C80" s="149">
        <v>195.98935953263702</v>
      </c>
      <c r="D80" s="149">
        <v>188.43808213356098</v>
      </c>
      <c r="E80" s="149">
        <v>181.28808394074829</v>
      </c>
      <c r="F80" s="149">
        <v>174.51440240807548</v>
      </c>
      <c r="G80" s="149">
        <v>168.09384296133828</v>
      </c>
      <c r="H80" s="149">
        <v>162.00483900656963</v>
      </c>
      <c r="I80" s="149">
        <v>156.22732416547038</v>
      </c>
    </row>
    <row r="81" spans="2:9" x14ac:dyDescent="0.2">
      <c r="B81" s="152">
        <v>20</v>
      </c>
      <c r="C81" s="149">
        <v>212.06679647848327</v>
      </c>
      <c r="D81" s="149">
        <v>203.77814900756115</v>
      </c>
      <c r="E81" s="149">
        <v>195.93099295671155</v>
      </c>
      <c r="F81" s="149">
        <v>188.49783044106812</v>
      </c>
      <c r="G81" s="149">
        <v>181.45311259839903</v>
      </c>
      <c r="H81" s="149">
        <v>174.7730851813765</v>
      </c>
      <c r="I81" s="149">
        <v>168.43564764115189</v>
      </c>
    </row>
    <row r="82" spans="2:9" x14ac:dyDescent="0.2">
      <c r="B82" s="152">
        <v>22</v>
      </c>
      <c r="C82" s="149">
        <v>228.14423342432954</v>
      </c>
      <c r="D82" s="149">
        <v>219.11821588156133</v>
      </c>
      <c r="E82" s="149">
        <v>210.57390197267483</v>
      </c>
      <c r="F82" s="149">
        <v>202.48125847406078</v>
      </c>
      <c r="G82" s="149">
        <v>194.81238223545975</v>
      </c>
      <c r="H82" s="149">
        <v>187.54133135618335</v>
      </c>
      <c r="I82" s="149">
        <v>180.64397111683346</v>
      </c>
    </row>
    <row r="83" spans="2:9" x14ac:dyDescent="0.2">
      <c r="B83" s="152">
        <v>25</v>
      </c>
      <c r="C83" s="149">
        <v>252.26038884309892</v>
      </c>
      <c r="D83" s="149">
        <v>242.12831619256161</v>
      </c>
      <c r="E83" s="149">
        <v>232.53826549661977</v>
      </c>
      <c r="F83" s="149">
        <v>223.4564005235498</v>
      </c>
      <c r="G83" s="149">
        <v>214.85128669105089</v>
      </c>
      <c r="H83" s="149">
        <v>206.69370061839365</v>
      </c>
      <c r="I83" s="149">
        <v>198.95645633035576</v>
      </c>
    </row>
    <row r="84" spans="2:9" x14ac:dyDescent="0.2">
      <c r="B84" s="152">
        <v>30</v>
      </c>
      <c r="C84" s="149">
        <v>292.45398120771455</v>
      </c>
      <c r="D84" s="149">
        <v>280.47848337756199</v>
      </c>
      <c r="E84" s="149">
        <v>269.14553803652791</v>
      </c>
      <c r="F84" s="149">
        <v>258.41497060603137</v>
      </c>
      <c r="G84" s="149">
        <v>248.24946078370269</v>
      </c>
      <c r="H84" s="149">
        <v>238.61431605541082</v>
      </c>
      <c r="I84" s="149">
        <v>229.47726501955964</v>
      </c>
    </row>
  </sheetData>
  <pageMargins left="0.75" right="0.75" top="1" bottom="1" header="0.5" footer="0.5"/>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2:P60"/>
  <sheetViews>
    <sheetView showGridLines="0" workbookViewId="0"/>
  </sheetViews>
  <sheetFormatPr baseColWidth="10" defaultColWidth="8.83203125" defaultRowHeight="14" x14ac:dyDescent="0.2"/>
  <cols>
    <col min="1" max="1" width="2" style="27" customWidth="1"/>
    <col min="2" max="4" width="20.83203125" style="27" customWidth="1"/>
    <col min="5" max="11" width="13.83203125" style="27" customWidth="1"/>
    <col min="12" max="15" width="13.83203125" style="162" customWidth="1"/>
    <col min="16" max="16" width="8.83203125" style="27" customWidth="1"/>
    <col min="17" max="16384" width="8.83203125" style="27"/>
  </cols>
  <sheetData>
    <row r="2" spans="2:15" ht="13" customHeight="1" x14ac:dyDescent="0.2">
      <c r="B2" s="45" t="s">
        <v>302</v>
      </c>
    </row>
    <row r="3" spans="2:15" x14ac:dyDescent="0.2">
      <c r="B3" s="22"/>
    </row>
    <row r="4" spans="2:15" x14ac:dyDescent="0.2">
      <c r="B4" s="22"/>
    </row>
    <row r="5" spans="2:15" x14ac:dyDescent="0.2">
      <c r="B5" s="22"/>
    </row>
    <row r="6" spans="2:15" x14ac:dyDescent="0.2">
      <c r="B6" s="22"/>
    </row>
    <row r="7" spans="2:15" x14ac:dyDescent="0.2">
      <c r="B7" s="22"/>
    </row>
    <row r="8" spans="2:15" x14ac:dyDescent="0.2">
      <c r="B8" s="22"/>
    </row>
    <row r="9" spans="2:15" x14ac:dyDescent="0.2">
      <c r="B9" s="22"/>
    </row>
    <row r="10" spans="2:15" x14ac:dyDescent="0.2">
      <c r="B10" s="22"/>
    </row>
    <row r="11" spans="2:15" x14ac:dyDescent="0.2">
      <c r="B11" s="22"/>
    </row>
    <row r="12" spans="2:15" x14ac:dyDescent="0.2">
      <c r="B12" s="22"/>
    </row>
    <row r="13" spans="2:15" ht="16" customHeight="1" x14ac:dyDescent="0.2">
      <c r="B13" s="156" t="s">
        <v>431</v>
      </c>
      <c r="C13" s="156" t="s">
        <v>304</v>
      </c>
      <c r="D13" s="158" t="s">
        <v>303</v>
      </c>
      <c r="E13" s="157" t="s">
        <v>305</v>
      </c>
      <c r="F13" s="157" t="s">
        <v>306</v>
      </c>
      <c r="G13" s="157" t="s">
        <v>307</v>
      </c>
      <c r="H13" s="157" t="s">
        <v>308</v>
      </c>
      <c r="I13" s="157" t="s">
        <v>109</v>
      </c>
      <c r="J13" s="157" t="s">
        <v>220</v>
      </c>
      <c r="K13" s="157" t="s">
        <v>294</v>
      </c>
      <c r="L13" s="163" t="s">
        <v>309</v>
      </c>
      <c r="M13" s="163" t="s">
        <v>310</v>
      </c>
      <c r="N13" s="163" t="s">
        <v>311</v>
      </c>
      <c r="O13" s="163" t="s">
        <v>312</v>
      </c>
    </row>
    <row r="14" spans="2:15" x14ac:dyDescent="0.2">
      <c r="B14" s="155" t="s">
        <v>387</v>
      </c>
      <c r="C14" s="155" t="s">
        <v>313</v>
      </c>
      <c r="D14" s="155" t="s">
        <v>366</v>
      </c>
      <c r="E14" s="159">
        <v>2899.9</v>
      </c>
      <c r="F14" s="159">
        <v>2324.8000000000002</v>
      </c>
      <c r="G14" s="159">
        <v>669.1</v>
      </c>
      <c r="H14" s="166">
        <v>0.1013</v>
      </c>
      <c r="I14" s="166">
        <v>0.8284999999999999</v>
      </c>
      <c r="J14" s="166">
        <v>0.35340000000000005</v>
      </c>
      <c r="K14" s="166">
        <v>0.45490000000000003</v>
      </c>
      <c r="L14" s="164">
        <v>3.47</v>
      </c>
      <c r="M14" s="164">
        <v>9.83</v>
      </c>
      <c r="N14" s="164">
        <v>14.87</v>
      </c>
      <c r="O14" s="164">
        <v>9.5299999999999994</v>
      </c>
    </row>
    <row r="15" spans="2:15" x14ac:dyDescent="0.2">
      <c r="B15" s="104" t="s">
        <v>387</v>
      </c>
      <c r="C15" s="104" t="s">
        <v>314</v>
      </c>
      <c r="D15" s="104" t="s">
        <v>367</v>
      </c>
      <c r="E15" s="160">
        <v>101838.7</v>
      </c>
      <c r="F15" s="160">
        <v>91759</v>
      </c>
      <c r="G15" s="160">
        <v>4812</v>
      </c>
      <c r="H15" s="167">
        <v>0.21710000000000002</v>
      </c>
      <c r="I15" s="167">
        <v>0.74809999999999999</v>
      </c>
      <c r="J15" s="167">
        <v>-9.7000000000000003E-3</v>
      </c>
      <c r="K15" s="167">
        <v>0.25800000000000001</v>
      </c>
      <c r="L15" s="165">
        <v>19.07</v>
      </c>
      <c r="M15" s="165" t="s">
        <v>459</v>
      </c>
      <c r="N15" s="165" t="s">
        <v>459</v>
      </c>
      <c r="O15" s="165">
        <v>82.03</v>
      </c>
    </row>
    <row r="16" spans="2:15" x14ac:dyDescent="0.2">
      <c r="B16" s="104" t="s">
        <v>387</v>
      </c>
      <c r="C16" s="104" t="s">
        <v>315</v>
      </c>
      <c r="D16" s="104" t="s">
        <v>368</v>
      </c>
      <c r="E16" s="160">
        <v>131808.5</v>
      </c>
      <c r="F16" s="160">
        <v>122998.7</v>
      </c>
      <c r="G16" s="160">
        <v>9221.5</v>
      </c>
      <c r="H16" s="167">
        <v>0.1487</v>
      </c>
      <c r="I16" s="167">
        <v>0.73499999999999999</v>
      </c>
      <c r="J16" s="167">
        <v>0.15529999999999999</v>
      </c>
      <c r="K16" s="167">
        <v>0.35070000000000001</v>
      </c>
      <c r="L16" s="165">
        <v>12.43</v>
      </c>
      <c r="M16" s="165">
        <v>80.05</v>
      </c>
      <c r="N16" s="165">
        <v>89.24</v>
      </c>
      <c r="O16" s="165">
        <v>37.99</v>
      </c>
    </row>
    <row r="17" spans="2:15" x14ac:dyDescent="0.2">
      <c r="B17" s="104" t="s">
        <v>387</v>
      </c>
      <c r="C17" s="104" t="s">
        <v>316</v>
      </c>
      <c r="D17" s="104" t="s">
        <v>369</v>
      </c>
      <c r="E17" s="160">
        <v>58454.5</v>
      </c>
      <c r="F17" s="160">
        <v>54231.4</v>
      </c>
      <c r="G17" s="160">
        <v>6799.6</v>
      </c>
      <c r="H17" s="167">
        <v>0.14169999999999999</v>
      </c>
      <c r="I17" s="167">
        <v>0.80459999999999998</v>
      </c>
      <c r="J17" s="167">
        <v>0.32740000000000002</v>
      </c>
      <c r="K17" s="167">
        <v>0.32729999999999998</v>
      </c>
      <c r="L17" s="165">
        <v>7.98</v>
      </c>
      <c r="M17" s="165">
        <v>24.36</v>
      </c>
      <c r="N17" s="165">
        <v>32.479999999999997</v>
      </c>
      <c r="O17" s="165">
        <v>26.26</v>
      </c>
    </row>
    <row r="18" spans="2:15" x14ac:dyDescent="0.2">
      <c r="B18" s="104" t="s">
        <v>387</v>
      </c>
      <c r="C18" s="104" t="s">
        <v>317</v>
      </c>
      <c r="D18" s="104" t="s">
        <v>370</v>
      </c>
      <c r="E18" s="160">
        <v>2061.1</v>
      </c>
      <c r="F18" s="160">
        <v>1857.8</v>
      </c>
      <c r="G18" s="160">
        <v>999.4</v>
      </c>
      <c r="H18" s="167">
        <v>0.1104</v>
      </c>
      <c r="I18" s="167">
        <v>0.78090000000000004</v>
      </c>
      <c r="J18" s="167">
        <v>3.27E-2</v>
      </c>
      <c r="K18" s="167">
        <v>0.25030000000000002</v>
      </c>
      <c r="L18" s="165">
        <v>1.86</v>
      </c>
      <c r="M18" s="165">
        <v>56.89</v>
      </c>
      <c r="N18" s="165" t="s">
        <v>459</v>
      </c>
      <c r="O18" s="165">
        <v>8.24</v>
      </c>
    </row>
    <row r="19" spans="2:15" x14ac:dyDescent="0.2">
      <c r="B19" s="104" t="s">
        <v>387</v>
      </c>
      <c r="C19" s="104" t="s">
        <v>318</v>
      </c>
      <c r="D19" s="104" t="s">
        <v>371</v>
      </c>
      <c r="E19" s="160">
        <v>341.7</v>
      </c>
      <c r="F19" s="160">
        <v>827.8</v>
      </c>
      <c r="G19" s="160">
        <v>859.8</v>
      </c>
      <c r="H19" s="167">
        <v>1.8700000000000001E-2</v>
      </c>
      <c r="I19" s="167">
        <v>0.70340000000000003</v>
      </c>
      <c r="J19" s="167">
        <v>6.6900000000000001E-2</v>
      </c>
      <c r="K19" s="167">
        <v>0.15130000000000002</v>
      </c>
      <c r="L19" s="165">
        <v>0.96</v>
      </c>
      <c r="M19" s="165">
        <v>14.39</v>
      </c>
      <c r="N19" s="165">
        <v>14.4</v>
      </c>
      <c r="O19" s="165">
        <v>2.63</v>
      </c>
    </row>
    <row r="20" spans="2:15" x14ac:dyDescent="0.2">
      <c r="B20" s="104" t="s">
        <v>387</v>
      </c>
      <c r="C20" s="104" t="s">
        <v>319</v>
      </c>
      <c r="D20" s="104" t="s">
        <v>372</v>
      </c>
      <c r="E20" s="160">
        <v>4313</v>
      </c>
      <c r="F20" s="160">
        <v>3449.2</v>
      </c>
      <c r="G20" s="160">
        <v>1001.3</v>
      </c>
      <c r="H20" s="167">
        <v>0.21890000000000001</v>
      </c>
      <c r="I20" s="167">
        <v>0.74109999999999998</v>
      </c>
      <c r="J20" s="167">
        <v>-0.26780000000000004</v>
      </c>
      <c r="K20" s="167">
        <v>5.16E-2</v>
      </c>
      <c r="L20" s="165">
        <v>3.44</v>
      </c>
      <c r="M20" s="165" t="s">
        <v>459</v>
      </c>
      <c r="N20" s="165" t="s">
        <v>459</v>
      </c>
      <c r="O20" s="165">
        <v>83.45</v>
      </c>
    </row>
    <row r="21" spans="2:15" x14ac:dyDescent="0.2">
      <c r="B21" s="104" t="s">
        <v>387</v>
      </c>
      <c r="C21" s="104" t="s">
        <v>321</v>
      </c>
      <c r="D21" s="104" t="s">
        <v>374</v>
      </c>
      <c r="E21" s="160">
        <v>19597.2</v>
      </c>
      <c r="F21" s="160">
        <v>17335</v>
      </c>
      <c r="G21" s="160">
        <v>2673.1</v>
      </c>
      <c r="H21" s="167">
        <v>0.23309999999999997</v>
      </c>
      <c r="I21" s="167">
        <v>0.76629999999999998</v>
      </c>
      <c r="J21" s="167">
        <v>-2.2700000000000001E-2</v>
      </c>
      <c r="K21" s="167">
        <v>0.24210000000000001</v>
      </c>
      <c r="L21" s="165">
        <v>5.78</v>
      </c>
      <c r="M21" s="165" t="s">
        <v>459</v>
      </c>
      <c r="N21" s="165" t="s">
        <v>459</v>
      </c>
      <c r="O21" s="165">
        <v>26.97</v>
      </c>
    </row>
    <row r="22" spans="2:15" x14ac:dyDescent="0.2">
      <c r="B22" s="104" t="s">
        <v>387</v>
      </c>
      <c r="C22" s="104" t="s">
        <v>320</v>
      </c>
      <c r="D22" s="104" t="s">
        <v>373</v>
      </c>
      <c r="E22" s="160">
        <v>2603.1999999999998</v>
      </c>
      <c r="F22" s="160">
        <v>1972.1</v>
      </c>
      <c r="G22" s="160">
        <v>623.5</v>
      </c>
      <c r="H22" s="167">
        <v>0.13170000000000001</v>
      </c>
      <c r="I22" s="167">
        <v>0.7883</v>
      </c>
      <c r="J22" s="167">
        <v>-0.2152</v>
      </c>
      <c r="K22" s="167">
        <v>0.21160000000000001</v>
      </c>
      <c r="L22" s="165">
        <v>3.16</v>
      </c>
      <c r="M22" s="165" t="s">
        <v>459</v>
      </c>
      <c r="N22" s="165" t="s">
        <v>459</v>
      </c>
      <c r="O22" s="165">
        <v>19.73</v>
      </c>
    </row>
    <row r="23" spans="2:15" x14ac:dyDescent="0.2">
      <c r="B23" s="104" t="s">
        <v>387</v>
      </c>
      <c r="C23" s="104" t="s">
        <v>388</v>
      </c>
      <c r="D23" s="104" t="s">
        <v>389</v>
      </c>
      <c r="E23" s="160">
        <v>15155.3</v>
      </c>
      <c r="F23" s="160">
        <v>13270.5</v>
      </c>
      <c r="G23" s="160">
        <v>2725.4</v>
      </c>
      <c r="H23" s="167">
        <v>6.25E-2</v>
      </c>
      <c r="I23" s="167">
        <v>0.87919999999999998</v>
      </c>
      <c r="J23" s="167">
        <v>0.3271</v>
      </c>
      <c r="K23" s="167">
        <v>0.43030000000000002</v>
      </c>
      <c r="L23" s="165">
        <v>4.87</v>
      </c>
      <c r="M23" s="165">
        <v>14.89</v>
      </c>
      <c r="N23" s="165">
        <v>14.69</v>
      </c>
      <c r="O23" s="165">
        <v>12.92</v>
      </c>
    </row>
    <row r="24" spans="2:15" x14ac:dyDescent="0.2">
      <c r="B24" s="161" t="s">
        <v>390</v>
      </c>
      <c r="C24" s="161" t="s">
        <v>391</v>
      </c>
      <c r="D24" s="161" t="s">
        <v>392</v>
      </c>
      <c r="E24" s="160">
        <v>97205.1</v>
      </c>
      <c r="F24" s="160">
        <v>90857.5</v>
      </c>
      <c r="G24" s="160">
        <v>23769</v>
      </c>
      <c r="H24" s="167">
        <v>0.10529999999999999</v>
      </c>
      <c r="I24" s="167">
        <v>0.89400000000000002</v>
      </c>
      <c r="J24" s="167">
        <v>0.38919999999999999</v>
      </c>
      <c r="K24" s="167">
        <v>0.40289999999999998</v>
      </c>
      <c r="L24" s="165">
        <v>3.72</v>
      </c>
      <c r="M24" s="165">
        <v>9.5500000000000007</v>
      </c>
      <c r="N24" s="165">
        <v>13.9</v>
      </c>
      <c r="O24" s="165">
        <v>9.8699999999999992</v>
      </c>
    </row>
    <row r="25" spans="2:15" x14ac:dyDescent="0.2">
      <c r="B25" s="161" t="s">
        <v>390</v>
      </c>
      <c r="C25" s="161" t="s">
        <v>393</v>
      </c>
      <c r="D25" s="161" t="s">
        <v>394</v>
      </c>
      <c r="E25" s="160">
        <v>93311.6</v>
      </c>
      <c r="F25" s="160">
        <v>82937</v>
      </c>
      <c r="G25" s="160">
        <v>13278</v>
      </c>
      <c r="H25" s="167">
        <v>0.20879999999999999</v>
      </c>
      <c r="I25" s="167">
        <v>0.77529999999999999</v>
      </c>
      <c r="J25" s="167">
        <v>0.20620000000000002</v>
      </c>
      <c r="K25" s="167">
        <v>0.34139999999999998</v>
      </c>
      <c r="L25" s="165">
        <v>6.25</v>
      </c>
      <c r="M25" s="165">
        <v>30.29</v>
      </c>
      <c r="N25" s="165">
        <v>52.96</v>
      </c>
      <c r="O25" s="165">
        <v>20.58</v>
      </c>
    </row>
    <row r="26" spans="2:15" x14ac:dyDescent="0.2">
      <c r="B26" s="161" t="s">
        <v>390</v>
      </c>
      <c r="C26" s="161" t="s">
        <v>395</v>
      </c>
      <c r="D26" s="161" t="s">
        <v>396</v>
      </c>
      <c r="E26" s="160">
        <v>102282.4</v>
      </c>
      <c r="F26" s="160">
        <v>100965.5</v>
      </c>
      <c r="G26" s="160">
        <v>18831</v>
      </c>
      <c r="H26" s="167">
        <v>0.15629999999999999</v>
      </c>
      <c r="I26" s="167">
        <v>0.80900000000000005</v>
      </c>
      <c r="J26" s="167">
        <v>0.30349999999999999</v>
      </c>
      <c r="K26" s="167">
        <v>0.30230000000000001</v>
      </c>
      <c r="L26" s="165">
        <v>5.0199999999999996</v>
      </c>
      <c r="M26" s="165">
        <v>16.53</v>
      </c>
      <c r="N26" s="165">
        <v>23.91</v>
      </c>
      <c r="O26" s="165">
        <v>16.809999999999999</v>
      </c>
    </row>
    <row r="27" spans="2:15" x14ac:dyDescent="0.2">
      <c r="B27" s="161" t="s">
        <v>390</v>
      </c>
      <c r="C27" s="161" t="s">
        <v>397</v>
      </c>
      <c r="D27" s="161" t="s">
        <v>398</v>
      </c>
      <c r="E27" s="160">
        <v>31616.5</v>
      </c>
      <c r="F27" s="160">
        <v>27290.5</v>
      </c>
      <c r="G27" s="160">
        <v>9552</v>
      </c>
      <c r="H27" s="167">
        <v>0.13089999999999999</v>
      </c>
      <c r="I27" s="167">
        <v>0.75700000000000001</v>
      </c>
      <c r="J27" s="167">
        <v>0.14349999999999999</v>
      </c>
      <c r="K27" s="167">
        <v>0.29070000000000001</v>
      </c>
      <c r="L27" s="165">
        <v>2.86</v>
      </c>
      <c r="M27" s="165">
        <v>19.91</v>
      </c>
      <c r="N27" s="165">
        <v>46.42</v>
      </c>
      <c r="O27" s="165">
        <v>11.39</v>
      </c>
    </row>
    <row r="28" spans="2:15" x14ac:dyDescent="0.2">
      <c r="B28" s="161" t="s">
        <v>390</v>
      </c>
      <c r="C28" s="161" t="s">
        <v>399</v>
      </c>
      <c r="D28" s="161" t="s">
        <v>400</v>
      </c>
      <c r="E28" s="160">
        <v>315378.3</v>
      </c>
      <c r="F28" s="160">
        <v>299431</v>
      </c>
      <c r="G28" s="160">
        <v>4475.3999999999996</v>
      </c>
      <c r="H28" s="167">
        <v>0.56179999999999997</v>
      </c>
      <c r="I28" s="167">
        <v>0.8237000000000001</v>
      </c>
      <c r="J28" s="167">
        <v>0.32179999999999997</v>
      </c>
      <c r="K28" s="167">
        <v>0.46939999999999998</v>
      </c>
      <c r="L28" s="165">
        <v>66.91</v>
      </c>
      <c r="M28" s="165">
        <v>207.91</v>
      </c>
      <c r="N28" s="165">
        <v>209.31</v>
      </c>
      <c r="O28" s="165">
        <v>150.13999999999999</v>
      </c>
    </row>
    <row r="29" spans="2:15" x14ac:dyDescent="0.2">
      <c r="B29" s="161" t="s">
        <v>390</v>
      </c>
      <c r="C29" s="161" t="s">
        <v>401</v>
      </c>
      <c r="D29" s="161" t="s">
        <v>402</v>
      </c>
      <c r="E29" s="160">
        <v>78903</v>
      </c>
      <c r="F29" s="160">
        <v>71943.3</v>
      </c>
      <c r="G29" s="160">
        <v>5296.8</v>
      </c>
      <c r="H29" s="167">
        <v>0.14119999999999999</v>
      </c>
      <c r="I29" s="167">
        <v>0.86360000000000003</v>
      </c>
      <c r="J29" s="167">
        <v>0.36020000000000002</v>
      </c>
      <c r="K29" s="167">
        <v>0.29960000000000003</v>
      </c>
      <c r="L29" s="165">
        <v>13.58</v>
      </c>
      <c r="M29" s="165">
        <v>37.700000000000003</v>
      </c>
      <c r="N29" s="165">
        <v>70.39</v>
      </c>
      <c r="O29" s="165">
        <v>49.72</v>
      </c>
    </row>
    <row r="30" spans="2:15" x14ac:dyDescent="0.2">
      <c r="B30" s="161" t="s">
        <v>390</v>
      </c>
      <c r="C30" s="161" t="s">
        <v>403</v>
      </c>
      <c r="D30" s="161" t="s">
        <v>404</v>
      </c>
      <c r="E30" s="160">
        <v>79816.2</v>
      </c>
      <c r="F30" s="160">
        <v>83802.5</v>
      </c>
      <c r="G30" s="160">
        <v>7054.2</v>
      </c>
      <c r="H30" s="167">
        <v>0.1512</v>
      </c>
      <c r="I30" s="167">
        <v>0.82019999999999993</v>
      </c>
      <c r="J30" s="167">
        <v>0.20170000000000002</v>
      </c>
      <c r="K30" s="167">
        <v>0.16850000000000001</v>
      </c>
      <c r="L30" s="165">
        <v>10.46</v>
      </c>
      <c r="M30" s="165">
        <v>51.89</v>
      </c>
      <c r="N30" s="165">
        <v>64</v>
      </c>
      <c r="O30" s="165">
        <v>59.16</v>
      </c>
    </row>
    <row r="31" spans="2:15" x14ac:dyDescent="0.2">
      <c r="B31" s="161" t="s">
        <v>390</v>
      </c>
      <c r="C31" s="161" t="s">
        <v>375</v>
      </c>
      <c r="D31" s="161" t="s">
        <v>376</v>
      </c>
      <c r="E31" s="160">
        <v>63889.7</v>
      </c>
      <c r="F31" s="160">
        <v>58194.3</v>
      </c>
      <c r="G31" s="160">
        <v>2167.9</v>
      </c>
      <c r="H31" s="167">
        <v>0.29849999999999999</v>
      </c>
      <c r="I31" s="167">
        <v>0.7451000000000001</v>
      </c>
      <c r="J31" s="167">
        <v>-1.9599999999999999E-2</v>
      </c>
      <c r="K31" s="167">
        <v>0.1202</v>
      </c>
      <c r="L31" s="165">
        <v>26.84</v>
      </c>
      <c r="M31" s="165" t="s">
        <v>459</v>
      </c>
      <c r="N31" s="165" t="s">
        <v>459</v>
      </c>
      <c r="O31" s="165">
        <v>245.2</v>
      </c>
    </row>
    <row r="32" spans="2:15" x14ac:dyDescent="0.2">
      <c r="B32" s="161" t="s">
        <v>390</v>
      </c>
      <c r="C32" s="161" t="s">
        <v>379</v>
      </c>
      <c r="D32" s="161" t="s">
        <v>380</v>
      </c>
      <c r="E32" s="160">
        <v>38766.199999999997</v>
      </c>
      <c r="F32" s="160">
        <v>33955.1</v>
      </c>
      <c r="G32" s="160">
        <v>3427.2</v>
      </c>
      <c r="H32" s="167">
        <v>0.27679999999999999</v>
      </c>
      <c r="I32" s="167">
        <v>0.79980000000000007</v>
      </c>
      <c r="J32" s="167">
        <v>2.2000000000000001E-3</v>
      </c>
      <c r="K32" s="167">
        <v>0.26690000000000003</v>
      </c>
      <c r="L32" s="165">
        <v>9.91</v>
      </c>
      <c r="M32" s="165">
        <v>4509.91</v>
      </c>
      <c r="N32" s="165">
        <v>353.4</v>
      </c>
      <c r="O32" s="165">
        <v>42.38</v>
      </c>
    </row>
    <row r="33" spans="2:15" x14ac:dyDescent="0.2">
      <c r="B33" s="161" t="s">
        <v>390</v>
      </c>
      <c r="C33" s="161" t="s">
        <v>377</v>
      </c>
      <c r="D33" s="161" t="s">
        <v>378</v>
      </c>
      <c r="E33" s="160">
        <v>11516.4</v>
      </c>
      <c r="F33" s="160">
        <v>9029.6</v>
      </c>
      <c r="G33" s="160">
        <v>2919</v>
      </c>
      <c r="H33" s="167">
        <v>0.11840000000000001</v>
      </c>
      <c r="I33" s="167">
        <v>0.77359999999999995</v>
      </c>
      <c r="J33" s="167">
        <v>8.5299999999999987E-2</v>
      </c>
      <c r="K33" s="167">
        <v>0.29559999999999997</v>
      </c>
      <c r="L33" s="165">
        <v>3.09</v>
      </c>
      <c r="M33" s="165">
        <v>36.26</v>
      </c>
      <c r="N33" s="165">
        <v>49.6</v>
      </c>
      <c r="O33" s="165">
        <v>13.34</v>
      </c>
    </row>
    <row r="34" spans="2:15" x14ac:dyDescent="0.2">
      <c r="B34" s="161" t="s">
        <v>390</v>
      </c>
      <c r="C34" s="161" t="s">
        <v>405</v>
      </c>
      <c r="D34" s="161" t="s">
        <v>406</v>
      </c>
      <c r="E34" s="160">
        <v>45587.5</v>
      </c>
      <c r="F34" s="160">
        <v>40530.800000000003</v>
      </c>
      <c r="G34" s="160">
        <v>4683.8999999999996</v>
      </c>
      <c r="H34" s="167">
        <v>0.29160000000000003</v>
      </c>
      <c r="I34" s="167">
        <v>0.67169999999999996</v>
      </c>
      <c r="J34" s="167">
        <v>-0.27460000000000001</v>
      </c>
      <c r="K34" s="167">
        <v>0.23850000000000002</v>
      </c>
      <c r="L34" s="165">
        <v>8.65</v>
      </c>
      <c r="M34" s="165" t="s">
        <v>459</v>
      </c>
      <c r="N34" s="165" t="s">
        <v>459</v>
      </c>
      <c r="O34" s="165">
        <v>40.799999999999997</v>
      </c>
    </row>
    <row r="35" spans="2:15" x14ac:dyDescent="0.2">
      <c r="B35" s="161" t="s">
        <v>390</v>
      </c>
      <c r="C35" s="161" t="s">
        <v>407</v>
      </c>
      <c r="D35" s="161" t="s">
        <v>408</v>
      </c>
      <c r="E35" s="160">
        <v>10760.7</v>
      </c>
      <c r="F35" s="160">
        <v>8698.4</v>
      </c>
      <c r="G35" s="160">
        <v>3131.3</v>
      </c>
      <c r="H35" s="167">
        <v>0.19170000000000001</v>
      </c>
      <c r="I35" s="167">
        <v>0.83760000000000001</v>
      </c>
      <c r="J35" s="167">
        <v>9.7999999999999997E-3</v>
      </c>
      <c r="K35" s="167">
        <v>0.18420000000000003</v>
      </c>
      <c r="L35" s="165">
        <v>2.78</v>
      </c>
      <c r="M35" s="165">
        <v>282.32</v>
      </c>
      <c r="N35" s="165">
        <v>234.52</v>
      </c>
      <c r="O35" s="165">
        <v>18.66</v>
      </c>
    </row>
    <row r="36" spans="2:15" x14ac:dyDescent="0.2">
      <c r="B36" s="161" t="s">
        <v>390</v>
      </c>
      <c r="C36" s="161" t="s">
        <v>409</v>
      </c>
      <c r="D36" s="161" t="s">
        <v>410</v>
      </c>
      <c r="E36" s="160">
        <v>15968.7</v>
      </c>
      <c r="F36" s="160">
        <v>17050.2</v>
      </c>
      <c r="G36" s="160">
        <v>2739.2</v>
      </c>
      <c r="H36" s="167">
        <v>0.1918</v>
      </c>
      <c r="I36" s="167">
        <v>0.84230000000000005</v>
      </c>
      <c r="J36" s="167">
        <v>0.42869999999999997</v>
      </c>
      <c r="K36" s="167">
        <v>0.29949999999999999</v>
      </c>
      <c r="L36" s="165">
        <v>5.96</v>
      </c>
      <c r="M36" s="165">
        <v>13.9</v>
      </c>
      <c r="N36" s="165">
        <v>19.760000000000002</v>
      </c>
      <c r="O36" s="165">
        <v>18.64</v>
      </c>
    </row>
    <row r="37" spans="2:15" x14ac:dyDescent="0.2">
      <c r="B37" s="161" t="s">
        <v>390</v>
      </c>
      <c r="C37" s="161" t="s">
        <v>411</v>
      </c>
      <c r="D37" s="161" t="s">
        <v>412</v>
      </c>
      <c r="E37" s="160">
        <v>10187.299999999999</v>
      </c>
      <c r="F37" s="160">
        <v>8548.9</v>
      </c>
      <c r="G37" s="160">
        <v>1698.7</v>
      </c>
      <c r="H37" s="167">
        <v>0.1875</v>
      </c>
      <c r="I37" s="167">
        <v>0.8175</v>
      </c>
      <c r="J37" s="167">
        <v>0.13980000000000001</v>
      </c>
      <c r="K37" s="167">
        <v>0.22289999999999999</v>
      </c>
      <c r="L37" s="165">
        <v>4.42</v>
      </c>
      <c r="M37" s="165">
        <v>31.65</v>
      </c>
      <c r="N37" s="165">
        <v>56.32</v>
      </c>
      <c r="O37" s="165">
        <v>23.66</v>
      </c>
    </row>
    <row r="38" spans="2:15" x14ac:dyDescent="0.2">
      <c r="B38" s="161" t="s">
        <v>390</v>
      </c>
      <c r="C38" s="161" t="s">
        <v>413</v>
      </c>
      <c r="D38" s="161" t="s">
        <v>414</v>
      </c>
      <c r="E38" s="160">
        <v>10048</v>
      </c>
      <c r="F38" s="160">
        <v>8799</v>
      </c>
      <c r="G38" s="160">
        <v>2537.9</v>
      </c>
      <c r="H38" s="167">
        <v>0.18109999999999998</v>
      </c>
      <c r="I38" s="167">
        <v>0.87129999999999996</v>
      </c>
      <c r="J38" s="167">
        <v>0.10970000000000001</v>
      </c>
      <c r="K38" s="167">
        <v>0.27929999999999999</v>
      </c>
      <c r="L38" s="165">
        <v>3.28</v>
      </c>
      <c r="M38" s="165">
        <v>29.87</v>
      </c>
      <c r="N38" s="165">
        <v>40.39</v>
      </c>
      <c r="O38" s="165">
        <v>13.39</v>
      </c>
    </row>
    <row r="39" spans="2:15" x14ac:dyDescent="0.2">
      <c r="B39" s="161" t="s">
        <v>390</v>
      </c>
      <c r="C39" s="161" t="s">
        <v>415</v>
      </c>
      <c r="D39" s="161" t="s">
        <v>416</v>
      </c>
      <c r="E39" s="160">
        <v>25750.400000000001</v>
      </c>
      <c r="F39" s="160">
        <v>18268.2</v>
      </c>
      <c r="G39" s="160">
        <v>3195.3</v>
      </c>
      <c r="H39" s="167">
        <v>0.16339999999999999</v>
      </c>
      <c r="I39" s="167">
        <v>0.75529999999999997</v>
      </c>
      <c r="J39" s="167">
        <v>0.30829999999999996</v>
      </c>
      <c r="K39" s="167">
        <v>0.44290000000000002</v>
      </c>
      <c r="L39" s="165">
        <v>5.72</v>
      </c>
      <c r="M39" s="165">
        <v>18.55</v>
      </c>
      <c r="N39" s="165">
        <v>28.8</v>
      </c>
      <c r="O39" s="165">
        <v>18.2</v>
      </c>
    </row>
    <row r="40" spans="2:15" x14ac:dyDescent="0.2">
      <c r="B40" s="161" t="s">
        <v>390</v>
      </c>
      <c r="C40" s="161" t="s">
        <v>417</v>
      </c>
      <c r="D40" s="161" t="s">
        <v>418</v>
      </c>
      <c r="E40" s="160">
        <v>16137.2</v>
      </c>
      <c r="F40" s="160">
        <v>14722</v>
      </c>
      <c r="G40" s="160">
        <v>5215.3</v>
      </c>
      <c r="H40" s="167">
        <v>0.1966</v>
      </c>
      <c r="I40" s="167">
        <v>0.84060000000000001</v>
      </c>
      <c r="J40" s="167">
        <v>-4.0000000000000001E-3</v>
      </c>
      <c r="K40" s="167">
        <v>0.24579999999999999</v>
      </c>
      <c r="L40" s="165">
        <v>2.56</v>
      </c>
      <c r="M40" s="165" t="s">
        <v>459</v>
      </c>
      <c r="N40" s="165" t="s">
        <v>459</v>
      </c>
      <c r="O40" s="165">
        <v>11.4</v>
      </c>
    </row>
    <row r="41" spans="2:15" x14ac:dyDescent="0.2">
      <c r="B41" s="161" t="s">
        <v>390</v>
      </c>
      <c r="C41" s="161" t="s">
        <v>419</v>
      </c>
      <c r="D41" s="161" t="s">
        <v>420</v>
      </c>
      <c r="E41" s="160">
        <v>8823.1</v>
      </c>
      <c r="F41" s="160">
        <v>7657.6</v>
      </c>
      <c r="G41" s="160">
        <v>3219.5</v>
      </c>
      <c r="H41" s="167">
        <v>8.1600000000000006E-2</v>
      </c>
      <c r="I41" s="167">
        <v>0.79579999999999995</v>
      </c>
      <c r="J41" s="167">
        <v>0.105</v>
      </c>
      <c r="K41" s="167">
        <v>0.32880000000000004</v>
      </c>
      <c r="L41" s="165">
        <v>2.38</v>
      </c>
      <c r="M41" s="165">
        <v>22.64</v>
      </c>
      <c r="N41" s="165">
        <v>30.66</v>
      </c>
      <c r="O41" s="165">
        <v>8.34</v>
      </c>
    </row>
    <row r="42" spans="2:15" x14ac:dyDescent="0.2">
      <c r="B42" s="161" t="s">
        <v>390</v>
      </c>
      <c r="C42" s="161" t="s">
        <v>421</v>
      </c>
      <c r="D42" s="161" t="s">
        <v>422</v>
      </c>
      <c r="E42" s="160">
        <v>5382.3</v>
      </c>
      <c r="F42" s="160">
        <v>3523.1</v>
      </c>
      <c r="G42" s="160">
        <v>1610.6</v>
      </c>
      <c r="H42" s="167">
        <v>0.1265</v>
      </c>
      <c r="I42" s="167">
        <v>0.83239999999999992</v>
      </c>
      <c r="J42" s="167">
        <v>4.6900000000000004E-2</v>
      </c>
      <c r="K42" s="167">
        <v>0.21870000000000001</v>
      </c>
      <c r="L42" s="165">
        <v>2.19</v>
      </c>
      <c r="M42" s="165">
        <v>46.64</v>
      </c>
      <c r="N42" s="165">
        <v>19.36</v>
      </c>
      <c r="O42" s="165">
        <v>15.28</v>
      </c>
    </row>
    <row r="43" spans="2:15" x14ac:dyDescent="0.2">
      <c r="B43" s="161" t="s">
        <v>390</v>
      </c>
      <c r="C43" s="161" t="s">
        <v>381</v>
      </c>
      <c r="D43" s="161" t="s">
        <v>382</v>
      </c>
      <c r="E43" s="160">
        <v>4803.3999999999996</v>
      </c>
      <c r="F43" s="160">
        <v>3825.2</v>
      </c>
      <c r="G43" s="160">
        <v>1483.3</v>
      </c>
      <c r="H43" s="167">
        <v>0.1704</v>
      </c>
      <c r="I43" s="167">
        <v>0.76069999999999993</v>
      </c>
      <c r="J43" s="167">
        <v>-9.7999999999999997E-3</v>
      </c>
      <c r="K43" s="167">
        <v>0.15609999999999999</v>
      </c>
      <c r="L43" s="165">
        <v>2.2799999999999998</v>
      </c>
      <c r="M43" s="165" t="s">
        <v>459</v>
      </c>
      <c r="N43" s="165" t="s">
        <v>459</v>
      </c>
      <c r="O43" s="165">
        <v>18.350000000000001</v>
      </c>
    </row>
    <row r="44" spans="2:15" x14ac:dyDescent="0.2">
      <c r="B44" s="161" t="s">
        <v>390</v>
      </c>
      <c r="C44" s="161" t="s">
        <v>385</v>
      </c>
      <c r="D44" s="161" t="s">
        <v>386</v>
      </c>
      <c r="E44" s="160">
        <v>3418</v>
      </c>
      <c r="F44" s="160">
        <v>2089</v>
      </c>
      <c r="G44" s="160">
        <v>955.2</v>
      </c>
      <c r="H44" s="167">
        <v>0.2581</v>
      </c>
      <c r="I44" s="167">
        <v>0.87379999999999991</v>
      </c>
      <c r="J44" s="167">
        <v>-6.7799999999999999E-2</v>
      </c>
      <c r="K44" s="167">
        <v>0.2324</v>
      </c>
      <c r="L44" s="165">
        <v>2.19</v>
      </c>
      <c r="M44" s="165" t="s">
        <v>459</v>
      </c>
      <c r="N44" s="165" t="s">
        <v>459</v>
      </c>
      <c r="O44" s="165">
        <v>15.39</v>
      </c>
    </row>
    <row r="45" spans="2:15" x14ac:dyDescent="0.2">
      <c r="B45" s="161" t="s">
        <v>390</v>
      </c>
      <c r="C45" s="161" t="s">
        <v>383</v>
      </c>
      <c r="D45" s="161" t="s">
        <v>384</v>
      </c>
      <c r="E45" s="160">
        <v>3215.8</v>
      </c>
      <c r="F45" s="160">
        <v>1489.3</v>
      </c>
      <c r="G45" s="160">
        <v>1232</v>
      </c>
      <c r="H45" s="167">
        <v>0.26750000000000002</v>
      </c>
      <c r="I45" s="167">
        <v>0.89200000000000002</v>
      </c>
      <c r="J45" s="167">
        <v>6.7000000000000002E-3</v>
      </c>
      <c r="K45" s="167">
        <v>0.2515</v>
      </c>
      <c r="L45" s="165">
        <v>1.21</v>
      </c>
      <c r="M45" s="165">
        <v>181.25</v>
      </c>
      <c r="N45" s="165">
        <v>27.85</v>
      </c>
      <c r="O45" s="165">
        <v>10.38</v>
      </c>
    </row>
    <row r="46" spans="2:15" x14ac:dyDescent="0.2">
      <c r="B46" s="161" t="s">
        <v>390</v>
      </c>
      <c r="C46" s="161" t="s">
        <v>423</v>
      </c>
      <c r="D46" s="161" t="s">
        <v>424</v>
      </c>
      <c r="E46" s="160">
        <v>3712.3</v>
      </c>
      <c r="F46" s="160">
        <v>3080.5</v>
      </c>
      <c r="G46" s="160">
        <v>1462.6</v>
      </c>
      <c r="H46" s="167">
        <v>0.1336</v>
      </c>
      <c r="I46" s="167">
        <v>0.83560000000000001</v>
      </c>
      <c r="J46" s="167">
        <v>-1.5E-3</v>
      </c>
      <c r="K46" s="167">
        <v>0.19949999999999998</v>
      </c>
      <c r="L46" s="165">
        <v>1.99</v>
      </c>
      <c r="M46" s="165" t="s">
        <v>459</v>
      </c>
      <c r="N46" s="165" t="s">
        <v>459</v>
      </c>
      <c r="O46" s="165">
        <v>11.99</v>
      </c>
    </row>
    <row r="47" spans="2:15" x14ac:dyDescent="0.2">
      <c r="B47" s="161" t="s">
        <v>390</v>
      </c>
      <c r="C47" s="161" t="s">
        <v>425</v>
      </c>
      <c r="D47" s="161" t="s">
        <v>426</v>
      </c>
      <c r="E47" s="160">
        <v>2229</v>
      </c>
      <c r="F47" s="160">
        <v>1406.4</v>
      </c>
      <c r="G47" s="160">
        <v>838.8</v>
      </c>
      <c r="H47" s="167">
        <v>0.1643</v>
      </c>
      <c r="I47" s="167">
        <v>0.84959999999999991</v>
      </c>
      <c r="J47" s="167">
        <v>3.8199999999999998E-2</v>
      </c>
      <c r="K47" s="167">
        <v>0.26329999999999998</v>
      </c>
      <c r="L47" s="165">
        <v>1.68</v>
      </c>
      <c r="M47" s="165">
        <v>43.87</v>
      </c>
      <c r="N47" s="165">
        <v>12.45</v>
      </c>
      <c r="O47" s="165">
        <v>10.09</v>
      </c>
    </row>
    <row r="48" spans="2:15" x14ac:dyDescent="0.2">
      <c r="B48" s="161" t="s">
        <v>390</v>
      </c>
      <c r="C48" s="161" t="s">
        <v>427</v>
      </c>
      <c r="D48" s="161" t="s">
        <v>428</v>
      </c>
      <c r="E48" s="160">
        <v>11523.3</v>
      </c>
      <c r="F48" s="160">
        <v>18693.3</v>
      </c>
      <c r="G48" s="160">
        <v>3935</v>
      </c>
      <c r="H48" s="167">
        <v>3.5499999999999997E-2</v>
      </c>
      <c r="I48" s="167">
        <v>0.78839999999999999</v>
      </c>
      <c r="J48" s="167">
        <v>0.42590000000000006</v>
      </c>
      <c r="K48" s="167">
        <v>0.25509999999999999</v>
      </c>
      <c r="L48" s="165">
        <v>3.96</v>
      </c>
      <c r="M48" s="165">
        <v>9.2899999999999991</v>
      </c>
      <c r="N48" s="165">
        <v>19.260000000000002</v>
      </c>
      <c r="O48" s="165">
        <v>9.56</v>
      </c>
    </row>
    <row r="49" spans="2:16" x14ac:dyDescent="0.2">
      <c r="B49" s="161" t="s">
        <v>390</v>
      </c>
      <c r="C49" s="161" t="s">
        <v>429</v>
      </c>
      <c r="D49" s="161" t="s">
        <v>430</v>
      </c>
      <c r="E49" s="160">
        <v>16873.2</v>
      </c>
      <c r="F49" s="160">
        <v>15447.8</v>
      </c>
      <c r="G49" s="160">
        <v>3088.1</v>
      </c>
      <c r="H49" s="167">
        <v>9.6600000000000005E-2</v>
      </c>
      <c r="I49" s="167">
        <v>0.81389999999999996</v>
      </c>
      <c r="J49" s="167">
        <v>0.28100000000000003</v>
      </c>
      <c r="K49" s="167">
        <v>0.2883</v>
      </c>
      <c r="L49" s="165">
        <v>4.91</v>
      </c>
      <c r="M49" s="165">
        <v>17.48</v>
      </c>
      <c r="N49" s="165">
        <v>24.57</v>
      </c>
      <c r="O49" s="165">
        <v>18.62</v>
      </c>
    </row>
    <row r="51" spans="2:16" x14ac:dyDescent="0.2">
      <c r="B51" s="168" t="s">
        <v>432</v>
      </c>
      <c r="C51" s="168"/>
      <c r="D51" s="168"/>
      <c r="E51" s="169">
        <f t="shared" ref="E51:O51" si="0">MEDIAN(E15:E23)</f>
        <v>15155.3</v>
      </c>
      <c r="F51" s="169">
        <f t="shared" si="0"/>
        <v>13270.5</v>
      </c>
      <c r="G51" s="169">
        <f t="shared" si="0"/>
        <v>2673.1</v>
      </c>
      <c r="H51" s="170">
        <f t="shared" si="0"/>
        <v>0.14169999999999999</v>
      </c>
      <c r="I51" s="170">
        <f t="shared" si="0"/>
        <v>0.76629999999999998</v>
      </c>
      <c r="J51" s="170">
        <f t="shared" si="0"/>
        <v>3.27E-2</v>
      </c>
      <c r="K51" s="170">
        <f t="shared" si="0"/>
        <v>0.25030000000000002</v>
      </c>
      <c r="L51" s="171">
        <f t="shared" si="0"/>
        <v>4.87</v>
      </c>
      <c r="M51" s="171">
        <f t="shared" si="0"/>
        <v>24.36</v>
      </c>
      <c r="N51" s="171">
        <f t="shared" si="0"/>
        <v>23.585000000000001</v>
      </c>
      <c r="O51" s="171">
        <f t="shared" si="0"/>
        <v>26.26</v>
      </c>
      <c r="P51" s="22"/>
    </row>
    <row r="52" spans="2:16" x14ac:dyDescent="0.2">
      <c r="B52" s="168" t="s">
        <v>433</v>
      </c>
      <c r="C52" s="168"/>
      <c r="D52" s="168"/>
      <c r="E52" s="169">
        <f t="shared" ref="E52:O52" si="1">AVERAGE(E15:E23)</f>
        <v>37352.577777777777</v>
      </c>
      <c r="F52" s="169">
        <f t="shared" si="1"/>
        <v>34189.055555555555</v>
      </c>
      <c r="G52" s="169">
        <f t="shared" si="1"/>
        <v>3301.7333333333331</v>
      </c>
      <c r="H52" s="170">
        <f t="shared" si="1"/>
        <v>0.14253333333333332</v>
      </c>
      <c r="I52" s="170">
        <f t="shared" si="1"/>
        <v>0.77187777777777777</v>
      </c>
      <c r="J52" s="170">
        <f t="shared" si="1"/>
        <v>4.3777777777777777E-2</v>
      </c>
      <c r="K52" s="170">
        <f t="shared" si="1"/>
        <v>0.25257777777777779</v>
      </c>
      <c r="L52" s="171">
        <f t="shared" si="1"/>
        <v>6.6166666666666671</v>
      </c>
      <c r="M52" s="171">
        <f t="shared" si="1"/>
        <v>38.116</v>
      </c>
      <c r="N52" s="171">
        <f t="shared" si="1"/>
        <v>37.702500000000001</v>
      </c>
      <c r="O52" s="171">
        <f t="shared" si="1"/>
        <v>33.357777777777784</v>
      </c>
    </row>
    <row r="54" spans="2:16" x14ac:dyDescent="0.2">
      <c r="B54" s="26" t="s">
        <v>322</v>
      </c>
      <c r="P54" s="22"/>
    </row>
    <row r="55" spans="2:16" x14ac:dyDescent="0.2">
      <c r="B55" s="172" t="s">
        <v>323</v>
      </c>
      <c r="C55" s="172" t="s">
        <v>54</v>
      </c>
      <c r="D55" s="173">
        <f>(($L$51*$G$14)+('DCF &amp; Sensitivity'!$D$48*-1))/'DCF &amp; Sensitivity'!$D$51</f>
        <v>108.39772602739727</v>
      </c>
      <c r="F55" s="20" t="s">
        <v>434</v>
      </c>
    </row>
    <row r="56" spans="2:16" x14ac:dyDescent="0.2">
      <c r="B56" s="37" t="s">
        <v>324</v>
      </c>
      <c r="C56" s="37" t="s">
        <v>54</v>
      </c>
      <c r="D56" s="38">
        <f>(($M$51*'Income Statement'!H47)+('DCF &amp; Sensitivity'!$D$48*-1))/'DCF &amp; Sensitivity'!$D$51</f>
        <v>176.89600000000007</v>
      </c>
      <c r="F56" s="20" t="s">
        <v>437</v>
      </c>
    </row>
    <row r="57" spans="2:16" x14ac:dyDescent="0.2">
      <c r="B57" s="37" t="s">
        <v>325</v>
      </c>
      <c r="C57" s="37" t="s">
        <v>54</v>
      </c>
      <c r="D57" s="38">
        <f>N51*'Income Statement'!H42</f>
        <v>128.05711600000006</v>
      </c>
      <c r="F57" s="20" t="s">
        <v>435</v>
      </c>
    </row>
    <row r="58" spans="2:16" x14ac:dyDescent="0.2">
      <c r="B58" s="37" t="s">
        <v>326</v>
      </c>
      <c r="C58" s="37" t="s">
        <v>54</v>
      </c>
      <c r="D58" s="38">
        <f>O51*('Cash Flow'!H38/'DCF &amp; Sensitivity'!D51)</f>
        <v>219.00120547945207</v>
      </c>
      <c r="F58" s="20" t="s">
        <v>436</v>
      </c>
    </row>
    <row r="60" spans="2:16" x14ac:dyDescent="0.2">
      <c r="B60" s="174" t="s">
        <v>438</v>
      </c>
    </row>
  </sheetData>
  <pageMargins left="0.75" right="0.75" top="1" bottom="1" header="0.5" footer="0.5"/>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2:C25"/>
  <sheetViews>
    <sheetView showGridLines="0" workbookViewId="0"/>
  </sheetViews>
  <sheetFormatPr baseColWidth="10" defaultColWidth="8.83203125" defaultRowHeight="14" x14ac:dyDescent="0.2"/>
  <cols>
    <col min="1" max="1" width="4.1640625" style="27" customWidth="1"/>
    <col min="2" max="2" width="45" style="27" customWidth="1"/>
    <col min="3" max="3" width="65" style="27" customWidth="1"/>
    <col min="4" max="5" width="8.83203125" style="27" customWidth="1"/>
    <col min="6" max="16384" width="8.83203125" style="27"/>
  </cols>
  <sheetData>
    <row r="2" spans="2:3" ht="19" customHeight="1" x14ac:dyDescent="0.2">
      <c r="B2" s="83" t="s">
        <v>327</v>
      </c>
    </row>
    <row r="3" spans="2:3" x14ac:dyDescent="0.2">
      <c r="B3" s="101" t="s">
        <v>328</v>
      </c>
    </row>
    <row r="5" spans="2:3" ht="15" customHeight="1" thickBot="1" x14ac:dyDescent="0.25">
      <c r="B5" s="102" t="s">
        <v>329</v>
      </c>
    </row>
    <row r="6" spans="2:3" x14ac:dyDescent="0.2">
      <c r="B6" s="103" t="s">
        <v>330</v>
      </c>
      <c r="C6" s="103" t="s">
        <v>331</v>
      </c>
    </row>
    <row r="7" spans="2:3" x14ac:dyDescent="0.2">
      <c r="B7" s="82" t="s">
        <v>332</v>
      </c>
      <c r="C7" s="82" t="s">
        <v>333</v>
      </c>
    </row>
    <row r="8" spans="2:3" x14ac:dyDescent="0.2">
      <c r="B8" s="82" t="s">
        <v>334</v>
      </c>
      <c r="C8" s="82" t="s">
        <v>335</v>
      </c>
    </row>
    <row r="10" spans="2:3" ht="15" customHeight="1" thickBot="1" x14ac:dyDescent="0.25">
      <c r="B10" s="102" t="s">
        <v>336</v>
      </c>
    </row>
    <row r="11" spans="2:3" x14ac:dyDescent="0.2">
      <c r="B11" s="103" t="s">
        <v>82</v>
      </c>
      <c r="C11" s="103" t="s">
        <v>337</v>
      </c>
    </row>
    <row r="12" spans="2:3" x14ac:dyDescent="0.2">
      <c r="B12" s="82" t="s">
        <v>84</v>
      </c>
      <c r="C12" s="82" t="s">
        <v>338</v>
      </c>
    </row>
    <row r="13" spans="2:3" x14ac:dyDescent="0.2">
      <c r="B13" s="82" t="s">
        <v>86</v>
      </c>
      <c r="C13" s="82" t="s">
        <v>339</v>
      </c>
    </row>
    <row r="14" spans="2:3" x14ac:dyDescent="0.2">
      <c r="B14" s="82" t="s">
        <v>340</v>
      </c>
      <c r="C14" s="82" t="s">
        <v>341</v>
      </c>
    </row>
    <row r="15" spans="2:3" x14ac:dyDescent="0.2">
      <c r="B15" s="82" t="s">
        <v>342</v>
      </c>
      <c r="C15" s="82" t="s">
        <v>343</v>
      </c>
    </row>
    <row r="16" spans="2:3" x14ac:dyDescent="0.2">
      <c r="B16" s="82" t="s">
        <v>344</v>
      </c>
      <c r="C16" s="82" t="s">
        <v>345</v>
      </c>
    </row>
    <row r="17" spans="2:3" x14ac:dyDescent="0.2">
      <c r="B17" s="82" t="s">
        <v>346</v>
      </c>
      <c r="C17" s="82" t="s">
        <v>347</v>
      </c>
    </row>
    <row r="19" spans="2:3" ht="15" customHeight="1" thickBot="1" x14ac:dyDescent="0.25">
      <c r="B19" s="102" t="s">
        <v>348</v>
      </c>
    </row>
    <row r="20" spans="2:3" x14ac:dyDescent="0.2">
      <c r="B20" s="103" t="s">
        <v>349</v>
      </c>
      <c r="C20" s="103" t="s">
        <v>362</v>
      </c>
    </row>
    <row r="21" spans="2:3" x14ac:dyDescent="0.2">
      <c r="B21" s="82" t="s">
        <v>350</v>
      </c>
      <c r="C21" s="82" t="s">
        <v>362</v>
      </c>
    </row>
    <row r="22" spans="2:3" x14ac:dyDescent="0.2">
      <c r="B22" s="82" t="s">
        <v>351</v>
      </c>
      <c r="C22" s="82" t="s">
        <v>352</v>
      </c>
    </row>
    <row r="23" spans="2:3" x14ac:dyDescent="0.2">
      <c r="B23" s="82" t="s">
        <v>353</v>
      </c>
      <c r="C23" s="82" t="s">
        <v>354</v>
      </c>
    </row>
    <row r="24" spans="2:3" x14ac:dyDescent="0.2">
      <c r="B24" s="82" t="s">
        <v>355</v>
      </c>
      <c r="C24" s="82" t="s">
        <v>362</v>
      </c>
    </row>
    <row r="25" spans="2:3" x14ac:dyDescent="0.2">
      <c r="C25" s="27" t="s">
        <v>363</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Basis of Presentation</vt:lpstr>
      <vt:lpstr>SWOT</vt:lpstr>
      <vt:lpstr>Assumptions</vt:lpstr>
      <vt:lpstr>Revenue Build</vt:lpstr>
      <vt:lpstr>Income Statement</vt:lpstr>
      <vt:lpstr>Balance Sheet</vt:lpstr>
      <vt:lpstr>Cash Flow</vt:lpstr>
      <vt:lpstr>DCF &amp; Sensitivity</vt:lpstr>
      <vt:lpstr>Comps</vt:lpstr>
      <vt:lpstr>Sources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Arijay Mehta</cp:lastModifiedBy>
  <dcterms:created xsi:type="dcterms:W3CDTF">2026-04-13T20:34:49Z</dcterms:created>
  <dcterms:modified xsi:type="dcterms:W3CDTF">2026-04-16T16:42:42Z</dcterms:modified>
</cp:coreProperties>
</file>