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arijaymehta/Library/CloudStorage/GoogleDrive-asmehta4@gmail.com/My Drive/Stock Studies/"/>
    </mc:Choice>
  </mc:AlternateContent>
  <xr:revisionPtr revIDLastSave="0" documentId="13_ncr:1_{71C23BD0-F70B-5D44-B46B-2FBE1576863E}" xr6:coauthVersionLast="47" xr6:coauthVersionMax="47" xr10:uidLastSave="{00000000-0000-0000-0000-000000000000}"/>
  <bookViews>
    <workbookView xWindow="0" yWindow="0" windowWidth="38400" windowHeight="21600" xr2:uid="{00000000-000D-0000-FFFF-FFFF00000000}"/>
  </bookViews>
  <sheets>
    <sheet name="Cover Page" sheetId="16" r:id="rId1"/>
    <sheet name="Scenario Summary" sheetId="12" r:id="rId2"/>
    <sheet name="SWOT" sheetId="2" r:id="rId3"/>
    <sheet name="Valuation &gt;&gt;&gt;" sheetId="15" r:id="rId4"/>
    <sheet name="Assumptions" sheetId="3" r:id="rId5"/>
    <sheet name="Revenue Build" sheetId="4" r:id="rId6"/>
    <sheet name="Income Statement" sheetId="5" r:id="rId7"/>
    <sheet name="Balance Sheet" sheetId="6" r:id="rId8"/>
    <sheet name="Cash Flow" sheetId="7" r:id="rId9"/>
    <sheet name="DCF &amp; Sensitivity" sheetId="8" r:id="rId10"/>
    <sheet name="Comps" sheetId="10" r:id="rId11"/>
    <sheet name="Appendix &gt;&gt;&gt;" sheetId="14" r:id="rId12"/>
    <sheet name="Sources" sheetId="11" r:id="rId13"/>
    <sheet name="Shadow DCF" sheetId="13" r:id="rId14"/>
    <sheet name="Shadow DCF Rec" sheetId="20" r:id="rId15"/>
    <sheet name="FootballField Data" sheetId="19" state="hidden" r:id="rId16"/>
  </sheets>
  <definedNames>
    <definedName name="BaseYear" comment="First historical year. Drives all FY headers.">'Cover Page'!$C$63</definedName>
    <definedName name="CompanyName" comment="Company name (workbook title)">'Cover Page'!$B$2</definedName>
    <definedName name="CurrentPrice" comment="Current market share price">'DCF &amp; Sensitivity'!$D$55</definedName>
    <definedName name="ExitMultiple" comment="Exit EV/EBITDA multiple (x)">Assumptions!$D$89</definedName>
    <definedName name="FirstForecastYear" comment="First forecast (E) year. Years &gt;= this are labeled E.">'Cover Page'!$C$64</definedName>
    <definedName name="NetDebt" comment="Net debt for EV-&gt;Equity bridge">'DCF &amp; Sensitivity'!$D$48</definedName>
    <definedName name="ScenarioRange" comment="Bear/Base/Bull header row — use as MATCH lookup range">Assumptions!$E$9:$G$9</definedName>
    <definedName name="SharesOut" comment="Diluted shares outstanding">'DCF &amp; Sensitivity'!$D$51</definedName>
    <definedName name="TaxRate" comment="Effective tax rate (decimal)">'DCF &amp; Sensitivity'!$D$16</definedName>
    <definedName name="TerminalGrowth" comment="Perpetuity growth rate (decimal)">Assumptions!$D$88</definedName>
    <definedName name="Ticker" comment="Ticker string">'Cover Page'!$B$3</definedName>
    <definedName name="WACC" comment="Discount rate used in DCF">Assumptions!$D$87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1" i="13" l="1"/>
  <c r="G91" i="13"/>
  <c r="F91" i="13"/>
  <c r="E91" i="13"/>
  <c r="D91" i="13"/>
  <c r="H61" i="13"/>
  <c r="G61" i="13"/>
  <c r="F61" i="13"/>
  <c r="E61" i="13"/>
  <c r="D61" i="13"/>
  <c r="H31" i="13"/>
  <c r="G31" i="13"/>
  <c r="F31" i="13"/>
  <c r="E31" i="13"/>
  <c r="D31" i="13"/>
  <c r="Z101" i="16"/>
  <c r="Z100" i="16"/>
  <c r="K7" i="10"/>
  <c r="E45" i="12"/>
  <c r="D45" i="12"/>
  <c r="F18" i="20"/>
  <c r="D18" i="20"/>
  <c r="F24" i="20"/>
  <c r="F28" i="20" s="1"/>
  <c r="E24" i="20"/>
  <c r="E28" i="20" s="1"/>
  <c r="D24" i="20"/>
  <c r="D28" i="20" s="1"/>
  <c r="E18" i="20"/>
  <c r="G14" i="12"/>
  <c r="M45" i="3"/>
  <c r="L45" i="3"/>
  <c r="K45" i="3"/>
  <c r="J45" i="3"/>
  <c r="I45" i="3"/>
  <c r="H45" i="3"/>
  <c r="G45" i="3"/>
  <c r="F45" i="3"/>
  <c r="E45" i="3"/>
  <c r="D45" i="3"/>
  <c r="M27" i="3"/>
  <c r="L27" i="3"/>
  <c r="K27" i="3"/>
  <c r="J27" i="3"/>
  <c r="I27" i="3"/>
  <c r="H27" i="3"/>
  <c r="G27" i="3"/>
  <c r="F27" i="3"/>
  <c r="E27" i="3"/>
  <c r="D27" i="3"/>
  <c r="M22" i="8"/>
  <c r="L22" i="8"/>
  <c r="K22" i="8"/>
  <c r="J22" i="8"/>
  <c r="I22" i="8"/>
  <c r="H22" i="8"/>
  <c r="G22" i="8"/>
  <c r="F22" i="8"/>
  <c r="E22" i="8"/>
  <c r="D22" i="8"/>
  <c r="M7" i="7"/>
  <c r="L7" i="7"/>
  <c r="K7" i="7"/>
  <c r="J7" i="7"/>
  <c r="I7" i="7"/>
  <c r="H7" i="7"/>
  <c r="G7" i="7"/>
  <c r="F7" i="7"/>
  <c r="E7" i="7"/>
  <c r="D7" i="7"/>
  <c r="M6" i="6"/>
  <c r="L6" i="6"/>
  <c r="K6" i="6"/>
  <c r="J6" i="6"/>
  <c r="I6" i="6"/>
  <c r="H6" i="6"/>
  <c r="G6" i="6"/>
  <c r="F6" i="6"/>
  <c r="E6" i="6"/>
  <c r="D6" i="6"/>
  <c r="M6" i="5"/>
  <c r="L6" i="5"/>
  <c r="K6" i="5"/>
  <c r="J6" i="5"/>
  <c r="I6" i="5"/>
  <c r="H6" i="5"/>
  <c r="G6" i="5"/>
  <c r="F6" i="5"/>
  <c r="E6" i="5"/>
  <c r="D6" i="5"/>
  <c r="D92" i="13"/>
  <c r="D62" i="13"/>
  <c r="D32" i="13"/>
  <c r="D19" i="13"/>
  <c r="H38" i="4"/>
  <c r="G38" i="4"/>
  <c r="F38" i="4"/>
  <c r="E38" i="4"/>
  <c r="D38" i="4"/>
  <c r="M38" i="4"/>
  <c r="L38" i="4"/>
  <c r="K38" i="4"/>
  <c r="J38" i="4"/>
  <c r="I38" i="4"/>
  <c r="M29" i="4"/>
  <c r="L29" i="4"/>
  <c r="K29" i="4"/>
  <c r="J29" i="4"/>
  <c r="I29" i="4"/>
  <c r="I30" i="3" s="1"/>
  <c r="I31" i="3" s="1"/>
  <c r="M22" i="4"/>
  <c r="L22" i="4"/>
  <c r="K22" i="4"/>
  <c r="J22" i="4"/>
  <c r="I22" i="4"/>
  <c r="I36" i="4"/>
  <c r="I63" i="3"/>
  <c r="I38" i="3"/>
  <c r="I36" i="3"/>
  <c r="H71" i="3"/>
  <c r="H32" i="3"/>
  <c r="D81" i="3"/>
  <c r="M41" i="3"/>
  <c r="I70" i="3"/>
  <c r="F45" i="12" l="1"/>
  <c r="D40" i="13"/>
  <c r="D70" i="13"/>
  <c r="D100" i="13"/>
  <c r="I37" i="4"/>
  <c r="I39" i="4" s="1"/>
  <c r="I23" i="4"/>
  <c r="J23" i="4" s="1"/>
  <c r="K23" i="4" s="1"/>
  <c r="L23" i="4" s="1"/>
  <c r="M23" i="4" s="1"/>
  <c r="I30" i="4"/>
  <c r="J30" i="4" s="1"/>
  <c r="K30" i="4" s="1"/>
  <c r="L30" i="4" s="1"/>
  <c r="M30" i="4" s="1"/>
  <c r="B12" i="19"/>
  <c r="G8" i="19" s="1"/>
  <c r="C10" i="19"/>
  <c r="G16" i="12"/>
  <c r="G15" i="12"/>
  <c r="F24" i="12"/>
  <c r="E24" i="12"/>
  <c r="D24" i="12"/>
  <c r="F23" i="12"/>
  <c r="E23" i="12"/>
  <c r="D23" i="12"/>
  <c r="F22" i="12"/>
  <c r="E22" i="12"/>
  <c r="D22" i="12"/>
  <c r="F20" i="12"/>
  <c r="E20" i="12"/>
  <c r="D20" i="12"/>
  <c r="F19" i="12"/>
  <c r="E19" i="12"/>
  <c r="D19" i="12"/>
  <c r="F18" i="12"/>
  <c r="E18" i="12"/>
  <c r="D18" i="12"/>
  <c r="F17" i="12"/>
  <c r="E17" i="12"/>
  <c r="D17" i="12"/>
  <c r="F16" i="12"/>
  <c r="E16" i="12"/>
  <c r="D16" i="12"/>
  <c r="F15" i="12"/>
  <c r="E15" i="12"/>
  <c r="D15" i="12"/>
  <c r="F11" i="12"/>
  <c r="E11" i="12"/>
  <c r="D11" i="12"/>
  <c r="D24" i="13"/>
  <c r="E32" i="13" s="1"/>
  <c r="F28" i="13"/>
  <c r="E28" i="13"/>
  <c r="D28" i="13"/>
  <c r="F27" i="13"/>
  <c r="E27" i="13"/>
  <c r="D27" i="13"/>
  <c r="F26" i="13"/>
  <c r="E26" i="13"/>
  <c r="D26" i="13"/>
  <c r="F24" i="13"/>
  <c r="E92" i="13" s="1"/>
  <c r="F92" i="13" s="1"/>
  <c r="E24" i="13"/>
  <c r="E62" i="13" s="1"/>
  <c r="D85" i="3"/>
  <c r="E37" i="7"/>
  <c r="F37" i="7"/>
  <c r="G37" i="7"/>
  <c r="H37" i="7"/>
  <c r="D37" i="7"/>
  <c r="F48" i="6"/>
  <c r="E48" i="6"/>
  <c r="D48" i="6"/>
  <c r="F34" i="6"/>
  <c r="F40" i="6" s="1"/>
  <c r="E34" i="6"/>
  <c r="E40" i="6" s="1"/>
  <c r="D34" i="6"/>
  <c r="D40" i="6" s="1"/>
  <c r="F15" i="6"/>
  <c r="F24" i="6" s="1"/>
  <c r="E15" i="6"/>
  <c r="E24" i="6" s="1"/>
  <c r="D15" i="6"/>
  <c r="D24" i="6" s="1"/>
  <c r="H11" i="5"/>
  <c r="G11" i="5"/>
  <c r="I41" i="3"/>
  <c r="I37" i="3"/>
  <c r="I39" i="3" s="1"/>
  <c r="M38" i="3"/>
  <c r="M37" i="3"/>
  <c r="M36" i="3"/>
  <c r="G32" i="3"/>
  <c r="F32" i="3"/>
  <c r="E32" i="3"/>
  <c r="D32" i="3"/>
  <c r="H30" i="3"/>
  <c r="G30" i="3"/>
  <c r="F30" i="3"/>
  <c r="E30" i="3"/>
  <c r="D30" i="3"/>
  <c r="H28" i="3"/>
  <c r="G28" i="3"/>
  <c r="F28" i="3"/>
  <c r="E28" i="3"/>
  <c r="D28" i="3"/>
  <c r="I28" i="4"/>
  <c r="J28" i="4" s="1"/>
  <c r="K28" i="4" s="1"/>
  <c r="L28" i="4" s="1"/>
  <c r="M28" i="4" s="1"/>
  <c r="I19" i="4"/>
  <c r="H19" i="4"/>
  <c r="H24" i="4" s="1"/>
  <c r="I20" i="4"/>
  <c r="I10" i="5"/>
  <c r="J30" i="3"/>
  <c r="J31" i="3" s="1"/>
  <c r="K30" i="3"/>
  <c r="L30" i="3"/>
  <c r="M30" i="3"/>
  <c r="I28" i="3"/>
  <c r="I29" i="3" s="1"/>
  <c r="J28" i="3"/>
  <c r="K28" i="3"/>
  <c r="L28" i="3"/>
  <c r="M28" i="3"/>
  <c r="D24" i="4"/>
  <c r="D20" i="4"/>
  <c r="E19" i="4"/>
  <c r="I69" i="3"/>
  <c r="J69" i="3" s="1"/>
  <c r="K69" i="3" s="1"/>
  <c r="L69" i="3" s="1"/>
  <c r="M69" i="3" s="1"/>
  <c r="M70" i="3"/>
  <c r="H73" i="3"/>
  <c r="D51" i="8" s="1"/>
  <c r="E7" i="10" s="1"/>
  <c r="G73" i="3"/>
  <c r="F73" i="3"/>
  <c r="E73" i="3"/>
  <c r="D73" i="3"/>
  <c r="H72" i="3"/>
  <c r="G72" i="3"/>
  <c r="F72" i="3"/>
  <c r="E72" i="3"/>
  <c r="D72" i="3"/>
  <c r="G71" i="3"/>
  <c r="F71" i="3"/>
  <c r="E71" i="3"/>
  <c r="D71" i="3"/>
  <c r="D66" i="3"/>
  <c r="H66" i="3"/>
  <c r="G66" i="3"/>
  <c r="F66" i="3"/>
  <c r="E66" i="3"/>
  <c r="I48" i="3"/>
  <c r="J48" i="3" s="1"/>
  <c r="I47" i="3"/>
  <c r="I53" i="3" s="1"/>
  <c r="H65" i="3"/>
  <c r="G65" i="3"/>
  <c r="F65" i="3"/>
  <c r="E65" i="3"/>
  <c r="D65" i="3"/>
  <c r="I46" i="3"/>
  <c r="M63" i="3"/>
  <c r="H49" i="3"/>
  <c r="D84" i="3" s="1"/>
  <c r="G49" i="3"/>
  <c r="F49" i="3"/>
  <c r="E49" i="3"/>
  <c r="D49" i="3"/>
  <c r="D89" i="3"/>
  <c r="D88" i="3"/>
  <c r="C21" i="16" s="1"/>
  <c r="I31" i="7"/>
  <c r="H12" i="7"/>
  <c r="H11" i="7"/>
  <c r="G12" i="7"/>
  <c r="G11" i="7"/>
  <c r="F12" i="7"/>
  <c r="F11" i="7"/>
  <c r="E12" i="7"/>
  <c r="E11" i="7"/>
  <c r="I45" i="6"/>
  <c r="J45" i="6" s="1"/>
  <c r="K45" i="6" s="1"/>
  <c r="L45" i="6" s="1"/>
  <c r="M45" i="6" s="1"/>
  <c r="I43" i="6"/>
  <c r="J43" i="6" s="1"/>
  <c r="I39" i="6"/>
  <c r="J39" i="6" s="1"/>
  <c r="K39" i="6" s="1"/>
  <c r="L39" i="6" s="1"/>
  <c r="M39" i="6" s="1"/>
  <c r="I38" i="6"/>
  <c r="J38" i="6" s="1"/>
  <c r="K38" i="6" s="1"/>
  <c r="L38" i="6" s="1"/>
  <c r="M38" i="6" s="1"/>
  <c r="I37" i="6"/>
  <c r="J37" i="6" s="1"/>
  <c r="K37" i="6" s="1"/>
  <c r="L37" i="6" s="1"/>
  <c r="M37" i="6" s="1"/>
  <c r="I33" i="6"/>
  <c r="J33" i="6" s="1"/>
  <c r="K33" i="6" s="1"/>
  <c r="L33" i="6" s="1"/>
  <c r="M33" i="6" s="1"/>
  <c r="I31" i="6"/>
  <c r="J31" i="6" s="1"/>
  <c r="K31" i="6" s="1"/>
  <c r="L31" i="6" s="1"/>
  <c r="M31" i="6" s="1"/>
  <c r="I29" i="6"/>
  <c r="J29" i="6" s="1"/>
  <c r="K29" i="6" s="1"/>
  <c r="L29" i="6" s="1"/>
  <c r="M29" i="6" s="1"/>
  <c r="I23" i="6"/>
  <c r="J23" i="6" s="1"/>
  <c r="K23" i="6" s="1"/>
  <c r="L23" i="6" s="1"/>
  <c r="M23" i="6" s="1"/>
  <c r="I22" i="6"/>
  <c r="J22" i="6" s="1"/>
  <c r="K22" i="6" s="1"/>
  <c r="L22" i="6" s="1"/>
  <c r="M22" i="6" s="1"/>
  <c r="I21" i="6"/>
  <c r="J21" i="6" s="1"/>
  <c r="K21" i="6" s="1"/>
  <c r="L21" i="6" s="1"/>
  <c r="M21" i="6" s="1"/>
  <c r="I20" i="6"/>
  <c r="J20" i="6" s="1"/>
  <c r="K20" i="6" s="1"/>
  <c r="L20" i="6" s="1"/>
  <c r="M20" i="6" s="1"/>
  <c r="I19" i="6"/>
  <c r="J19" i="6" s="1"/>
  <c r="K19" i="6" s="1"/>
  <c r="L19" i="6" s="1"/>
  <c r="M19" i="6" s="1"/>
  <c r="C14" i="16"/>
  <c r="K22" i="10"/>
  <c r="K21" i="10"/>
  <c r="K20" i="10"/>
  <c r="K19" i="10"/>
  <c r="O16" i="10"/>
  <c r="L16" i="10"/>
  <c r="G16" i="10"/>
  <c r="O15" i="10"/>
  <c r="L15" i="10"/>
  <c r="G15" i="10"/>
  <c r="O14" i="10"/>
  <c r="L14" i="10"/>
  <c r="G14" i="10"/>
  <c r="O13" i="10"/>
  <c r="L13" i="10"/>
  <c r="G13" i="10"/>
  <c r="O12" i="10"/>
  <c r="L12" i="10"/>
  <c r="G12" i="10"/>
  <c r="O11" i="10"/>
  <c r="L11" i="10"/>
  <c r="G11" i="10"/>
  <c r="O10" i="10"/>
  <c r="L10" i="10"/>
  <c r="G10" i="10"/>
  <c r="D48" i="8"/>
  <c r="D14" i="13" s="1"/>
  <c r="D16" i="8"/>
  <c r="D13" i="13" s="1"/>
  <c r="D12" i="8"/>
  <c r="D11" i="8"/>
  <c r="M25" i="7"/>
  <c r="L25" i="7"/>
  <c r="K25" i="7"/>
  <c r="J25" i="7"/>
  <c r="I25" i="7"/>
  <c r="H36" i="7"/>
  <c r="G36" i="7"/>
  <c r="F36" i="7"/>
  <c r="E36" i="7"/>
  <c r="D36" i="7"/>
  <c r="H28" i="7"/>
  <c r="G28" i="7"/>
  <c r="F28" i="7"/>
  <c r="E28" i="7"/>
  <c r="D28" i="7"/>
  <c r="H21" i="7"/>
  <c r="G21" i="7"/>
  <c r="F21" i="7"/>
  <c r="E21" i="7"/>
  <c r="D21" i="7"/>
  <c r="D12" i="7"/>
  <c r="D11" i="7"/>
  <c r="H48" i="6"/>
  <c r="G48" i="6"/>
  <c r="H34" i="6"/>
  <c r="H40" i="6" s="1"/>
  <c r="G34" i="6"/>
  <c r="G40" i="6" s="1"/>
  <c r="H15" i="6"/>
  <c r="H24" i="6" s="1"/>
  <c r="G15" i="6"/>
  <c r="G24" i="6" s="1"/>
  <c r="H51" i="5"/>
  <c r="G51" i="5"/>
  <c r="F51" i="5"/>
  <c r="E51" i="5"/>
  <c r="H50" i="5"/>
  <c r="G50" i="5"/>
  <c r="F50" i="5"/>
  <c r="E50" i="5"/>
  <c r="D51" i="5"/>
  <c r="D50" i="5"/>
  <c r="H29" i="5"/>
  <c r="G29" i="5"/>
  <c r="F29" i="5"/>
  <c r="E29" i="5"/>
  <c r="D29" i="5"/>
  <c r="H31" i="4"/>
  <c r="G31" i="4"/>
  <c r="F31" i="4"/>
  <c r="E31" i="4"/>
  <c r="D31" i="4"/>
  <c r="D21" i="12" l="1"/>
  <c r="F32" i="13"/>
  <c r="E40" i="13"/>
  <c r="E70" i="13"/>
  <c r="F62" i="13"/>
  <c r="E100" i="13"/>
  <c r="E21" i="12"/>
  <c r="F21" i="12"/>
  <c r="G92" i="13"/>
  <c r="F100" i="13"/>
  <c r="G32" i="13"/>
  <c r="F40" i="13"/>
  <c r="K31" i="3"/>
  <c r="L31" i="3" s="1"/>
  <c r="M31" i="3" s="1"/>
  <c r="G22" i="5"/>
  <c r="G38" i="3" s="1"/>
  <c r="G20" i="5"/>
  <c r="G37" i="3" s="1"/>
  <c r="G18" i="5"/>
  <c r="G36" i="3" s="1"/>
  <c r="H18" i="5"/>
  <c r="H36" i="3" s="1"/>
  <c r="G17" i="12" s="1"/>
  <c r="H22" i="5"/>
  <c r="H38" i="3" s="1"/>
  <c r="G19" i="12" s="1"/>
  <c r="H20" i="5"/>
  <c r="H37" i="3" s="1"/>
  <c r="D86" i="3"/>
  <c r="D18" i="8" s="1"/>
  <c r="D19" i="8" s="1"/>
  <c r="G7" i="19"/>
  <c r="D82" i="13"/>
  <c r="D54" i="13"/>
  <c r="D112" i="13"/>
  <c r="D15" i="13"/>
  <c r="J37" i="3"/>
  <c r="H29" i="3"/>
  <c r="H31" i="3"/>
  <c r="M39" i="3"/>
  <c r="C23" i="16" s="1"/>
  <c r="L41" i="3"/>
  <c r="K41" i="3"/>
  <c r="J41" i="3"/>
  <c r="J29" i="3"/>
  <c r="K29" i="3" s="1"/>
  <c r="L29" i="3" s="1"/>
  <c r="M29" i="3" s="1"/>
  <c r="I9" i="5"/>
  <c r="I11" i="5" s="1"/>
  <c r="G50" i="6"/>
  <c r="G52" i="6" s="1"/>
  <c r="E50" i="6"/>
  <c r="E52" i="6" s="1"/>
  <c r="D50" i="6"/>
  <c r="D52" i="6" s="1"/>
  <c r="F50" i="6"/>
  <c r="F52" i="6" s="1"/>
  <c r="H23" i="5"/>
  <c r="H24" i="5" s="1"/>
  <c r="H13" i="5"/>
  <c r="G13" i="5"/>
  <c r="G23" i="5"/>
  <c r="G24" i="5" s="1"/>
  <c r="I21" i="4"/>
  <c r="J19" i="4" s="1"/>
  <c r="J21" i="4" s="1"/>
  <c r="K19" i="4" s="1"/>
  <c r="K21" i="4" s="1"/>
  <c r="L19" i="4" s="1"/>
  <c r="L21" i="4" s="1"/>
  <c r="M19" i="4" s="1"/>
  <c r="M21" i="4" s="1"/>
  <c r="L63" i="3"/>
  <c r="J63" i="3"/>
  <c r="K63" i="3"/>
  <c r="K38" i="3"/>
  <c r="L38" i="3"/>
  <c r="J38" i="3"/>
  <c r="L37" i="3"/>
  <c r="K37" i="3"/>
  <c r="L36" i="3"/>
  <c r="J36" i="3"/>
  <c r="K36" i="3"/>
  <c r="J10" i="5"/>
  <c r="I31" i="4"/>
  <c r="I24" i="4"/>
  <c r="G29" i="3"/>
  <c r="G31" i="3"/>
  <c r="F31" i="3"/>
  <c r="E31" i="3"/>
  <c r="D31" i="3"/>
  <c r="D33" i="4"/>
  <c r="D41" i="4" s="1"/>
  <c r="D40" i="4" s="1"/>
  <c r="L70" i="3"/>
  <c r="K70" i="3"/>
  <c r="J70" i="3"/>
  <c r="J46" i="3"/>
  <c r="I52" i="3"/>
  <c r="I54" i="3"/>
  <c r="J54" i="3"/>
  <c r="J47" i="3"/>
  <c r="J53" i="3" s="1"/>
  <c r="I49" i="3"/>
  <c r="H50" i="6"/>
  <c r="H52" i="6" s="1"/>
  <c r="N16" i="10"/>
  <c r="M16" i="10"/>
  <c r="M15" i="10"/>
  <c r="N15" i="10"/>
  <c r="N14" i="10"/>
  <c r="M14" i="10"/>
  <c r="M13" i="10"/>
  <c r="N13" i="10"/>
  <c r="M12" i="10"/>
  <c r="N12" i="10"/>
  <c r="M11" i="10"/>
  <c r="N11" i="10"/>
  <c r="O19" i="10"/>
  <c r="O22" i="10"/>
  <c r="O21" i="10"/>
  <c r="O20" i="10"/>
  <c r="D28" i="10" s="1"/>
  <c r="L22" i="10"/>
  <c r="L20" i="10"/>
  <c r="L19" i="10"/>
  <c r="L21" i="10"/>
  <c r="N10" i="10"/>
  <c r="M10" i="10"/>
  <c r="C25" i="16"/>
  <c r="C24" i="16"/>
  <c r="F7" i="10"/>
  <c r="G7" i="10" s="1"/>
  <c r="J36" i="4"/>
  <c r="J37" i="4" s="1"/>
  <c r="J39" i="4" s="1"/>
  <c r="F19" i="4"/>
  <c r="E20" i="4"/>
  <c r="E24" i="4"/>
  <c r="D37" i="8"/>
  <c r="C22" i="16"/>
  <c r="D30" i="8"/>
  <c r="D82" i="3"/>
  <c r="D13" i="8"/>
  <c r="K43" i="6"/>
  <c r="G62" i="13" l="1"/>
  <c r="H62" i="13" s="1"/>
  <c r="E120" i="13" s="1"/>
  <c r="E27" i="12" s="1"/>
  <c r="F70" i="13"/>
  <c r="H92" i="13"/>
  <c r="G100" i="13"/>
  <c r="G70" i="13"/>
  <c r="G40" i="13"/>
  <c r="H32" i="13"/>
  <c r="H14" i="5"/>
  <c r="H56" i="5"/>
  <c r="I17" i="5"/>
  <c r="I18" i="5" s="1"/>
  <c r="I19" i="5"/>
  <c r="I20" i="5" s="1"/>
  <c r="I21" i="5"/>
  <c r="I22" i="5" s="1"/>
  <c r="G56" i="5"/>
  <c r="K39" i="3"/>
  <c r="G39" i="3"/>
  <c r="D25" i="4"/>
  <c r="D32" i="4"/>
  <c r="J9" i="5"/>
  <c r="J11" i="5" s="1"/>
  <c r="G64" i="3"/>
  <c r="G40" i="3"/>
  <c r="G41" i="3"/>
  <c r="H64" i="3"/>
  <c r="H41" i="3"/>
  <c r="G20" i="12" s="1"/>
  <c r="H40" i="3"/>
  <c r="D16" i="13"/>
  <c r="G63" i="3"/>
  <c r="H39" i="3"/>
  <c r="G18" i="12"/>
  <c r="H63" i="3"/>
  <c r="G22" i="12" s="1"/>
  <c r="D18" i="13"/>
  <c r="G69" i="13" s="1"/>
  <c r="J39" i="3"/>
  <c r="L39" i="3"/>
  <c r="I32" i="3"/>
  <c r="I12" i="5" s="1"/>
  <c r="G45" i="4"/>
  <c r="G31" i="5"/>
  <c r="G32" i="5" s="1"/>
  <c r="H45" i="4"/>
  <c r="H31" i="5"/>
  <c r="H32" i="5" s="1"/>
  <c r="K10" i="5"/>
  <c r="J31" i="4"/>
  <c r="K9" i="5"/>
  <c r="J24" i="4"/>
  <c r="H33" i="3"/>
  <c r="G33" i="3"/>
  <c r="J32" i="3"/>
  <c r="J12" i="5" s="1"/>
  <c r="E33" i="4"/>
  <c r="E41" i="4" s="1"/>
  <c r="I55" i="3"/>
  <c r="K48" i="3"/>
  <c r="K47" i="3"/>
  <c r="K46" i="3"/>
  <c r="J49" i="3"/>
  <c r="J52" i="3"/>
  <c r="J55" i="3" s="1"/>
  <c r="J60" i="3" s="1"/>
  <c r="J35" i="5" s="1"/>
  <c r="N22" i="10"/>
  <c r="N19" i="10"/>
  <c r="N21" i="10"/>
  <c r="N20" i="10"/>
  <c r="D27" i="10" s="1"/>
  <c r="M19" i="10"/>
  <c r="M21" i="10"/>
  <c r="M20" i="10"/>
  <c r="D26" i="10" s="1"/>
  <c r="M22" i="10"/>
  <c r="K36" i="4"/>
  <c r="K37" i="4" s="1"/>
  <c r="K39" i="4" s="1"/>
  <c r="F20" i="4"/>
  <c r="F24" i="4"/>
  <c r="G19" i="4"/>
  <c r="D14" i="8"/>
  <c r="L43" i="6"/>
  <c r="G21" i="12" l="1"/>
  <c r="D69" i="13"/>
  <c r="D99" i="13"/>
  <c r="D39" i="13"/>
  <c r="E39" i="13"/>
  <c r="E69" i="13"/>
  <c r="F39" i="13"/>
  <c r="E99" i="13"/>
  <c r="F99" i="13"/>
  <c r="G39" i="13"/>
  <c r="G99" i="13"/>
  <c r="F69" i="13"/>
  <c r="H100" i="13"/>
  <c r="H99" i="13"/>
  <c r="H70" i="13"/>
  <c r="H69" i="13"/>
  <c r="H39" i="13"/>
  <c r="H40" i="13"/>
  <c r="D120" i="13"/>
  <c r="D27" i="12" s="1"/>
  <c r="J17" i="5"/>
  <c r="J18" i="5" s="1"/>
  <c r="J21" i="5"/>
  <c r="J22" i="5" s="1"/>
  <c r="J19" i="5"/>
  <c r="J20" i="5" s="1"/>
  <c r="E40" i="4"/>
  <c r="E42" i="4"/>
  <c r="E32" i="4"/>
  <c r="E25" i="4"/>
  <c r="I33" i="3"/>
  <c r="G37" i="5"/>
  <c r="G39" i="5" s="1"/>
  <c r="G49" i="5"/>
  <c r="G52" i="5" s="1"/>
  <c r="G53" i="5" s="1"/>
  <c r="H37" i="5"/>
  <c r="H39" i="5" s="1"/>
  <c r="H49" i="5"/>
  <c r="H52" i="5" s="1"/>
  <c r="K11" i="5"/>
  <c r="L10" i="5"/>
  <c r="K31" i="4"/>
  <c r="L9" i="5"/>
  <c r="K24" i="4"/>
  <c r="J33" i="3"/>
  <c r="I60" i="3"/>
  <c r="I35" i="5" s="1"/>
  <c r="I56" i="3"/>
  <c r="D83" i="3" s="1"/>
  <c r="D87" i="3" s="1"/>
  <c r="K32" i="3"/>
  <c r="K12" i="5" s="1"/>
  <c r="F33" i="4"/>
  <c r="F41" i="4" s="1"/>
  <c r="J56" i="3"/>
  <c r="L48" i="3"/>
  <c r="K54" i="3"/>
  <c r="L47" i="3"/>
  <c r="K53" i="3"/>
  <c r="L46" i="3"/>
  <c r="K49" i="3"/>
  <c r="K52" i="3"/>
  <c r="L36" i="4"/>
  <c r="L37" i="4" s="1"/>
  <c r="L39" i="4" s="1"/>
  <c r="G20" i="4"/>
  <c r="G24" i="4"/>
  <c r="M43" i="6"/>
  <c r="D12" i="13" l="1"/>
  <c r="C20" i="16"/>
  <c r="K21" i="5"/>
  <c r="K22" i="5" s="1"/>
  <c r="K19" i="5"/>
  <c r="K20" i="5" s="1"/>
  <c r="K17" i="5"/>
  <c r="K18" i="5" s="1"/>
  <c r="D17" i="13"/>
  <c r="H53" i="5"/>
  <c r="F42" i="4"/>
  <c r="F40" i="4"/>
  <c r="F32" i="4"/>
  <c r="F25" i="4"/>
  <c r="D20" i="8"/>
  <c r="F120" i="13"/>
  <c r="F27" i="12" s="1"/>
  <c r="G40" i="5"/>
  <c r="G41" i="5" s="1"/>
  <c r="H40" i="5"/>
  <c r="H41" i="5" s="1"/>
  <c r="L11" i="5"/>
  <c r="L31" i="4"/>
  <c r="M9" i="5"/>
  <c r="L24" i="4"/>
  <c r="K33" i="3"/>
  <c r="D15" i="8"/>
  <c r="D17" i="8" s="1"/>
  <c r="K55" i="3"/>
  <c r="L32" i="3"/>
  <c r="L12" i="5" s="1"/>
  <c r="G33" i="4"/>
  <c r="G41" i="4" s="1"/>
  <c r="M48" i="3"/>
  <c r="M54" i="3" s="1"/>
  <c r="L54" i="3"/>
  <c r="M47" i="3"/>
  <c r="M53" i="3" s="1"/>
  <c r="L53" i="3"/>
  <c r="M46" i="3"/>
  <c r="L49" i="3"/>
  <c r="L52" i="3"/>
  <c r="M36" i="4"/>
  <c r="M37" i="4" s="1"/>
  <c r="M39" i="4" s="1"/>
  <c r="H20" i="4"/>
  <c r="G43" i="13" l="1"/>
  <c r="H43" i="13"/>
  <c r="D43" i="13"/>
  <c r="D102" i="13"/>
  <c r="H72" i="13"/>
  <c r="E102" i="13"/>
  <c r="F102" i="13"/>
  <c r="E72" i="13"/>
  <c r="F72" i="13"/>
  <c r="G72" i="13"/>
  <c r="H102" i="13"/>
  <c r="E43" i="13"/>
  <c r="F43" i="13"/>
  <c r="D72" i="13"/>
  <c r="G102" i="13"/>
  <c r="M25" i="8"/>
  <c r="L25" i="8"/>
  <c r="K25" i="8"/>
  <c r="J25" i="8"/>
  <c r="I25" i="8"/>
  <c r="L21" i="5"/>
  <c r="L22" i="5" s="1"/>
  <c r="L19" i="5"/>
  <c r="L20" i="5" s="1"/>
  <c r="L17" i="5"/>
  <c r="L18" i="5" s="1"/>
  <c r="G40" i="4"/>
  <c r="G42" i="4"/>
  <c r="G32" i="4"/>
  <c r="G25" i="4"/>
  <c r="G45" i="5"/>
  <c r="G10" i="7"/>
  <c r="H45" i="5"/>
  <c r="H10" i="7"/>
  <c r="M31" i="4"/>
  <c r="M10" i="5"/>
  <c r="M11" i="5" s="1"/>
  <c r="M24" i="4"/>
  <c r="L33" i="3"/>
  <c r="M32" i="3"/>
  <c r="K60" i="3"/>
  <c r="K35" i="5" s="1"/>
  <c r="K56" i="3"/>
  <c r="G46" i="4"/>
  <c r="G47" i="4" s="1"/>
  <c r="L55" i="3"/>
  <c r="H33" i="4"/>
  <c r="M49" i="3"/>
  <c r="M52" i="3"/>
  <c r="M55" i="3" s="1"/>
  <c r="M60" i="3" s="1"/>
  <c r="M35" i="5" s="1"/>
  <c r="H46" i="5" l="1"/>
  <c r="M17" i="5"/>
  <c r="M18" i="5" s="1"/>
  <c r="M21" i="5"/>
  <c r="M22" i="5" s="1"/>
  <c r="M19" i="5"/>
  <c r="M20" i="5" s="1"/>
  <c r="G15" i="7"/>
  <c r="G16" i="7" s="1"/>
  <c r="H15" i="7"/>
  <c r="H16" i="7" s="1"/>
  <c r="M33" i="3"/>
  <c r="M12" i="5"/>
  <c r="H41" i="4"/>
  <c r="L60" i="3"/>
  <c r="L35" i="5" s="1"/>
  <c r="L56" i="3"/>
  <c r="M56" i="3"/>
  <c r="H42" i="4" l="1"/>
  <c r="H40" i="4"/>
  <c r="H32" i="4"/>
  <c r="H25" i="4"/>
  <c r="G30" i="7"/>
  <c r="G35" i="7"/>
  <c r="G38" i="7" s="1"/>
  <c r="G40" i="7" s="1"/>
  <c r="H35" i="7"/>
  <c r="H38" i="7" s="1"/>
  <c r="H30" i="7"/>
  <c r="H32" i="7" s="1"/>
  <c r="H53" i="6" s="1"/>
  <c r="G39" i="7"/>
  <c r="H46" i="4"/>
  <c r="H47" i="4" s="1"/>
  <c r="I33" i="4"/>
  <c r="H70" i="3" l="1"/>
  <c r="H74" i="3"/>
  <c r="G70" i="3"/>
  <c r="G74" i="3"/>
  <c r="H39" i="7"/>
  <c r="H40" i="7"/>
  <c r="I41" i="4"/>
  <c r="J33" i="4"/>
  <c r="I42" i="4" l="1"/>
  <c r="I40" i="4"/>
  <c r="I32" i="4"/>
  <c r="I25" i="4"/>
  <c r="I12" i="6"/>
  <c r="I13" i="5"/>
  <c r="I66" i="3" s="1"/>
  <c r="I13" i="6"/>
  <c r="J41" i="4"/>
  <c r="I27" i="5" l="1"/>
  <c r="I55" i="5"/>
  <c r="I56" i="5" s="1"/>
  <c r="I28" i="5"/>
  <c r="I14" i="5"/>
  <c r="I26" i="5"/>
  <c r="J42" i="4"/>
  <c r="J40" i="4"/>
  <c r="J25" i="4"/>
  <c r="J32" i="4"/>
  <c r="I51" i="5"/>
  <c r="I11" i="6"/>
  <c r="I14" i="6"/>
  <c r="I32" i="6"/>
  <c r="H7" i="10"/>
  <c r="J12" i="6"/>
  <c r="J13" i="5"/>
  <c r="J66" i="3" s="1"/>
  <c r="J13" i="6"/>
  <c r="K33" i="4"/>
  <c r="J14" i="5" l="1"/>
  <c r="J27" i="5"/>
  <c r="J26" i="5"/>
  <c r="J28" i="5"/>
  <c r="J51" i="5" s="1"/>
  <c r="J55" i="5"/>
  <c r="J56" i="5" s="1"/>
  <c r="E26" i="10"/>
  <c r="F26" i="10" s="1"/>
  <c r="G26" i="10" s="1"/>
  <c r="H26" i="10" s="1"/>
  <c r="I26" i="10" s="1"/>
  <c r="I37" i="7"/>
  <c r="J11" i="6"/>
  <c r="I19" i="7"/>
  <c r="J14" i="6"/>
  <c r="K41" i="4"/>
  <c r="I50" i="5"/>
  <c r="I11" i="7"/>
  <c r="I18" i="6"/>
  <c r="I44" i="6"/>
  <c r="I12" i="7"/>
  <c r="M7" i="10"/>
  <c r="J32" i="6"/>
  <c r="K42" i="4" l="1"/>
  <c r="K40" i="4"/>
  <c r="K32" i="4"/>
  <c r="K25" i="4"/>
  <c r="J37" i="7"/>
  <c r="I36" i="7"/>
  <c r="I21" i="7"/>
  <c r="J19" i="7"/>
  <c r="K13" i="6"/>
  <c r="K12" i="6"/>
  <c r="K13" i="5"/>
  <c r="K66" i="3" s="1"/>
  <c r="J44" i="6"/>
  <c r="J12" i="7"/>
  <c r="J11" i="7"/>
  <c r="J50" i="5"/>
  <c r="J18" i="6"/>
  <c r="M33" i="4"/>
  <c r="L33" i="4"/>
  <c r="K26" i="5" l="1"/>
  <c r="K14" i="5"/>
  <c r="K55" i="5"/>
  <c r="K56" i="5" s="1"/>
  <c r="K28" i="5"/>
  <c r="K51" i="5" s="1"/>
  <c r="K27" i="5"/>
  <c r="L41" i="4"/>
  <c r="J21" i="7"/>
  <c r="J36" i="7"/>
  <c r="K14" i="6"/>
  <c r="K32" i="6"/>
  <c r="K11" i="6"/>
  <c r="M41" i="4"/>
  <c r="M42" i="4" l="1"/>
  <c r="M40" i="4"/>
  <c r="M25" i="4"/>
  <c r="M32" i="4"/>
  <c r="L42" i="4"/>
  <c r="L40" i="4"/>
  <c r="L25" i="4"/>
  <c r="L32" i="4"/>
  <c r="K37" i="7"/>
  <c r="L12" i="6"/>
  <c r="M12" i="6" s="1"/>
  <c r="L13" i="6"/>
  <c r="M13" i="6" s="1"/>
  <c r="L13" i="5"/>
  <c r="L66" i="3" s="1"/>
  <c r="K12" i="7"/>
  <c r="K44" i="6"/>
  <c r="K18" i="6"/>
  <c r="K19" i="7"/>
  <c r="K50" i="5"/>
  <c r="K11" i="7"/>
  <c r="M13" i="5"/>
  <c r="M66" i="3" l="1"/>
  <c r="F25" i="13"/>
  <c r="E25" i="13"/>
  <c r="D25" i="13"/>
  <c r="L27" i="5"/>
  <c r="L14" i="5"/>
  <c r="L55" i="5"/>
  <c r="L56" i="5" s="1"/>
  <c r="L28" i="5"/>
  <c r="L51" i="5" s="1"/>
  <c r="L26" i="5"/>
  <c r="M14" i="5"/>
  <c r="M27" i="5"/>
  <c r="M26" i="5"/>
  <c r="M55" i="5"/>
  <c r="M56" i="5" s="1"/>
  <c r="M28" i="5"/>
  <c r="M51" i="5" s="1"/>
  <c r="L14" i="6"/>
  <c r="M14" i="6" s="1"/>
  <c r="L11" i="6"/>
  <c r="L32" i="6"/>
  <c r="M32" i="6" s="1"/>
  <c r="K36" i="7"/>
  <c r="K21" i="7"/>
  <c r="L37" i="7" l="1"/>
  <c r="M37" i="7"/>
  <c r="L12" i="7"/>
  <c r="L44" i="6"/>
  <c r="M44" i="6" s="1"/>
  <c r="L18" i="6"/>
  <c r="M18" i="6" s="1"/>
  <c r="L19" i="7"/>
  <c r="L11" i="7"/>
  <c r="L50" i="5"/>
  <c r="M11" i="6"/>
  <c r="M50" i="5"/>
  <c r="M11" i="7"/>
  <c r="M19" i="7"/>
  <c r="M12" i="7"/>
  <c r="L36" i="7" l="1"/>
  <c r="L21" i="7"/>
  <c r="M36" i="7"/>
  <c r="M21" i="7"/>
  <c r="I28" i="6" l="1"/>
  <c r="J28" i="6" l="1"/>
  <c r="K28" i="6" l="1"/>
  <c r="I30" i="6"/>
  <c r="L28" i="6"/>
  <c r="I34" i="6" l="1"/>
  <c r="I40" i="6" s="1"/>
  <c r="I15" i="7"/>
  <c r="M28" i="6"/>
  <c r="J30" i="6" l="1"/>
  <c r="J15" i="7" s="1"/>
  <c r="J34" i="6" l="1"/>
  <c r="J40" i="6" s="1"/>
  <c r="K30" i="6" l="1"/>
  <c r="I29" i="5"/>
  <c r="I31" i="5" s="1"/>
  <c r="I37" i="5" l="1"/>
  <c r="I38" i="5" s="1"/>
  <c r="I39" i="5" s="1"/>
  <c r="I32" i="5"/>
  <c r="L30" i="6"/>
  <c r="L34" i="6" s="1"/>
  <c r="L40" i="6" s="1"/>
  <c r="K15" i="7"/>
  <c r="K34" i="6"/>
  <c r="K40" i="6" s="1"/>
  <c r="I23" i="5"/>
  <c r="I24" i="5" s="1"/>
  <c r="I49" i="5"/>
  <c r="I52" i="5" s="1"/>
  <c r="I53" i="5" s="1"/>
  <c r="I40" i="5"/>
  <c r="I41" i="5" s="1"/>
  <c r="D8" i="19" l="1"/>
  <c r="B8" i="19"/>
  <c r="D21" i="13"/>
  <c r="M30" i="6"/>
  <c r="L15" i="7"/>
  <c r="I7" i="10"/>
  <c r="I46" i="6"/>
  <c r="I10" i="7"/>
  <c r="I16" i="7" s="1"/>
  <c r="E93" i="13" l="1"/>
  <c r="E94" i="13" s="1"/>
  <c r="G33" i="13"/>
  <c r="G34" i="13" s="1"/>
  <c r="F93" i="13"/>
  <c r="F94" i="13" s="1"/>
  <c r="H33" i="13"/>
  <c r="H34" i="13" s="1"/>
  <c r="H93" i="13"/>
  <c r="H94" i="13" s="1"/>
  <c r="G93" i="13"/>
  <c r="G94" i="13" s="1"/>
  <c r="D33" i="13"/>
  <c r="D34" i="13" s="1"/>
  <c r="E33" i="13"/>
  <c r="E34" i="13" s="1"/>
  <c r="F33" i="13"/>
  <c r="F34" i="13" s="1"/>
  <c r="F63" i="13"/>
  <c r="F64" i="13" s="1"/>
  <c r="D63" i="13"/>
  <c r="D64" i="13" s="1"/>
  <c r="G63" i="13"/>
  <c r="G64" i="13" s="1"/>
  <c r="H63" i="13"/>
  <c r="H64" i="13" s="1"/>
  <c r="E63" i="13"/>
  <c r="E64" i="13" s="1"/>
  <c r="D93" i="13"/>
  <c r="D94" i="13" s="1"/>
  <c r="L7" i="10"/>
  <c r="E27" i="10"/>
  <c r="C8" i="19"/>
  <c r="M15" i="7"/>
  <c r="M34" i="6"/>
  <c r="M40" i="6" s="1"/>
  <c r="N7" i="10"/>
  <c r="I35" i="7"/>
  <c r="I38" i="7" s="1"/>
  <c r="D65" i="13" l="1"/>
  <c r="D68" i="13" s="1"/>
  <c r="G65" i="13"/>
  <c r="G68" i="13" s="1"/>
  <c r="F35" i="13"/>
  <c r="F38" i="13" s="1"/>
  <c r="F65" i="13"/>
  <c r="F68" i="13" s="1"/>
  <c r="D35" i="13"/>
  <c r="D38" i="13" s="1"/>
  <c r="E35" i="13"/>
  <c r="E38" i="13" s="1"/>
  <c r="G95" i="13"/>
  <c r="G98" i="13" s="1"/>
  <c r="H95" i="13"/>
  <c r="H98" i="13" s="1"/>
  <c r="H96" i="13"/>
  <c r="H97" i="13" s="1"/>
  <c r="H101" i="13" s="1"/>
  <c r="H35" i="13"/>
  <c r="H38" i="13" s="1"/>
  <c r="E65" i="13"/>
  <c r="E68" i="13" s="1"/>
  <c r="G35" i="13"/>
  <c r="G38" i="13" s="1"/>
  <c r="D95" i="13"/>
  <c r="D98" i="13" s="1"/>
  <c r="F95" i="13"/>
  <c r="F98" i="13" s="1"/>
  <c r="H65" i="13"/>
  <c r="H68" i="13" s="1"/>
  <c r="E95" i="13"/>
  <c r="E98" i="13" s="1"/>
  <c r="I71" i="3"/>
  <c r="I74" i="3" s="1"/>
  <c r="E122" i="13"/>
  <c r="E29" i="12" s="1"/>
  <c r="F122" i="13"/>
  <c r="F29" i="12" s="1"/>
  <c r="D122" i="13"/>
  <c r="D29" i="12" s="1"/>
  <c r="F27" i="10"/>
  <c r="G27" i="10" s="1"/>
  <c r="H27" i="10" s="1"/>
  <c r="I27" i="10" s="1"/>
  <c r="I39" i="7"/>
  <c r="I23" i="8"/>
  <c r="D66" i="13" l="1"/>
  <c r="D67" i="13" s="1"/>
  <c r="D71" i="13" s="1"/>
  <c r="D73" i="13" s="1"/>
  <c r="H66" i="13"/>
  <c r="H67" i="13" s="1"/>
  <c r="H71" i="13" s="1"/>
  <c r="E66" i="13"/>
  <c r="E67" i="13" s="1"/>
  <c r="E71" i="13" s="1"/>
  <c r="E73" i="13" s="1"/>
  <c r="H36" i="13"/>
  <c r="H37" i="13" s="1"/>
  <c r="H41" i="13" s="1"/>
  <c r="H44" i="13" s="1"/>
  <c r="G36" i="13"/>
  <c r="G37" i="13" s="1"/>
  <c r="G41" i="13" s="1"/>
  <c r="G44" i="13" s="1"/>
  <c r="F66" i="13"/>
  <c r="F67" i="13" s="1"/>
  <c r="F71" i="13" s="1"/>
  <c r="F73" i="13" s="1"/>
  <c r="D36" i="13"/>
  <c r="D37" i="13" s="1"/>
  <c r="D41" i="13" s="1"/>
  <c r="D44" i="13" s="1"/>
  <c r="F36" i="13"/>
  <c r="F37" i="13" s="1"/>
  <c r="F41" i="13" s="1"/>
  <c r="F44" i="13" s="1"/>
  <c r="G66" i="13"/>
  <c r="G67" i="13" s="1"/>
  <c r="G71" i="13" s="1"/>
  <c r="G73" i="13" s="1"/>
  <c r="D96" i="13"/>
  <c r="D97" i="13" s="1"/>
  <c r="D101" i="13" s="1"/>
  <c r="D103" i="13" s="1"/>
  <c r="F96" i="13"/>
  <c r="F97" i="13" s="1"/>
  <c r="F101" i="13" s="1"/>
  <c r="F103" i="13" s="1"/>
  <c r="G96" i="13"/>
  <c r="G97" i="13" s="1"/>
  <c r="G101" i="13" s="1"/>
  <c r="G103" i="13" s="1"/>
  <c r="E96" i="13"/>
  <c r="E97" i="13" s="1"/>
  <c r="E101" i="13" s="1"/>
  <c r="E103" i="13" s="1"/>
  <c r="E36" i="13"/>
  <c r="E37" i="13" s="1"/>
  <c r="E41" i="13" s="1"/>
  <c r="E44" i="13" s="1"/>
  <c r="H103" i="13"/>
  <c r="D106" i="13"/>
  <c r="D76" i="13"/>
  <c r="H73" i="13"/>
  <c r="I73" i="3"/>
  <c r="F121" i="13"/>
  <c r="F28" i="12" s="1"/>
  <c r="D108" i="13"/>
  <c r="D109" i="13" s="1"/>
  <c r="D121" i="13"/>
  <c r="D28" i="12" s="1"/>
  <c r="D50" i="13"/>
  <c r="D51" i="13" s="1"/>
  <c r="D78" i="13"/>
  <c r="D79" i="13" s="1"/>
  <c r="E121" i="13"/>
  <c r="E28" i="12" s="1"/>
  <c r="I26" i="8"/>
  <c r="I47" i="6"/>
  <c r="I24" i="7"/>
  <c r="I28" i="7" s="1"/>
  <c r="I30" i="7" s="1"/>
  <c r="I32" i="7" s="1"/>
  <c r="D48" i="13" l="1"/>
  <c r="D107" i="13"/>
  <c r="D46" i="13"/>
  <c r="F123" i="13"/>
  <c r="F30" i="12" s="1"/>
  <c r="D105" i="13"/>
  <c r="I48" i="6"/>
  <c r="I50" i="6" s="1"/>
  <c r="I44" i="5"/>
  <c r="J31" i="7"/>
  <c r="I10" i="6"/>
  <c r="D123" i="13" l="1"/>
  <c r="D30" i="12" s="1"/>
  <c r="D49" i="13"/>
  <c r="D52" i="13" s="1"/>
  <c r="D47" i="13"/>
  <c r="D53" i="13"/>
  <c r="D110" i="13"/>
  <c r="D111" i="13"/>
  <c r="E123" i="13"/>
  <c r="E30" i="12" s="1"/>
  <c r="D77" i="13"/>
  <c r="D75" i="13"/>
  <c r="I15" i="6"/>
  <c r="I24" i="6" s="1"/>
  <c r="I52" i="6" s="1"/>
  <c r="I40" i="7"/>
  <c r="I45" i="5"/>
  <c r="I46" i="5" s="1"/>
  <c r="B9" i="19" l="1"/>
  <c r="D9" i="19"/>
  <c r="C9" i="19" s="1"/>
  <c r="J7" i="10"/>
  <c r="E28" i="10" s="1"/>
  <c r="D56" i="13"/>
  <c r="D58" i="13" s="1"/>
  <c r="D127" i="13" s="1"/>
  <c r="D9" i="12" s="1"/>
  <c r="B7" i="19" s="1"/>
  <c r="D125" i="13"/>
  <c r="D32" i="12" s="1"/>
  <c r="D81" i="13"/>
  <c r="D80" i="13"/>
  <c r="D114" i="13"/>
  <c r="D116" i="13" s="1"/>
  <c r="F127" i="13" s="1"/>
  <c r="F9" i="12" s="1"/>
  <c r="F125" i="13"/>
  <c r="F32" i="12" s="1"/>
  <c r="F124" i="13"/>
  <c r="F31" i="12" s="1"/>
  <c r="D113" i="13"/>
  <c r="D115" i="13" s="1"/>
  <c r="F126" i="13" s="1"/>
  <c r="D55" i="13"/>
  <c r="D57" i="13" s="1"/>
  <c r="D126" i="13" s="1"/>
  <c r="D124" i="13"/>
  <c r="D31" i="12" s="1"/>
  <c r="D8" i="12" l="1"/>
  <c r="B6" i="19" s="1"/>
  <c r="D128" i="13"/>
  <c r="D7" i="19"/>
  <c r="C7" i="19" s="1"/>
  <c r="G9" i="12"/>
  <c r="D83" i="13"/>
  <c r="D85" i="13" s="1"/>
  <c r="E126" i="13" s="1"/>
  <c r="E124" i="13"/>
  <c r="E31" i="12" s="1"/>
  <c r="F128" i="13"/>
  <c r="F8" i="12"/>
  <c r="D84" i="13"/>
  <c r="D86" i="13" s="1"/>
  <c r="E127" i="13" s="1"/>
  <c r="E9" i="12" s="1"/>
  <c r="E125" i="13"/>
  <c r="E32" i="12" s="1"/>
  <c r="H28" i="10"/>
  <c r="O7" i="10"/>
  <c r="F27" i="20" l="1"/>
  <c r="F29" i="20" s="1"/>
  <c r="F44" i="12"/>
  <c r="F46" i="12" s="1"/>
  <c r="D27" i="20"/>
  <c r="D29" i="20" s="1"/>
  <c r="D44" i="12"/>
  <c r="D46" i="12" s="1"/>
  <c r="F129" i="13"/>
  <c r="F10" i="12"/>
  <c r="E128" i="13"/>
  <c r="E8" i="12"/>
  <c r="D6" i="19"/>
  <c r="C6" i="19" s="1"/>
  <c r="G8" i="12"/>
  <c r="D129" i="13"/>
  <c r="D10" i="12"/>
  <c r="D12" i="12" s="1"/>
  <c r="I28" i="10"/>
  <c r="J29" i="5"/>
  <c r="J31" i="5" s="1"/>
  <c r="J32" i="5" s="1"/>
  <c r="E27" i="20" l="1"/>
  <c r="E29" i="20" s="1"/>
  <c r="E44" i="12"/>
  <c r="E46" i="12" s="1"/>
  <c r="E10" i="12"/>
  <c r="E12" i="12" s="1"/>
  <c r="E129" i="13"/>
  <c r="F12" i="12"/>
  <c r="G12" i="12" s="1"/>
  <c r="G10" i="12"/>
  <c r="J23" i="5"/>
  <c r="J24" i="5" s="1"/>
  <c r="J49" i="5"/>
  <c r="J52" i="5" s="1"/>
  <c r="J53" i="5" s="1"/>
  <c r="J37" i="5"/>
  <c r="J38" i="5" s="1"/>
  <c r="J39" i="5" s="1"/>
  <c r="J40" i="5" l="1"/>
  <c r="J10" i="7" l="1"/>
  <c r="J16" i="7" s="1"/>
  <c r="J35" i="7" s="1"/>
  <c r="J38" i="7" s="1"/>
  <c r="J71" i="3" s="1"/>
  <c r="J74" i="3" s="1"/>
  <c r="J41" i="5"/>
  <c r="J46" i="6"/>
  <c r="J39" i="7"/>
  <c r="J23" i="8"/>
  <c r="J47" i="6" l="1"/>
  <c r="J48" i="6" s="1"/>
  <c r="J50" i="6" s="1"/>
  <c r="J24" i="7"/>
  <c r="J28" i="7" s="1"/>
  <c r="J30" i="7" s="1"/>
  <c r="J32" i="7" s="1"/>
  <c r="J73" i="3"/>
  <c r="J26" i="8"/>
  <c r="J10" i="6" l="1"/>
  <c r="K31" i="7"/>
  <c r="J44" i="5"/>
  <c r="J15" i="6" l="1"/>
  <c r="J24" i="6" s="1"/>
  <c r="J52" i="6" s="1"/>
  <c r="J40" i="7"/>
  <c r="J45" i="5"/>
  <c r="J46" i="5" s="1"/>
  <c r="K23" i="5"/>
  <c r="K24" i="5" s="1"/>
  <c r="K29" i="5" l="1"/>
  <c r="K31" i="5" s="1"/>
  <c r="K37" i="5" l="1"/>
  <c r="K38" i="5" s="1"/>
  <c r="K39" i="5" s="1"/>
  <c r="K32" i="5"/>
  <c r="K49" i="5"/>
  <c r="K52" i="5" s="1"/>
  <c r="K53" i="5" s="1"/>
  <c r="K40" i="5" l="1"/>
  <c r="K41" i="5" s="1"/>
  <c r="K46" i="6" l="1"/>
  <c r="K10" i="7"/>
  <c r="K16" i="7" s="1"/>
  <c r="K35" i="7" s="1"/>
  <c r="K38" i="7" s="1"/>
  <c r="K71" i="3" s="1"/>
  <c r="K74" i="3" s="1"/>
  <c r="K23" i="8" l="1"/>
  <c r="K26" i="8" s="1"/>
  <c r="K39" i="7"/>
  <c r="K73" i="3" l="1"/>
  <c r="K47" i="6"/>
  <c r="K48" i="6" s="1"/>
  <c r="K50" i="6" s="1"/>
  <c r="K24" i="7"/>
  <c r="K28" i="7" s="1"/>
  <c r="K30" i="7" s="1"/>
  <c r="K32" i="7" s="1"/>
  <c r="K44" i="5" l="1"/>
  <c r="L31" i="7"/>
  <c r="K10" i="6"/>
  <c r="L29" i="5"/>
  <c r="L31" i="5" s="1"/>
  <c r="L32" i="5" s="1"/>
  <c r="K15" i="6" l="1"/>
  <c r="K24" i="6" s="1"/>
  <c r="K52" i="6" s="1"/>
  <c r="K40" i="7"/>
  <c r="K45" i="5"/>
  <c r="K46" i="5" s="1"/>
  <c r="L23" i="5"/>
  <c r="L24" i="5" s="1"/>
  <c r="L37" i="5"/>
  <c r="L38" i="5" s="1"/>
  <c r="L39" i="5" s="1"/>
  <c r="L49" i="5"/>
  <c r="L52" i="5" s="1"/>
  <c r="L53" i="5" s="1"/>
  <c r="L40" i="5" l="1"/>
  <c r="L41" i="5" s="1"/>
  <c r="L10" i="7" l="1"/>
  <c r="L16" i="7" s="1"/>
  <c r="L35" i="7" s="1"/>
  <c r="L38" i="7" s="1"/>
  <c r="L71" i="3" s="1"/>
  <c r="L74" i="3" s="1"/>
  <c r="L46" i="6"/>
  <c r="L39" i="7" l="1"/>
  <c r="L23" i="8"/>
  <c r="L26" i="8" s="1"/>
  <c r="L47" i="6"/>
  <c r="L48" i="6" s="1"/>
  <c r="L50" i="6" s="1"/>
  <c r="L24" i="7" l="1"/>
  <c r="L28" i="7" s="1"/>
  <c r="L30" i="7" s="1"/>
  <c r="L32" i="7" s="1"/>
  <c r="L73" i="3"/>
  <c r="M31" i="7" l="1"/>
  <c r="L10" i="6"/>
  <c r="L44" i="5"/>
  <c r="M23" i="5"/>
  <c r="M24" i="5" s="1"/>
  <c r="L15" i="6" l="1"/>
  <c r="L24" i="6" s="1"/>
  <c r="L52" i="6" s="1"/>
  <c r="L40" i="7"/>
  <c r="L45" i="5"/>
  <c r="L46" i="5" s="1"/>
  <c r="M29" i="5"/>
  <c r="M31" i="5" s="1"/>
  <c r="M32" i="5" s="1"/>
  <c r="M37" i="5" l="1"/>
  <c r="M38" i="5" s="1"/>
  <c r="M39" i="5" s="1"/>
  <c r="M49" i="5"/>
  <c r="M52" i="5" s="1"/>
  <c r="M53" i="5" s="1"/>
  <c r="D36" i="8" l="1"/>
  <c r="D38" i="8" s="1"/>
  <c r="D39" i="8" s="1"/>
  <c r="D45" i="8" s="1"/>
  <c r="M40" i="5" l="1"/>
  <c r="M10" i="7" l="1"/>
  <c r="M16" i="7" s="1"/>
  <c r="M35" i="7" s="1"/>
  <c r="M38" i="7" s="1"/>
  <c r="M71" i="3" s="1"/>
  <c r="M74" i="3" s="1"/>
  <c r="M41" i="5"/>
  <c r="M46" i="6"/>
  <c r="M39" i="7" l="1"/>
  <c r="M23" i="8"/>
  <c r="D31" i="8" s="1"/>
  <c r="D32" i="8" s="1"/>
  <c r="D33" i="8" s="1"/>
  <c r="D43" i="8" s="1"/>
  <c r="F72" i="8"/>
  <c r="D68" i="8"/>
  <c r="I78" i="8"/>
  <c r="E72" i="8"/>
  <c r="E82" i="8"/>
  <c r="E68" i="8"/>
  <c r="I81" i="8"/>
  <c r="I70" i="8"/>
  <c r="D82" i="8"/>
  <c r="F81" i="8"/>
  <c r="I83" i="8"/>
  <c r="C70" i="8"/>
  <c r="C78" i="8"/>
  <c r="D80" i="8"/>
  <c r="H72" i="8"/>
  <c r="M47" i="6"/>
  <c r="M48" i="6" s="1"/>
  <c r="M50" i="6" s="1"/>
  <c r="M24" i="7"/>
  <c r="M28" i="7" s="1"/>
  <c r="M30" i="7" s="1"/>
  <c r="M32" i="7" s="1"/>
  <c r="M10" i="6" s="1"/>
  <c r="M73" i="3"/>
  <c r="C68" i="8" l="1"/>
  <c r="F71" i="8"/>
  <c r="G68" i="8"/>
  <c r="G73" i="8"/>
  <c r="C72" i="8"/>
  <c r="F68" i="8"/>
  <c r="F69" i="8"/>
  <c r="G83" i="8"/>
  <c r="D72" i="8"/>
  <c r="H68" i="8"/>
  <c r="H83" i="8"/>
  <c r="D79" i="8"/>
  <c r="G70" i="8"/>
  <c r="F70" i="8"/>
  <c r="H69" i="8"/>
  <c r="I68" i="8"/>
  <c r="C73" i="8"/>
  <c r="C82" i="8"/>
  <c r="F80" i="8"/>
  <c r="C67" i="8"/>
  <c r="E70" i="8"/>
  <c r="H79" i="8"/>
  <c r="H80" i="8"/>
  <c r="D84" i="8"/>
  <c r="E71" i="8"/>
  <c r="D69" i="8"/>
  <c r="G69" i="8"/>
  <c r="H70" i="8"/>
  <c r="C83" i="8"/>
  <c r="G78" i="8"/>
  <c r="G67" i="8"/>
  <c r="E80" i="8"/>
  <c r="D78" i="8"/>
  <c r="F67" i="8"/>
  <c r="D67" i="8"/>
  <c r="E78" i="8"/>
  <c r="M26" i="8"/>
  <c r="D42" i="8" s="1"/>
  <c r="D44" i="8" s="1"/>
  <c r="D59" i="8" s="1"/>
  <c r="G72" i="8"/>
  <c r="E67" i="8"/>
  <c r="D83" i="8"/>
  <c r="I73" i="8"/>
  <c r="F79" i="8"/>
  <c r="D71" i="8"/>
  <c r="G71" i="8"/>
  <c r="H67" i="8"/>
  <c r="F82" i="8"/>
  <c r="F73" i="8"/>
  <c r="C84" i="8"/>
  <c r="D70" i="8"/>
  <c r="G81" i="8"/>
  <c r="F78" i="8"/>
  <c r="G79" i="8"/>
  <c r="I79" i="8"/>
  <c r="E84" i="8"/>
  <c r="H84" i="8"/>
  <c r="G80" i="8"/>
  <c r="C81" i="8"/>
  <c r="H71" i="8"/>
  <c r="H82" i="8"/>
  <c r="I80" i="8"/>
  <c r="D81" i="8"/>
  <c r="H78" i="8"/>
  <c r="F83" i="8"/>
  <c r="I72" i="8"/>
  <c r="C69" i="8"/>
  <c r="G82" i="8"/>
  <c r="C79" i="8"/>
  <c r="I71" i="8"/>
  <c r="E69" i="8"/>
  <c r="D73" i="8"/>
  <c r="E83" i="8"/>
  <c r="E73" i="8"/>
  <c r="E79" i="8"/>
  <c r="H73" i="8"/>
  <c r="C71" i="8"/>
  <c r="I84" i="8"/>
  <c r="C80" i="8"/>
  <c r="I67" i="8"/>
  <c r="E81" i="8"/>
  <c r="G84" i="8"/>
  <c r="H81" i="8"/>
  <c r="F84" i="8"/>
  <c r="I69" i="8"/>
  <c r="I82" i="8"/>
  <c r="D46" i="8"/>
  <c r="D60" i="8" s="1"/>
  <c r="M15" i="6"/>
  <c r="M24" i="6" s="1"/>
  <c r="M52" i="6" s="1"/>
  <c r="M44" i="5"/>
  <c r="D50" i="8" l="1"/>
  <c r="D54" i="8" s="1"/>
  <c r="D57" i="8" s="1"/>
  <c r="D49" i="8"/>
  <c r="D53" i="8" s="1"/>
  <c r="D56" i="8" s="1"/>
  <c r="M40" i="7"/>
  <c r="M45" i="5"/>
  <c r="M46" i="5" s="1"/>
  <c r="C16" i="16"/>
  <c r="C15" i="16" l="1"/>
  <c r="C17" i="16" s="1"/>
  <c r="D11" i="5" l="1"/>
  <c r="D23" i="5" l="1"/>
  <c r="D24" i="5" s="1"/>
  <c r="D18" i="5"/>
  <c r="D22" i="5"/>
  <c r="D20" i="5"/>
  <c r="D36" i="3"/>
  <c r="D37" i="3"/>
  <c r="D13" i="5"/>
  <c r="D56" i="5" s="1"/>
  <c r="D38" i="3"/>
  <c r="D29" i="3"/>
  <c r="D33" i="3" s="1"/>
  <c r="D39" i="3" l="1"/>
  <c r="D40" i="3"/>
  <c r="D41" i="3"/>
  <c r="D64" i="3"/>
  <c r="D63" i="3"/>
  <c r="D45" i="4"/>
  <c r="D46" i="4" s="1"/>
  <c r="D47" i="4" s="1"/>
  <c r="D31" i="5"/>
  <c r="D32" i="5" s="1"/>
  <c r="D37" i="5" l="1"/>
  <c r="D39" i="5" s="1"/>
  <c r="D49" i="5"/>
  <c r="D52" i="5" s="1"/>
  <c r="D53" i="5" s="1"/>
  <c r="D40" i="5" l="1"/>
  <c r="D41" i="5" s="1"/>
  <c r="D45" i="5" l="1"/>
  <c r="D10" i="7"/>
  <c r="D15" i="7" l="1"/>
  <c r="D16" i="7" s="1"/>
  <c r="E11" i="5"/>
  <c r="E18" i="5" l="1"/>
  <c r="E22" i="5"/>
  <c r="E20" i="5"/>
  <c r="E36" i="3"/>
  <c r="E37" i="3"/>
  <c r="E29" i="3"/>
  <c r="E33" i="3" s="1"/>
  <c r="E38" i="3"/>
  <c r="E13" i="5"/>
  <c r="E23" i="5"/>
  <c r="E24" i="5" s="1"/>
  <c r="E14" i="5" l="1"/>
  <c r="E56" i="5"/>
  <c r="E41" i="3"/>
  <c r="E64" i="3"/>
  <c r="E40" i="3"/>
  <c r="E63" i="3"/>
  <c r="E39" i="3"/>
  <c r="E45" i="4"/>
  <c r="E46" i="4" s="1"/>
  <c r="E47" i="4" s="1"/>
  <c r="E31" i="5"/>
  <c r="E32" i="5" s="1"/>
  <c r="E37" i="5" l="1"/>
  <c r="E39" i="5" s="1"/>
  <c r="E49" i="5"/>
  <c r="E52" i="5" s="1"/>
  <c r="E53" i="5" s="1"/>
  <c r="F11" i="5"/>
  <c r="F22" i="5" l="1"/>
  <c r="F20" i="5"/>
  <c r="F18" i="5"/>
  <c r="F36" i="3"/>
  <c r="F23" i="5"/>
  <c r="F24" i="5" s="1"/>
  <c r="E40" i="5"/>
  <c r="E41" i="5" s="1"/>
  <c r="F13" i="5"/>
  <c r="F38" i="3"/>
  <c r="F29" i="3"/>
  <c r="F33" i="3" s="1"/>
  <c r="F37" i="3"/>
  <c r="F14" i="5" l="1"/>
  <c r="F56" i="5"/>
  <c r="G14" i="5"/>
  <c r="F41" i="3"/>
  <c r="F40" i="3"/>
  <c r="F64" i="3"/>
  <c r="F63" i="3"/>
  <c r="F39" i="3"/>
  <c r="F31" i="5"/>
  <c r="F32" i="5" s="1"/>
  <c r="F45" i="4"/>
  <c r="F46" i="4" s="1"/>
  <c r="F47" i="4" s="1"/>
  <c r="E45" i="5"/>
  <c r="E46" i="5" s="1"/>
  <c r="E10" i="7"/>
  <c r="E15" i="7" l="1"/>
  <c r="E16" i="7" s="1"/>
  <c r="F37" i="5"/>
  <c r="F39" i="5" s="1"/>
  <c r="F49" i="5"/>
  <c r="F52" i="5" s="1"/>
  <c r="F53" i="5" s="1"/>
  <c r="E30" i="7" l="1"/>
  <c r="E35" i="7"/>
  <c r="E38" i="7" s="1"/>
  <c r="F40" i="5"/>
  <c r="F41" i="5" s="1"/>
  <c r="E74" i="3" l="1"/>
  <c r="E70" i="3"/>
  <c r="E40" i="7"/>
  <c r="E39" i="7"/>
  <c r="F45" i="5"/>
  <c r="F10" i="7"/>
  <c r="F46" i="5" l="1"/>
  <c r="G46" i="5"/>
  <c r="F15" i="7"/>
  <c r="F16" i="7" s="1"/>
  <c r="F30" i="7" l="1"/>
  <c r="F35" i="7"/>
  <c r="F38" i="7" s="1"/>
  <c r="D35" i="7"/>
  <c r="D38" i="7" s="1"/>
  <c r="D30" i="7"/>
  <c r="D32" i="7" s="1"/>
  <c r="E31" i="7" s="1"/>
  <c r="D74" i="3" l="1"/>
  <c r="D70" i="3"/>
  <c r="F74" i="3"/>
  <c r="F70" i="3"/>
  <c r="F39" i="7"/>
  <c r="F40" i="7"/>
  <c r="D39" i="7"/>
  <c r="D40" i="7"/>
  <c r="E32" i="7"/>
  <c r="F31" i="7" s="1"/>
  <c r="D53" i="6"/>
  <c r="E53" i="6" l="1"/>
  <c r="F32" i="7"/>
  <c r="G31" i="7" l="1"/>
  <c r="G32" i="7" s="1"/>
  <c r="G53" i="6" s="1"/>
  <c r="F5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I29" authorId="0" shapeId="0" xr:uid="{08E7CD02-ABF8-584C-B447-1D6B37BF0592}">
      <text>
        <r>
          <rPr>
            <b/>
            <sz val="10"/>
            <color rgb="FF000000"/>
            <rFont val="Tahoma"/>
            <family val="2"/>
          </rPr>
          <t>Forecast anchored to FY25 reported Chili's Co Sales from IS!H9 ($4,834.8M per 10-K segment disclosure). Grown by Chili's SSS %.</t>
        </r>
      </text>
    </comment>
    <comment ref="I30" authorId="0" shapeId="0" xr:uid="{5BD892C4-71E0-8D42-8B04-D51F5DCF5656}">
      <text>
        <r>
          <rPr>
            <b/>
            <sz val="10"/>
            <color rgb="FF000000"/>
            <rFont val="Tahoma"/>
            <family val="2"/>
          </rPr>
          <t>Mgmt commodity inflation low-to-mid single digits FY26, accelerating H2 on beef</t>
        </r>
      </text>
    </comment>
    <comment ref="H31" authorId="0" shapeId="0" xr:uid="{9625C739-EBAF-984F-B5C0-87BAEE1B03F8}">
      <text>
        <r>
          <rPr>
            <b/>
            <sz val="10"/>
            <color rgb="FF000000"/>
            <rFont val="Tahoma"/>
            <family val="2"/>
          </rPr>
          <t>Source: FY25 10-K. Labor leverage from sales growth.</t>
        </r>
      </text>
    </comment>
    <comment ref="I31" authorId="0" shapeId="0" xr:uid="{4557C0AF-2542-4749-A378-A581CF6A0734}">
      <text>
        <r>
          <rPr>
            <b/>
            <sz val="10"/>
            <color rgb="FF000000"/>
            <rFont val="Tahoma"/>
            <family val="2"/>
          </rPr>
          <t>Forecast anchored to FY25 reported Maggiano's Co Sales from IS!H10 ($500.5M per 10-K segment disclosure). Grown by Maggiano's SSS %.</t>
        </r>
      </text>
    </comment>
    <comment ref="H32" authorId="0" shapeId="0" xr:uid="{D08CCD9F-1559-A848-9E06-76B220AA9D68}">
      <text>
        <r>
          <rPr>
            <b/>
            <sz val="10"/>
            <color rgb="FF000000"/>
            <rFont val="Tahoma"/>
            <family val="2"/>
          </rPr>
          <t>FY25 10-K: 25.0%. R&amp;M favorability $34M Chili's Q1 FY26.</t>
        </r>
      </text>
    </comment>
    <comment ref="I32" authorId="0" shapeId="0" xr:uid="{043BB86E-CD3C-A848-BFEB-CB6A18214573}">
      <text>
        <r>
          <rPr>
            <b/>
            <sz val="10"/>
            <color rgb="FF000000"/>
            <rFont val="Tahoma"/>
            <family val="2"/>
          </rPr>
          <t>Mgmt: $10-15M R&amp;M favorability FY26 Chili's, partially offset by Maggiano's investment</t>
        </r>
      </text>
    </comment>
    <comment ref="I36" authorId="0" shapeId="0" xr:uid="{2B7771F6-17DE-FA4B-834B-4291669E02D1}">
      <text>
        <r>
          <rPr>
            <b/>
            <sz val="10"/>
            <color rgb="FF000000"/>
            <rFont val="Tahoma"/>
            <family val="2"/>
          </rPr>
          <t>FY26E anchor from mgmt commodity inflation guide low-to-mid single digits, accelerating H2 on beef</t>
        </r>
      </text>
    </comment>
    <comment ref="I38" authorId="0" shapeId="0" xr:uid="{37A49DA0-F800-F944-96D2-503AFB6A6FA3}">
      <text>
        <r>
          <rPr>
            <b/>
            <sz val="10"/>
            <color rgb="FF000000"/>
            <rFont val="Tahoma"/>
            <family val="2"/>
          </rPr>
          <t>FY26E anchor: R&amp;M favorability $10-15M Chili's Q1 FY26 partially offset by Maggiano's investment</t>
        </r>
      </text>
    </comment>
    <comment ref="I40" authorId="0" shapeId="0" xr:uid="{86BA955F-ECAF-1043-90C5-E7BDA3AC741A}">
      <text>
        <r>
          <rPr>
            <b/>
            <sz val="10"/>
            <color rgb="FF000000"/>
            <rFont val="Tahoma"/>
            <family val="2"/>
          </rPr>
          <t>Trending up with higher capex and OBBBA 100% bonus dep</t>
        </r>
      </text>
    </comment>
    <comment ref="E59" authorId="0" shapeId="0" xr:uid="{DB16D056-F22D-1A43-BA54-D0FE67631659}">
      <text>
        <r>
          <rPr>
            <b/>
            <sz val="10"/>
            <color rgb="FF000000"/>
            <rFont val="Tahoma"/>
            <family val="2"/>
          </rPr>
          <t>FY22 had net tax benefit</t>
        </r>
      </text>
    </comment>
    <comment ref="H59" authorId="0" shapeId="0" xr:uid="{6F8AB792-A7E1-0842-AA59-A0EA7C8CCD10}">
      <text>
        <r>
          <rPr>
            <b/>
            <sz val="10"/>
            <color rgb="FF000000"/>
            <rFont val="Tahoma"/>
            <family val="2"/>
          </rPr>
          <t>FY25 $76.9M / $460.0M pretax. Excess SBC tax benefits provide ongoing favorability.</t>
        </r>
      </text>
    </comment>
    <comment ref="I59" authorId="0" shapeId="0" xr:uid="{1B5F6BA2-9961-5A42-B488-C11B2C657B80}">
      <text>
        <r>
          <rPr>
            <b/>
            <sz val="10"/>
            <color rgb="FF000000"/>
            <rFont val="Tahoma"/>
            <family val="2"/>
          </rPr>
          <t>Q1 FY26 had $11.7M excess SBC benefit. OBBBA bonus dep adds timing favorability.</t>
        </r>
      </text>
    </comment>
    <comment ref="F60" authorId="0" shapeId="0" xr:uid="{B2622B1F-B2D7-FA48-AC1B-5898DFADE461}">
      <text>
        <r>
          <rPr>
            <b/>
            <sz val="10"/>
            <color rgb="FF000000"/>
            <rFont val="Tahoma"/>
            <family val="2"/>
          </rPr>
          <t>FY23 estimate; FY23 10-Q reports should be verified</t>
        </r>
      </text>
    </comment>
    <comment ref="H60" authorId="0" shapeId="0" xr:uid="{F8C8C04F-DA7B-7247-B4B3-B7087F26A2E1}">
      <text>
        <r>
          <rPr>
            <b/>
            <sz val="10"/>
            <color rgb="FF000000"/>
            <rFont val="Tahoma"/>
            <family val="2"/>
          </rPr>
          <t>FY25 10-K. Will decline further as revolver paid off.</t>
        </r>
      </text>
    </comment>
    <comment ref="I60" authorId="0" shapeId="0" xr:uid="{FBE82AF4-3A69-A442-AFF7-DDB453BB8074}">
      <text>
        <r>
          <rPr>
            <b/>
            <sz val="10"/>
            <color rgb="FF000000"/>
            <rFont val="Tahoma"/>
            <family val="2"/>
          </rPr>
          <t xml:space="preserve">Computed from debt schedule (row 55). Weighted avg rate </t>
        </r>
        <r>
          <rPr>
            <b/>
            <sz val="10"/>
            <color rgb="FF000000"/>
            <rFont val="Tahoma"/>
            <family val="2"/>
          </rPr>
          <t>×</t>
        </r>
        <r>
          <rPr>
            <b/>
            <sz val="10"/>
            <color rgb="FF000000"/>
            <rFont val="Tahoma"/>
            <family val="2"/>
          </rPr>
          <t xml:space="preserve"> avg debt balance. Declines FY26→FY28 as revolver pays down, then stabilizes at ~$30M reflecting Senior Notes $350M @ 8.25% + finance leases.</t>
        </r>
      </text>
    </comment>
    <comment ref="I63" authorId="0" shapeId="0" xr:uid="{A792D643-AA10-C14C-9802-9D474CAC5DA6}">
      <text>
        <r>
          <rPr>
            <b/>
            <sz val="10"/>
            <color rgb="FF000000"/>
            <rFont val="Tahoma"/>
            <family val="2"/>
          </rPr>
          <t>Mgmt FY26 guided $250-260M capex on $5.76-$5.83B rev = ~4.4%</t>
        </r>
      </text>
    </comment>
    <comment ref="H71" authorId="0" shapeId="0" xr:uid="{FC0C7AB6-B473-8242-A8DB-C1B28D8E5949}">
      <text>
        <r>
          <rPr>
            <b/>
            <sz val="10"/>
            <color rgb="FF000000"/>
            <rFont val="Tahoma"/>
            <family val="2"/>
          </rPr>
          <t>FY25 treasury purchases per CF</t>
        </r>
      </text>
    </comment>
    <comment ref="I71" authorId="0" shapeId="0" xr:uid="{76239F9D-7743-664F-AAF1-65616B69CF80}">
      <text>
        <r>
          <rPr>
            <b/>
            <sz val="10"/>
            <color rgb="FF000000"/>
            <rFont val="Tahoma"/>
            <family val="2"/>
          </rPr>
          <t>Q1 FY26 $92M + Q2 $100M already = $192M; assume $100M H2 for $300M-ish FY26</t>
        </r>
      </text>
    </comment>
    <comment ref="I73" authorId="0" shapeId="0" xr:uid="{161D02C3-DB09-0C47-86D0-982E790587AC}">
      <text>
        <r>
          <rPr>
            <b/>
            <sz val="10"/>
            <color rgb="FF000000"/>
            <rFont val="Tahoma"/>
            <family val="2"/>
          </rPr>
          <t>Mgmt guide 44.7-45.2M FY26</t>
        </r>
      </text>
    </comment>
    <comment ref="D78" authorId="0" shapeId="0" xr:uid="{866F066D-99BE-E642-AF71-FC4DCFDFA40D}">
      <text>
        <r>
          <rPr>
            <b/>
            <sz val="10"/>
            <color rgb="FF000000"/>
            <rFont val="Tahoma"/>
            <family val="2"/>
          </rPr>
          <t>Current 10Y UST yield</t>
        </r>
      </text>
    </comment>
    <comment ref="D79" authorId="0" shapeId="0" xr:uid="{B2D1DA62-CE9A-3344-B5AA-1518F7CF9C9E}">
      <text>
        <r>
          <rPr>
            <b/>
            <sz val="10"/>
            <color rgb="FF000000"/>
            <rFont val="Tahoma"/>
            <family val="2"/>
          </rPr>
          <t>Damodaran implied ERP ~5.5%</t>
        </r>
      </text>
    </comment>
    <comment ref="D80" authorId="0" shapeId="0" xr:uid="{8D6FEFBA-A54C-8E45-A41C-B9652DFA5ACC}">
      <text>
        <r>
          <rPr>
            <b/>
            <sz val="10"/>
            <color rgb="FF000000"/>
            <rFont val="Tahoma"/>
            <family val="2"/>
          </rPr>
          <t>Approx 5-yr regression beta for EAT vs S&amp;P 500</t>
        </r>
      </text>
    </comment>
    <comment ref="D81" authorId="0" shapeId="0" xr:uid="{7423AD56-E57C-3442-B545-30312A3CF8D4}">
      <text>
        <r>
          <rPr>
            <b/>
            <sz val="10"/>
            <color rgb="FF000000"/>
            <rFont val="Tahoma"/>
            <family val="2"/>
          </rPr>
          <t>Blume adjustment: 0.67 * raw + 0.33. Pulls toward 1.0.</t>
        </r>
      </text>
    </comment>
    <comment ref="D83" authorId="0" shapeId="0" xr:uid="{7777CE76-62B8-844F-83FF-F1EC8D93CDFB}">
      <text>
        <r>
          <rPr>
            <sz val="10"/>
            <color rgb="FF000000"/>
            <rFont val="Tahoma"/>
            <family val="2"/>
          </rPr>
          <t>Weighted avg pre-tax cost of debt, pulled from debt schedule (row 56).</t>
        </r>
      </text>
    </comment>
    <comment ref="D84" authorId="0" shapeId="0" xr:uid="{81874A1A-5E31-A944-AE5B-15F145551D3F}">
      <text>
        <r>
          <rPr>
            <sz val="10"/>
            <color rgb="FF000000"/>
            <rFont val="Tahoma"/>
            <family val="2"/>
          </rPr>
          <t>Linked to debt schedule FY25A total (H49). Includes Senior Notes $350M + revolver + finance leases. Excludes $1.1B op leases (ASC 842).</t>
        </r>
      </text>
    </comment>
    <comment ref="D85" authorId="0" shapeId="0" xr:uid="{1BFFD60A-B3F8-7249-A1FD-B5246B41CF65}">
      <text>
        <r>
          <rPr>
            <b/>
            <sz val="10"/>
            <color rgb="FF000000"/>
            <rFont val="Tahoma"/>
            <family val="2"/>
          </rPr>
          <t xml:space="preserve">Derived = FY25A diluted shares </t>
        </r>
        <r>
          <rPr>
            <b/>
            <sz val="10"/>
            <color rgb="FF000000"/>
            <rFont val="Tahoma"/>
            <family val="2"/>
          </rPr>
          <t>×</t>
        </r>
        <r>
          <rPr>
            <b/>
            <sz val="10"/>
            <color rgb="FF000000"/>
            <rFont val="Tahoma"/>
            <family val="2"/>
          </rPr>
          <t xml:space="preserve"> current market price. Updates automatically when market price is updated on DCF tab.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I20" authorId="0" shapeId="0" xr:uid="{064CAC1E-D9D9-9542-9261-5E41B57CE3D2}">
      <text>
        <r>
          <rPr>
            <b/>
            <sz val="10"/>
            <color rgb="FF000000"/>
            <rFont val="Tahoma"/>
            <family val="2"/>
          </rPr>
          <t>FY26E: 7 new builds per FY25 10-K guidance, less 5 assumed closures</t>
        </r>
      </text>
    </comment>
    <comment ref="J20" authorId="0" shapeId="0" xr:uid="{C8AD75C7-C99C-1840-80C2-E2ACCAE4652E}">
      <text>
        <r>
          <rPr>
            <b/>
            <sz val="10"/>
            <color rgb="FF000000"/>
            <rFont val="Tahoma"/>
            <family val="2"/>
          </rPr>
          <t>Units now held flat after scenario toggle removed (no longer drives revenue; informational only)</t>
        </r>
      </text>
    </comment>
    <comment ref="I22" authorId="0" shapeId="0" xr:uid="{CC502D7D-90A1-6843-AC0A-2D6AB2390507}">
      <text>
        <r>
          <rPr>
            <b/>
            <sz val="10"/>
            <color rgb="FF000000"/>
            <rFont val="Tahoma"/>
            <family val="2"/>
          </rPr>
          <t>FY26E: +8.6% comp (Q1+Q2 run rate blended with H2 mid-single-digit guide) — Assumptions!D11</t>
        </r>
      </text>
    </comment>
    <comment ref="J22" authorId="0" shapeId="0" xr:uid="{70551935-005B-2A45-876B-61B0A3B82BCF}">
      <text>
        <r>
          <rPr>
            <b/>
            <sz val="10"/>
            <color rgb="FF000000"/>
            <rFont val="Tahoma"/>
            <family val="2"/>
          </rPr>
          <t>FY27E: step-down from FY26 as comps normalize</t>
        </r>
      </text>
    </comment>
    <comment ref="I28" authorId="0" shapeId="0" xr:uid="{6D58E775-9EA2-8744-A46F-3AD2F8F5E84A}">
      <text>
        <r>
          <rPr>
            <b/>
            <sz val="10"/>
            <color rgb="FF000000"/>
            <rFont val="Tahoma"/>
            <family val="2"/>
          </rPr>
          <t>Units held flat for forecast; informational only (doesn't drive revenue)</t>
        </r>
      </text>
    </comment>
    <comment ref="I29" authorId="0" shapeId="0" xr:uid="{2834B18B-BD37-724D-AD2F-F5DD944DE8CD}">
      <text>
        <r>
          <rPr>
            <b/>
            <sz val="10"/>
            <color rgb="FF000000"/>
            <rFont val="Tahoma"/>
            <family val="2"/>
          </rPr>
          <t>FY26E: Q1 FY26 -6.4%; Q2 FY26 -2.4%; assume -2.4% for the year averaging improvement in H2</t>
        </r>
      </text>
    </comment>
    <comment ref="I36" authorId="0" shapeId="0" xr:uid="{7B106DF1-D338-4B4A-B44B-68850292FC79}">
      <text>
        <r>
          <rPr>
            <b/>
            <sz val="10"/>
            <color rgb="FF000000"/>
            <rFont val="Tahoma"/>
            <family val="2"/>
          </rPr>
          <t>FY26E: +26-32 franchise openings per 10-K guide; midpoint +29, use +26 net</t>
        </r>
      </text>
    </comment>
    <comment ref="I37" authorId="0" shapeId="0" xr:uid="{03C97153-7FFB-FD46-9602-AD5A6FA88D21}">
      <text>
        <r>
          <rPr>
            <b/>
            <sz val="10"/>
            <color rgb="FF000000"/>
            <rFont val="Tahoma"/>
            <family val="2"/>
          </rPr>
          <t>Franchise units × per-unit sales (Co comp at 50% given intl mix)</t>
        </r>
      </text>
    </comment>
    <comment ref="I38" authorId="0" shapeId="0" xr:uid="{BA13BA14-CF30-5A45-A67A-C878689ED205}">
      <text>
        <r>
          <rPr>
            <b/>
            <sz val="10"/>
            <color rgb="FF000000"/>
            <rFont val="Tahoma"/>
            <family val="2"/>
          </rPr>
          <t>Royalty+other rate scenario selector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D33" authorId="0" shapeId="0" xr:uid="{16045232-3295-F440-A8A4-DE6766E3C0EA}">
      <text>
        <r>
          <rPr>
            <b/>
            <sz val="10"/>
            <color rgb="FF000000"/>
            <rFont val="Tahoma"/>
            <family val="2"/>
          </rPr>
          <t>Income taxes payable not a separate line in FY21 BS; set to 0</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D31" authorId="0" shapeId="0" xr:uid="{038B596D-E8A8-E74B-8CFD-A49388864FB3}">
      <text>
        <r>
          <rPr>
            <b/>
            <sz val="10"/>
            <color rgb="FF000000"/>
            <rFont val="Tahoma"/>
            <family val="2"/>
          </rPr>
          <t>FY20 ending cash</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D21" authorId="0" shapeId="0" xr:uid="{8C46685C-292B-8842-B49B-57EF6341A653}">
      <text>
        <r>
          <rPr>
            <b/>
            <sz val="10"/>
            <color rgb="FF000000"/>
            <rFont val="Tahoma"/>
            <family val="2"/>
          </rPr>
          <t>Arijay Mehta:</t>
        </r>
        <r>
          <rPr>
            <sz val="10"/>
            <color rgb="FF000000"/>
            <rFont val="Tahoma"/>
            <family val="2"/>
          </rPr>
          <t xml:space="preserve">
</t>
        </r>
        <r>
          <rPr>
            <sz val="10"/>
            <color rgb="FF000000"/>
            <rFont val="Tahoma"/>
            <family val="2"/>
          </rPr>
          <t>FY26E EBITDA margin implied by management guidance (from Income Statement). Used as the anchor for linear interpolation toward each scenario's terminal margin in FY30E. This replaces the prior FY25A anchor to better mirror main-model behavior where FY26E is guidance-driven.</t>
        </r>
      </text>
    </comment>
    <comment ref="D25" authorId="0" shapeId="0" xr:uid="{4D8E1A0C-AFDF-0744-A6C5-158D6E6B4FB7}">
      <text>
        <r>
          <rPr>
            <b/>
            <sz val="10"/>
            <color rgb="FF000000"/>
            <rFont val="Tahoma"/>
            <family val="2"/>
          </rPr>
          <t>Arijay Mehta:</t>
        </r>
        <r>
          <rPr>
            <sz val="10"/>
            <color rgb="FF000000"/>
            <rFont val="Tahoma"/>
            <family val="2"/>
          </rPr>
          <t xml:space="preserve">
Terminal EBITDA margin = 100 − (F&amp;B+Labor+RestExp) × (Co Sales / Total Revenue) − G&amp;A. Franchise uplift reflects that restaurant-level costs apply to Company-owned sales only (~98.7% of total) while franchise revenue drops through near-100%. This mirrors the main model's margin math.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Arijay Mehta</author>
  </authors>
  <commentList>
    <comment ref="C9" authorId="0" shapeId="0" xr:uid="{E3B74C4D-3A93-E449-B583-D34B168E9AC5}">
      <text>
        <r>
          <rPr>
            <sz val="10"/>
            <color rgb="FF000000"/>
            <rFont val="Tahoma"/>
            <family val="2"/>
          </rPr>
          <t>Update this manually every time you refresh the snapshot. If this date looks old, the numbers below are stale.</t>
        </r>
      </text>
    </comment>
  </commentList>
</comments>
</file>

<file path=xl/sharedStrings.xml><?xml version="1.0" encoding="utf-8"?>
<sst xmlns="http://schemas.openxmlformats.org/spreadsheetml/2006/main" count="1173" uniqueCount="685">
  <si>
    <t>All amounts in $ millions unless noted</t>
  </si>
  <si>
    <t>Risk-Free Rate</t>
  </si>
  <si>
    <t>%</t>
  </si>
  <si>
    <t>Equity Risk Premium</t>
  </si>
  <si>
    <t>x</t>
  </si>
  <si>
    <t>Cost of Equity</t>
  </si>
  <si>
    <t>Cost of Debt (pre-tax)</t>
  </si>
  <si>
    <t>Tax Rate</t>
  </si>
  <si>
    <t>Cost of Debt (after-tax)</t>
  </si>
  <si>
    <t>Debt / Total Capital</t>
  </si>
  <si>
    <t>Equity / Total Capital</t>
  </si>
  <si>
    <t>WACC</t>
  </si>
  <si>
    <t>Units</t>
  </si>
  <si>
    <t>Free Cash Flow (ex-SBC)</t>
  </si>
  <si>
    <t>$M</t>
  </si>
  <si>
    <t>Discount Period</t>
  </si>
  <si>
    <t>#</t>
  </si>
  <si>
    <t>Discount Factor</t>
  </si>
  <si>
    <t>Present Value of FCF</t>
  </si>
  <si>
    <t>Terminal Growth Rate</t>
  </si>
  <si>
    <t>Terminal FCF (ex-SBC)</t>
  </si>
  <si>
    <t>Terminal Value</t>
  </si>
  <si>
    <t>PV of Terminal Value</t>
  </si>
  <si>
    <t>Terminal EBITDA</t>
  </si>
  <si>
    <t>Exit EV/EBITDA Multiple</t>
  </si>
  <si>
    <t>Sum of PV of FCFs</t>
  </si>
  <si>
    <t>PV of Terminal Value (Perpetuity)</t>
  </si>
  <si>
    <t>Enterprise Value (Perpetuity)</t>
  </si>
  <si>
    <t>PV of Terminal Value (Multiple)</t>
  </si>
  <si>
    <t>Enterprise Value (Multiple)</t>
  </si>
  <si>
    <t>Less: Net Debt (neg = net cash)</t>
  </si>
  <si>
    <t>Equity Value (Perpetuity)</t>
  </si>
  <si>
    <t>Equity Value (Multiple)</t>
  </si>
  <si>
    <t>Shares Outstanding</t>
  </si>
  <si>
    <t>M</t>
  </si>
  <si>
    <t>Implied Share Price (Perpetuity)</t>
  </si>
  <si>
    <t>$/sh</t>
  </si>
  <si>
    <t>Implied Share Price (Multiple)</t>
  </si>
  <si>
    <t>Current Share Price</t>
  </si>
  <si>
    <t>Upside / (Downside) — Perpetuity</t>
  </si>
  <si>
    <t>Upside / (Downside) — Multiple</t>
  </si>
  <si>
    <t>TV as % of EV (Perpetuity)</t>
  </si>
  <si>
    <t>TV as % of EV (Multiple)</t>
  </si>
  <si>
    <t>Company Overview</t>
  </si>
  <si>
    <t>Sector</t>
  </si>
  <si>
    <t>Revenue Model</t>
  </si>
  <si>
    <t>Capital Structure</t>
  </si>
  <si>
    <t>Bear</t>
  </si>
  <si>
    <t>Bull</t>
  </si>
  <si>
    <t>Table of Contents</t>
  </si>
  <si>
    <t>Assumptions</t>
  </si>
  <si>
    <t>Revenue Build</t>
  </si>
  <si>
    <t>Income Statement</t>
  </si>
  <si>
    <t>Balance Sheet</t>
  </si>
  <si>
    <t>Cash Flow</t>
  </si>
  <si>
    <t>SWOT Analysis</t>
  </si>
  <si>
    <t>Metric</t>
  </si>
  <si>
    <t>Base</t>
  </si>
  <si>
    <t>Scenario</t>
  </si>
  <si>
    <t>Exit EV/EBITDA</t>
  </si>
  <si>
    <t>Notes</t>
  </si>
  <si>
    <t>Total Revenue</t>
  </si>
  <si>
    <t>days</t>
  </si>
  <si>
    <t>CAPITAL ALLOCATION</t>
  </si>
  <si>
    <t>Dividends</t>
  </si>
  <si>
    <t>DCF ASSUMPTIONS</t>
  </si>
  <si>
    <t>REVENUE</t>
  </si>
  <si>
    <t>Operating Income (EBIT)</t>
  </si>
  <si>
    <t>EBITDA</t>
  </si>
  <si>
    <t>Cash from Operations (CFO)</t>
  </si>
  <si>
    <t>Cash from Investing (CFI)</t>
  </si>
  <si>
    <t>Cash from Financing (CFF)</t>
  </si>
  <si>
    <t>Cash from Operations</t>
  </si>
  <si>
    <t>Free Cash Flow</t>
  </si>
  <si>
    <t>Company</t>
  </si>
  <si>
    <t>Ticker</t>
  </si>
  <si>
    <t>EV/EBITDA</t>
  </si>
  <si>
    <t>P/E</t>
  </si>
  <si>
    <t>Data Sources &amp; References</t>
  </si>
  <si>
    <t>Revenue Drivers</t>
  </si>
  <si>
    <t>Equity Risk Premium: 5.5%</t>
  </si>
  <si>
    <t>SCENARIO SELECTOR</t>
  </si>
  <si>
    <t>BEAR SCENARIO</t>
  </si>
  <si>
    <t>Revenue</t>
  </si>
  <si>
    <t>(+) D&amp;A</t>
  </si>
  <si>
    <t>(-) Capex</t>
  </si>
  <si>
    <t>PV of FCF</t>
  </si>
  <si>
    <t>→ Implied Price — Perpetuity</t>
  </si>
  <si>
    <t>BASE SCENARIO</t>
  </si>
  <si>
    <t>BULL SCENARIO</t>
  </si>
  <si>
    <t>Appendix &gt;&gt;&gt;</t>
  </si>
  <si>
    <t>Valuation &gt;&gt;&gt;</t>
  </si>
  <si>
    <t>Key Assumptions</t>
  </si>
  <si>
    <t>Valuation Snapshot</t>
  </si>
  <si>
    <t>Net Debt ($M)</t>
  </si>
  <si>
    <t>Diluted Shares Outstanding (M)</t>
  </si>
  <si>
    <t>Base Case (Perpetuity Growth)</t>
  </si>
  <si>
    <t>Beta (raw, 5-yr regression)</t>
  </si>
  <si>
    <t>Beta (Adjusted, peer-median)</t>
  </si>
  <si>
    <t>Brinker International, Inc. (NYSE: EAT)</t>
  </si>
  <si>
    <t>All $ in millions unless noted. Fiscal year ends last Wednesday in June.</t>
  </si>
  <si>
    <t>FY26E anchored to mgmt's raised guidance (post-Q2). FY27-FY30 interpolate linearly between FY26 start and scenario terminal values. Each driver toggles independently via column H dropdown.</t>
  </si>
  <si>
    <t>FY26E Start</t>
  </si>
  <si>
    <t>FY21A</t>
  </si>
  <si>
    <t>FY22A</t>
  </si>
  <si>
    <t>FY23A</t>
  </si>
  <si>
    <t>FY24A</t>
  </si>
  <si>
    <t>FY25A</t>
  </si>
  <si>
    <t>FY26E</t>
  </si>
  <si>
    <t>FY27E</t>
  </si>
  <si>
    <t>FY28E</t>
  </si>
  <si>
    <t>FY29E</t>
  </si>
  <si>
    <t>FY30E</t>
  </si>
  <si>
    <t>D&amp;A % of revenue</t>
  </si>
  <si>
    <t>G&amp;A % of revenue</t>
  </si>
  <si>
    <t>Other (gains) &amp; charges % of rev</t>
  </si>
  <si>
    <t>Effective tax rate</t>
  </si>
  <si>
    <t>Interest expense ($M)</t>
  </si>
  <si>
    <t>Capex % of revenue</t>
  </si>
  <si>
    <t>SBC % of revenue</t>
  </si>
  <si>
    <t>Days Payable (AP / F&amp;B costs)</t>
  </si>
  <si>
    <t>Risk-Free Rate (10Y UST)</t>
  </si>
  <si>
    <t>Adjusted beta (Blume)</t>
  </si>
  <si>
    <t>Cost of Equity (CAPM)</t>
  </si>
  <si>
    <t>Pre-tax Cost of Debt</t>
  </si>
  <si>
    <t>Market Value of Debt ($M)</t>
  </si>
  <si>
    <t>Market Value of Equity ($M)</t>
  </si>
  <si>
    <t>Debt / Total Cap</t>
  </si>
  <si>
    <t>Chili's Company-Owned</t>
  </si>
  <si>
    <t>Maggiano's Company-Owned</t>
  </si>
  <si>
    <t xml:space="preserve">  YoY growth %</t>
  </si>
  <si>
    <t>Brinker International (EAT)</t>
  </si>
  <si>
    <t>Franchise revenues</t>
  </si>
  <si>
    <t>Total revenues</t>
  </si>
  <si>
    <t>Food and beverage costs</t>
  </si>
  <si>
    <t xml:space="preserve">  % of Company sales</t>
  </si>
  <si>
    <t>Restaurant labor</t>
  </si>
  <si>
    <t>Restaurant expenses</t>
  </si>
  <si>
    <t>Depreciation &amp; amortization</t>
  </si>
  <si>
    <t>General &amp; administrative</t>
  </si>
  <si>
    <t>Other (gains) and charges</t>
  </si>
  <si>
    <t>Total operating costs and expenses</t>
  </si>
  <si>
    <t xml:space="preserve">  Operating margin %</t>
  </si>
  <si>
    <t>Interest expense</t>
  </si>
  <si>
    <t>Other income, net</t>
  </si>
  <si>
    <t>Pre-tax income</t>
  </si>
  <si>
    <t>Provision for income taxes</t>
  </si>
  <si>
    <t xml:space="preserve">  Effective tax rate</t>
  </si>
  <si>
    <t>NET INCOME</t>
  </si>
  <si>
    <t xml:space="preserve">  Net margin %</t>
  </si>
  <si>
    <t>EPS &amp; Share Count</t>
  </si>
  <si>
    <t>Diluted shares outstanding</t>
  </si>
  <si>
    <t>Diluted EPS (GAAP)</t>
  </si>
  <si>
    <t>$</t>
  </si>
  <si>
    <t>Diluted EPS growth</t>
  </si>
  <si>
    <t>EBITDA &amp; SBC</t>
  </si>
  <si>
    <t>Operating income (EBIT)</t>
  </si>
  <si>
    <t>(+) Other (gains) &amp; charges</t>
  </si>
  <si>
    <t>Adjusted EBITDA</t>
  </si>
  <si>
    <t>EBITDA margin</t>
  </si>
  <si>
    <t>Stock-based compensation</t>
  </si>
  <si>
    <t>Current assets:</t>
  </si>
  <si>
    <t>Cash and cash equivalents</t>
  </si>
  <si>
    <t>Accounts receivable, net</t>
  </si>
  <si>
    <t>Inventories</t>
  </si>
  <si>
    <t>Restaurant supplies</t>
  </si>
  <si>
    <t>Prepaid expenses</t>
  </si>
  <si>
    <t>Net property &amp; equipment</t>
  </si>
  <si>
    <t>Operating lease assets</t>
  </si>
  <si>
    <t>Goodwill</t>
  </si>
  <si>
    <t>Deferred income taxes, net</t>
  </si>
  <si>
    <t>Intangibles, net</t>
  </si>
  <si>
    <t>Other non-current assets</t>
  </si>
  <si>
    <t>Current liabilities:</t>
  </si>
  <si>
    <t>Accounts payable</t>
  </si>
  <si>
    <t>Gift card liability</t>
  </si>
  <si>
    <t>Accrued payroll</t>
  </si>
  <si>
    <t>Current operating lease liabilities</t>
  </si>
  <si>
    <t>Other accrued liabilities</t>
  </si>
  <si>
    <t>Income taxes payable, net</t>
  </si>
  <si>
    <t>Long-term debt &amp; finance leases</t>
  </si>
  <si>
    <t>LT operating lease liabilities</t>
  </si>
  <si>
    <t>Other non-current liabilities</t>
  </si>
  <si>
    <t>Total liabilities</t>
  </si>
  <si>
    <t>Shareholders' equity:</t>
  </si>
  <si>
    <t>Common stock ($0.10 par)</t>
  </si>
  <si>
    <t>Additional paid-in capital</t>
  </si>
  <si>
    <t>Accumulated OCI</t>
  </si>
  <si>
    <t>Retained earnings (Accumulated deficit)</t>
  </si>
  <si>
    <t>Treasury stock</t>
  </si>
  <si>
    <t>Total shareholders' equity</t>
  </si>
  <si>
    <t>TOTAL LIABILITIES &amp; EQUITY</t>
  </si>
  <si>
    <t>BS Check (Assets - L&amp;E)</t>
  </si>
  <si>
    <t>Net income</t>
  </si>
  <si>
    <t>(+) Depreciation &amp; amortization</t>
  </si>
  <si>
    <t>(+) Stock-based compensation</t>
  </si>
  <si>
    <t>(+) Non-cash other (gains)/charges</t>
  </si>
  <si>
    <t>(+) Deferred income taxes</t>
  </si>
  <si>
    <t>Working capital &amp; other changes</t>
  </si>
  <si>
    <t>Capital expenditures</t>
  </si>
  <si>
    <t>Other investing activities</t>
  </si>
  <si>
    <t>Share repurchases</t>
  </si>
  <si>
    <t>Dividends paid</t>
  </si>
  <si>
    <t>Debt issuance / (repayment), net</t>
  </si>
  <si>
    <t>Other financing activities</t>
  </si>
  <si>
    <t>Net change in cash</t>
  </si>
  <si>
    <t>Beginning cash</t>
  </si>
  <si>
    <t>Ending cash</t>
  </si>
  <si>
    <t>(-) Capital expenditures</t>
  </si>
  <si>
    <t>FCF margin</t>
  </si>
  <si>
    <t>FCF per diluted share</t>
  </si>
  <si>
    <t>Brinker International, Inc. (EAT)</t>
  </si>
  <si>
    <t>Implied Share Price ($/share)</t>
  </si>
  <si>
    <t>WACC \ g</t>
  </si>
  <si>
    <t>WACC \ Mult</t>
  </si>
  <si>
    <t>Net Debt</t>
  </si>
  <si>
    <t>EPS (NTM)</t>
  </si>
  <si>
    <t>Rev Growth</t>
  </si>
  <si>
    <t>EBITDA %</t>
  </si>
  <si>
    <t>EV/Rev</t>
  </si>
  <si>
    <t>EAT</t>
  </si>
  <si>
    <t>Brinker International</t>
  </si>
  <si>
    <t>Casual Dining Peers</t>
  </si>
  <si>
    <t>DRI</t>
  </si>
  <si>
    <t>Darden Restaurants</t>
  </si>
  <si>
    <t>TXRH</t>
  </si>
  <si>
    <t>Texas Roadhouse</t>
  </si>
  <si>
    <t>CAKE</t>
  </si>
  <si>
    <t>Cheesecake Factory</t>
  </si>
  <si>
    <t>BLMN</t>
  </si>
  <si>
    <t>Bloomin' Brands</t>
  </si>
  <si>
    <t>DIN</t>
  </si>
  <si>
    <t>Dine Brands (Applebee's/IHOP)</t>
  </si>
  <si>
    <t>CBRL</t>
  </si>
  <si>
    <t>Cracker Barrel</t>
  </si>
  <si>
    <t>BJRI</t>
  </si>
  <si>
    <t>BJ's Restaurants</t>
  </si>
  <si>
    <t>Summary Statistics (Peers, excl. EAT)</t>
  </si>
  <si>
    <t>Mean</t>
  </si>
  <si>
    <t>Median</t>
  </si>
  <si>
    <t>High</t>
  </si>
  <si>
    <t>Low</t>
  </si>
  <si>
    <t>Implied EAT Valuation (Peer Median)</t>
  </si>
  <si>
    <t>Method</t>
  </si>
  <si>
    <t>EAT Metric</t>
  </si>
  <si>
    <t>Implied EV</t>
  </si>
  <si>
    <t>Equity Val</t>
  </si>
  <si>
    <t>Per Share</t>
  </si>
  <si>
    <t>Upside/(Downside)</t>
  </si>
  <si>
    <t>EV / Revenue</t>
  </si>
  <si>
    <t>EV / EBITDA</t>
  </si>
  <si>
    <t>P/E (NTM)</t>
  </si>
  <si>
    <t>n/a</t>
  </si>
  <si>
    <t>Key Takeaways</t>
  </si>
  <si>
    <t>BRINKER INTERNATIONAL, INC.</t>
  </si>
  <si>
    <t>NYSE: EAT</t>
  </si>
  <si>
    <t>Casual Dining — Chili's Grill &amp; Bar, Maggiano's Little Italy</t>
  </si>
  <si>
    <t>Brands</t>
  </si>
  <si>
    <t>Chili's Grill &amp; Bar (1,576 restaurants), Maggiano's Little Italy (52 restaurants)</t>
  </si>
  <si>
    <t>Footprint</t>
  </si>
  <si>
    <t>1,628 system-wide units; 1,162 Co-owned + 466 franchised; US + 27 intl countries</t>
  </si>
  <si>
    <t>~99% Company sales (food/beverage/banquet); ~1% franchise royalties &amp; fees</t>
  </si>
  <si>
    <t>$426M LT debt ($350M 8.25% sr notes due 2030 + finance leases); $1.0B revolver undrawn; $507M buyback authority</t>
  </si>
  <si>
    <t>Base Case (Exit Multiple, 11x)</t>
  </si>
  <si>
    <t>Upside/(Downside) vs Market (Blended)</t>
  </si>
  <si>
    <t>Terminal Rest. Op. Margin</t>
  </si>
  <si>
    <t>Brinker International, Inc. (EAT) DCF Model</t>
  </si>
  <si>
    <t>SEC FILINGS (PRIMARY SOURCES)</t>
  </si>
  <si>
    <t>FY25 10-K (fiscal year ended 6/25/2025)</t>
  </si>
  <si>
    <t>https://www.sec.gov/Archives/edgar/data/0000703351/000070335125000035/eat-20250625.htm</t>
  </si>
  <si>
    <t>FY22 10-K (for FY21/FY22 historicals)</t>
  </si>
  <si>
    <t>https://www.sec.gov/Archives/edgar/data/0000703351/000070335122000036/eat-20220629.htm</t>
  </si>
  <si>
    <t>Q1 FY26 10-Q (quarter ended 9/24/2025)</t>
  </si>
  <si>
    <t>https://www.sec.gov/Archives/edgar/data/0000703351/000070335125000046/eat-20250924.htm</t>
  </si>
  <si>
    <t>Q2 FY26 Earnings Release 8-K (Jan 2026)</t>
  </si>
  <si>
    <t>https://www.sec.gov/Archives/edgar/data/0000703351/000070335126000004/fy26q2ex991-earningsrelease.htm</t>
  </si>
  <si>
    <t>Investor Relations Hub</t>
  </si>
  <si>
    <t>https://investors.brinker.com</t>
  </si>
  <si>
    <t>FINANCIAL DATA SOURCED</t>
  </si>
  <si>
    <t>FY23/FY24/FY25 from FY25 10-K; FY21/FY22 from FY22 10-K. Matches exactly to reported GAAP figures.</t>
  </si>
  <si>
    <t>FY24/FY25 from FY25 10-K Consolidated Balance Sheets.</t>
  </si>
  <si>
    <t>FY23-FY25 from FY25 10-K; includes CFO bridge, capex, buybacks, debt activity.</t>
  </si>
  <si>
    <t>Unit Counts &amp; AUV</t>
  </si>
  <si>
    <t>FY25 10-K Item 2 Properties table. 1,113 Chili's Co + 463 Fran + 49 Maggiano's Co + 3 Fran = 1,628 system-wide. Chili's AUV $4.5M, Maggiano's $9.9M.</t>
  </si>
  <si>
    <t>Comparable Restaurant Sales</t>
  </si>
  <si>
    <t>Q1 FY26 press release (PRNewswire): consolidated +18.8%, Chili's +21.4%, Maggiano's -6.4%. Q2 FY26: consol +7.5%, Chili's +8.6%, Maggiano's -2.4%.</t>
  </si>
  <si>
    <t>FY26 Guidance</t>
  </si>
  <si>
    <t>Q2 FY26 8-K (raised): Revenue $5.76B-$5.83B; Adj EPS $10.45-$10.85; Capex $250M-$260M; WA shares 44.7-45.2M.</t>
  </si>
  <si>
    <t>Management Commentary</t>
  </si>
  <si>
    <t>Q1/Q2 FY26 earnings calls via Seeking Alpha, Motley Fool, Insider Monkey transcripts. Key: 6 consecutive quarters DD growth; North of Six initiative; Maggiano's 'North Star' turnaround; $34M R&amp;M favorability.</t>
  </si>
  <si>
    <t>Debt &amp; Liquidity</t>
  </si>
  <si>
    <t>FY25 10-K Note 7 (Debt). $350M 8.25% notes due 7/15/2030 semi-annual; $1.0B revolver matures 5/1/2030, SOFR+1.25-2.00%, undrawn at 6/25/25.</t>
  </si>
  <si>
    <t>MARKET DATA (AS OF APR 2026)</t>
  </si>
  <si>
    <t>EAT Share Price: $168</t>
  </si>
  <si>
    <t>Yahoo Finance / live quote. Also 44,431,215 shares outstanding at 10/23/25 per 10-Q cover page.</t>
  </si>
  <si>
    <t>Risk-Free Rate: 4.3%</t>
  </si>
  <si>
    <t>10-Year US Treasury. treasury.gov / Apr 2026.</t>
  </si>
  <si>
    <t>Damodaran (NYU Stern) implied ERP, current-year estimate.</t>
  </si>
  <si>
    <t>Beta</t>
  </si>
  <si>
    <t>Raw beta 1.25 (5Y monthly regression vs S&amp;P 500). Adjusted per Blume: 0.67*raw + 0.33*1 = 1.17. See Assumptions row 60-61.</t>
  </si>
  <si>
    <t>Peer Data (Comps tab)</t>
  </si>
  <si>
    <t>Yahoo Finance, StockAnalysis.com, peer 10-K/10-Q filings. DRI Feb 2026 Q3 release; TXRH Feb 2026 Q4 release.</t>
  </si>
  <si>
    <t>NOTES &amp; CAVEATS</t>
  </si>
  <si>
    <t>Model variance vs reported</t>
  </si>
  <si>
    <t>Revenue Build reconstructs total revenue from unit economics (AUV x SSS). Minor 3-5% variance vs reported in FY22-24 due to AUV/mix smoothing; FY25 closes to within $176M (3.3%).</t>
  </si>
  <si>
    <t>FY23 Net Income variance</t>
  </si>
  <si>
    <t>Model shows FY23 NI of ~$117M vs reported $102.6M. Gap reflects unmodeled special items. Acceptable for DCF valuation.</t>
  </si>
  <si>
    <t>Balance Sheet imbalance</t>
  </si>
  <si>
    <t>Minor $12-13M imbalance in FY26E (~0.4% of total assets) from working capital / accumulated OCI timing. Flagged but not material to valuation.</t>
  </si>
  <si>
    <t>Shadow DCF tab</t>
  </si>
  <si>
    <t>DEPRECATED. Was set up for QLYS (prior model). Scenario Summary has been re-routed to pull from main DCF tab only.</t>
  </si>
  <si>
    <t>Value</t>
  </si>
  <si>
    <t>Senior Notes 8.25% due 2030</t>
  </si>
  <si>
    <t>Revolving credit facility</t>
  </si>
  <si>
    <t>Finance leases</t>
  </si>
  <si>
    <t>Consumer Discretionary: Casual Dining Restaurants</t>
  </si>
  <si>
    <t>Chili's Same Store Sales Growth</t>
  </si>
  <si>
    <t>Food (Proteins, Dairy, Bakery), Alcholoic and Non-Alchoholic Beverages (Scales w/ Traffic)</t>
  </si>
  <si>
    <t>Maggiano's Same Store Sales Growth</t>
  </si>
  <si>
    <t>Franchise Royalty Rate (blended)</t>
  </si>
  <si>
    <t>COST</t>
  </si>
  <si>
    <t>G&amp;A % of revenue (terminal FY30E)</t>
  </si>
  <si>
    <t>VALUATION</t>
  </si>
  <si>
    <t>Exit EV / EBITDA Multiple</t>
  </si>
  <si>
    <t>Occupancy costs, utilities, repairs &amp; maintenance, marketing and promos, payment processing fees (Most Fixed Op. Margin Cost)</t>
  </si>
  <si>
    <t>Personell wages - Hourly workers and restaurant management (Semi-variable)</t>
  </si>
  <si>
    <t>Driven by Chili's remodel program and Maggiano's reinvestment &amp; OBBBA depreciation accelerating near-term expense recognition on new builds and equipment</t>
  </si>
  <si>
    <t>Food &amp; Beverage (F&amp;B) costs % co. sales</t>
  </si>
  <si>
    <t>Labor % of co. sales</t>
  </si>
  <si>
    <t>Restaurant expenses % of co. sales</t>
  </si>
  <si>
    <t xml:space="preserve">Corporate overhead as % of total revenue. Excludes anything at restaurant level </t>
  </si>
  <si>
    <t xml:space="preserve">The low tax rate in the HP was depressed by three tailwinds that will fade: huge tax deductions from stock-based comp vesting at today's elevated share price (stock up 7x since 2022), fixed FICA tip credits shrinking as a % of growing pretax income, and near-term bonus depreciation timing benefits
</t>
  </si>
  <si>
    <t>Tranche / $M</t>
  </si>
  <si>
    <t>Rate</t>
  </si>
  <si>
    <t>Total Debt (ex-op leases)</t>
  </si>
  <si>
    <t>Interest Calculation (on avg BOP/EOP balance)</t>
  </si>
  <si>
    <t xml:space="preserve">  Interest on Senior Notes</t>
  </si>
  <si>
    <t xml:space="preserve">  Interest on Revolver</t>
  </si>
  <si>
    <t xml:space="preserve">  Interest on Finance Leases</t>
  </si>
  <si>
    <t>Total Interest Expense</t>
  </si>
  <si>
    <t>Weighted avg cost of debt</t>
  </si>
  <si>
    <t>Margin Drivers</t>
  </si>
  <si>
    <t>Debt Schedule</t>
  </si>
  <si>
    <t>Tax &amp; Interest</t>
  </si>
  <si>
    <t>Capital Allocation</t>
  </si>
  <si>
    <t>Debt schedule = capital structure detail that flows into Interest Expense
Three tranches:
 i) Senior Notes $350M @ 8.25% due 2030 (fixed, bullet) 
ii) Revolver $42M @ ~6.75% (paying down to zero by FY28) 
iii) Finance leases $34M @ ~5% (held flat)
Rate inputs can be toggled to stress test. Excludes $1.1B op leases (ASC 842). 
Total debt/EBITDA ~0.5x = under-levered vs casual dining peers (2-3x). Source: FY25 10-K Notes 8 &amp; 9.</t>
  </si>
  <si>
    <t>Brinker ran lean on capex during COVID (FY21-FY22), letting assets depreciate without refresh. Now remodelling and integrating tech, Mgmt has signaled FY26-FY27 as peak investment, then moderating.</t>
  </si>
  <si>
    <t>Modest for a large-cap company. Reflects lean corporate headcount (restaurant operators have few highly-paid options grantees vs tech</t>
  </si>
  <si>
    <t>Brinker's 45-50 days is normal for casual dining</t>
  </si>
  <si>
    <t>Capex</t>
  </si>
  <si>
    <t>Capex % of revenue (terminal FY30E)</t>
  </si>
  <si>
    <t>Share buybacks</t>
  </si>
  <si>
    <t>Diluted shares</t>
  </si>
  <si>
    <t>$0 in FY21 (COVID preservation), spike to $150M FY22, near-zero FY23-24 (paying down revolver instead). Ramped buybacks dramatically in FY25-FY26 — the board authorized an additional $400M post-FY25 bringing total repurchase authority to $507M</t>
  </si>
  <si>
    <t>EAT does not currently pay a dividend (suspended during COVID, never reinstated). Historical FY23 $0.6M and FY24 $0.2M are just residual dividend equivalents on restricted stock unit</t>
  </si>
  <si>
    <t>Buybacks as % of FCF</t>
  </si>
  <si>
    <t>Total capital return (% of FCF)</t>
  </si>
  <si>
    <t>Current market share price</t>
  </si>
  <si>
    <t>How FCF gets returned to shareholders. Flow: FCF × Buyback% = Buyback$ → retires shares at market price → reduces diluted share count → flows to CF financing.</t>
  </si>
  <si>
    <t>Prior shares – (buybacks / share price) + (SBC / share price). Captures both shares retired via buybacks and shares issued via SBC vesting.</t>
  </si>
  <si>
    <t>Sanity check on total capital return intensity</t>
  </si>
  <si>
    <t>Units BOP</t>
  </si>
  <si>
    <t>Net new / (closures)</t>
  </si>
  <si>
    <t>Units EOP</t>
  </si>
  <si>
    <t>Same store sales YoY growth (SSS)</t>
  </si>
  <si>
    <t>Average unit volume (AUV)</t>
  </si>
  <si>
    <t>Chili's company-owned sales</t>
  </si>
  <si>
    <t>% of Total Revenue</t>
  </si>
  <si>
    <t>Total company-owned sales</t>
  </si>
  <si>
    <t>Maggiano's company-owned sales</t>
  </si>
  <si>
    <t>Total Revenue (company-owned + franchise)</t>
  </si>
  <si>
    <t xml:space="preserve"> YoY growth</t>
  </si>
  <si>
    <t>Chili's Franchise</t>
  </si>
  <si>
    <t>Chili's franchise units</t>
  </si>
  <si>
    <t>Est. franchise system sales</t>
  </si>
  <si>
    <t>Effective royalty + other</t>
  </si>
  <si>
    <t xml:space="preserve"> Franchise &amp; other revenue</t>
  </si>
  <si>
    <t>463 units at FY25 (99 domestic + 364 international): Brinker collects royalties. Per-unit sales much lower than Co-owned ($2.9M vs $4.5M) due to international weighting. FY23→FY24 drop reflects ASC 606 reclassification (ad fund netted vs grossed up), not economic decline. Not a real valuation driver.</t>
  </si>
  <si>
    <t>Reported Revenue (IS Statement)</t>
  </si>
  <si>
    <t>Variance %</t>
  </si>
  <si>
    <t>Variance (Unit Economics Build vs. IS Reported)</t>
  </si>
  <si>
    <t>Revenue Check : Unit Economics Build vs. Reported</t>
  </si>
  <si>
    <t>Chili's Same-Store Sales</t>
  </si>
  <si>
    <t>Chili's Company Sales</t>
  </si>
  <si>
    <t>Maggiano's Same-Store Sales</t>
  </si>
  <si>
    <t>Maggiano's Company Sales</t>
  </si>
  <si>
    <t>Franchise &amp; Other Revenue</t>
  </si>
  <si>
    <t>Proforma company-owned  sales are linked here from  Assumptions row 29 (FY25 Reported $4,834M × SSS, compounded). Unit counts, SSS, and AUV shown here for reference. FY21 SSS +21.5% = post-COVID rebound; FY25 SSS +17% driven by CEO Hochman's "Chili's Reimagined" turnaround (Q4 traffic +16%, unusually traffic-led growth vs. industry pricing-led norm).</t>
  </si>
  <si>
    <t>Proforma company-owned sales are linked here from Assumptions row 31 (FY25 Reported $500M × SSS). 49 units, 100% Company-operated (zero franchised). Italian-American polished casual; banquet-heavy (15% of sales). Highest AUV in casual dining ($9.9M vs Chili's $4.5M) from higher check size ($39/guest vs $22) and banquet volume. ~9% of total revenue. Brand contracting — FY26 Q1 comp -6.4%, Q2 -2.4%; mgmt applying "Chili's turnaround playbook."</t>
  </si>
  <si>
    <t>Our revenue proforma  uses same-store sales (SSS) growth applied to FY25 reported revenue which is  not a bottoms-up unit build. This captures comp growth at existing restaurants but implicitly ignores: Net new stores, Closed stores , and New store ramp
This is acceptable for Brinker because net unit change is immaterial (&lt;0.5% of revenue). For a high-growth restaurant concept (e.g., TXRH, WING), a proper unit economic build would be essential. Revenue Build unit economics shown in HP in the Revenue Build Tab reflect how that  analytical framework would work but does not flow into the forecast.</t>
  </si>
  <si>
    <t xml:space="preserve">  Chili's company sales</t>
  </si>
  <si>
    <t xml:space="preserve">  Maggiano's company sales</t>
  </si>
  <si>
    <t>Total Company-Owned Sales</t>
  </si>
  <si>
    <t>Restaurant-Level Profit</t>
  </si>
  <si>
    <t xml:space="preserve">  Restaurant-Level Margin %</t>
  </si>
  <si>
    <t>Restaurant operating margin</t>
  </si>
  <si>
    <t>Restaurant-level operating costs</t>
  </si>
  <si>
    <t>Corporate costs</t>
  </si>
  <si>
    <t>Below-the-line</t>
  </si>
  <si>
    <t>Brinker revenue = Company sales (98%) + Franchise revenues (1%). Company sales = revenue from restaurants Brinker owns &amp; operates (1,113 Chili's + 49 Maggiano's). Franchise = royalties from 463 franchised Chili's (mostly international). Forecast: FY25 reported × (1 + SSS%), compounded. SSS toggles live on Assumptions</t>
  </si>
  <si>
    <t>Costs that happen inside the four walls of a restaurant. Three line items: 
i) F&amp;B costs — ingredients; moves with commodity cycles, ii) Restaurant labor — hourly staff, managers, benefits, payroll taxes iii) Restaurant expenses — rent, utilities, R&amp;M, credit card fees, local marketing 
Forecast % driven by scenario toggles on Assumptions (F&amp;B/Labor/Rest Exp). These three sum to ~82-83% of company sales.</t>
  </si>
  <si>
    <t>Costs that happen above the restaurant level at HQ: i) D&amp;A — depreciation on restaurant buildings/equipment + intangibles amortization ii) G&amp;A — corporate HQ staff, field leadership above GM, legal/audit, IT iii) Other (gains) &amp; charges — impairments, litigation settlements, restructuring, one-timers. Forecast driven by Assumptions scenario toggles.</t>
  </si>
  <si>
    <t>Items between EBIT and Net Income: i) Interest expense — flows from debt schedule (Assumptions row 60) ii) Other income, net — FX gains/losses and misc; typically immaterial (~$1M) iii) Taxes — provision = pretax income × effective tax rate (Assumptions I43) FY25 effective rate 16.7% depressed by SBC tax benefits; normalizing to ~23% by FY30E as benefits fade.</t>
  </si>
  <si>
    <t>Diluted EPS = Net Income / Diluted Shares. Diluted share count derived on Assumptions from buyback math (prior shares − buybacks/price + SBC/price). Current ~45.5M diluted declining to ~38.5M by FY30E reflecting aggressive buyback program</t>
  </si>
  <si>
    <t xml:space="preserve">Adjusted EBITDA = EBIT + D&amp;A + Other charges. Adds back non-cash D&amp;A and one-time items (impairments, restructuring). Standard proxy for cash earnings </t>
  </si>
  <si>
    <t>Non-current assets:</t>
  </si>
  <si>
    <t>Non-current liabilities:</t>
  </si>
  <si>
    <t>Current assets</t>
  </si>
  <si>
    <t>Total assets</t>
  </si>
  <si>
    <t>Current liabilities</t>
  </si>
  <si>
    <t>Assets:</t>
  </si>
  <si>
    <t>Liabilities + Equity:</t>
  </si>
  <si>
    <t>Mostly credit card recievables, but also franchise recievables and gift card recievables</t>
  </si>
  <si>
    <t xml:space="preserve">Raw food and beverages. Not a whole lot of volume because inventory turns 1-2 weeks. </t>
  </si>
  <si>
    <t>Smallwares, packaging, cleaning supps, uniforms, menus. Turnover is months not weeks</t>
  </si>
  <si>
    <t>Insurance premiums, rent, enterprise software SaaS, licenses &amp; permits</t>
  </si>
  <si>
    <t>Brinker runs very lean on cash — uses $1B revolver for liquidity and deploys excess cash into buybacks. jumps FY26E-FY30E as model doesn't fully recycle excess FCF into buybacks/dividends.</t>
  </si>
  <si>
    <t>Owned buildings and improvements on leased buildings mostly but also furniture and equipment</t>
  </si>
  <si>
    <t>Right to operate leased restaurants. Brinker leases most of its 1,113 Chili's + 49 Maggiano's locations.</t>
  </si>
  <si>
    <t>FY22 frachise reaquisition + maggiano's acquisition in 1995</t>
  </si>
  <si>
    <t xml:space="preserve">Future tax savings from timing differences between GAAP book income and IRS taxable income. </t>
  </si>
  <si>
    <t>Identifiable intangible assets from past acquisitions </t>
  </si>
  <si>
    <t>Long-term marketable securities, long-term renteres deposits, life insurance deposits</t>
  </si>
  <si>
    <t>Mostly food &amp; beverage distributors, smallware suppliers, utilities, maintenance/R&amp;M vendors, marketing agencies, and third-party tech providers</t>
  </si>
  <si>
    <t>Next year's rent payments on leased restaurants, reported at the present value of scheduled cash payments.</t>
  </si>
  <si>
    <t>Utilities, property taxes, advertising &amp; markteing, professional fees, insurance, sales payable, interest on debt</t>
  </si>
  <si>
    <t>Taaxes owed to the IRS and state authorities but not yet remitted</t>
  </si>
  <si>
    <t> Par value of issued shares ($0.10 par × 60.3M shares issued).</t>
  </si>
  <si>
    <t>non-P&amp;L equity items, mostly FX translation adjustments on foreign subsidiaries</t>
  </si>
  <si>
    <t xml:space="preserve"> Amount paid above par value when shares were originally issued, plus cumulative SBC expense recognized</t>
  </si>
  <si>
    <t xml:space="preserve"> Was negative (Accumulated Deficit) through FY24 due to historical losses + large buybacks — flipped positive in FY25 as recent profitability caught up</t>
  </si>
  <si>
    <t>Cumulative cost of all shares Brinker has repurchased and retired since inception. Reflects Brinker's aggressive capital return program</t>
  </si>
  <si>
    <t>Money received from customers (via gift card sales) but for which food/drink hasn't yet been delivered. Deferred revenue.</t>
  </si>
  <si>
    <t>Labor-related obligations earned by employees but not yet paid. Big number relative to AP — reflects that labor is Brinker's single largest cost line</t>
  </si>
  <si>
    <t>$350M Senior Notes (8.25% due 2030) + revolver + finance leases; tied to debt schedule on Assumptions.</t>
  </si>
  <si>
    <t>Catch-all for long-term obligations. Uncertain tax positions, deferred comp for execs, asset retirement obligations, long-term workers' comp reserves.</t>
  </si>
  <si>
    <t>PV of future rent. Not 'debt' traditionally but rating agencies treat as debt-like.</t>
  </si>
  <si>
    <t>Operating Activities</t>
  </si>
  <si>
    <t>Investing Activities</t>
  </si>
  <si>
    <t>Financing Activities</t>
  </si>
  <si>
    <t>Starting point from IS. Links to Income Statement Net Income line.</t>
  </si>
  <si>
    <t>Add back non-cash depreciation from IS. Biggest CFO addback.</t>
  </si>
  <si>
    <t>Add back non-cash stock comp from IS. Shares issued count against equity but don't use cash.</t>
  </si>
  <si>
    <t>Add back non-cash portion of Other (gains)/charges line on IS — restructuring, impairments, asset disposals.</t>
  </si>
  <si>
    <t>Deferred tax expense — non-cash. Represents timing differences between book and tax income. Can be + or −.</t>
  </si>
  <si>
    <t>Historical: plug to reported CFO per 10-K. Forecast: derived from BS working capital deltas (AR, inventory, AP, accrued liabilities, etc.).</t>
  </si>
  <si>
    <t>Cash spent on restaurant buildouts, equipment, remodels, tech. Links to Assumptions capex row (Capex % × Revenue).</t>
  </si>
  <si>
    <t>Misc investing — asset sales, insurance recoveries, note receivable collections, and FY22 $106M franchise reacquisition.</t>
  </si>
  <si>
    <t>Cash spent buying back EAT shares. Links to Assumptions (Buyback % of FCF × FCF).</t>
  </si>
  <si>
    <t>Dividend payments to shareholders. Brinker suspended dividend during COVID; model assumes $0 going forward.</t>
  </si>
  <si>
    <t>Net of new borrowings and repayments. Revolver draws/paydowns + Senior Notes issuance/repayment. Tied to debt schedule.</t>
  </si>
  <si>
    <t>Misc financing — treasury stock issuance for RSU vesting, debt issuance costs, other.</t>
  </si>
  <si>
    <t>CFO + CFI + CFF. Increase/decrease in cash for the period.</t>
  </si>
  <si>
    <t>Prior period's ending cash. Historical FY21 = FY20 ending per 10-K ($43.9M).</t>
  </si>
  <si>
    <t>Pulls CFO from above.</t>
  </si>
  <si>
    <t>Capital expenditures (negative here since it's a subtraction from CFO).</t>
  </si>
  <si>
    <t>FCF = CFO − Capex. The cash available to return to shareholders or reinvest. Drives DCF valuation.</t>
  </si>
  <si>
    <t>FCF as % of total revenue. Brinker delivers ~8-10% FCF margin — strong for casual dining.</t>
  </si>
  <si>
    <t>FCF divided by diluted shares. Proxy for intrinsic value creation per share.</t>
  </si>
  <si>
    <t>DCF &amp; Sensitivity Analysis</t>
  </si>
  <si>
    <t>At the current share price (~$168), EAT trades at ~11x LTM EV/EBITDA and ~9x forward FCF.</t>
  </si>
  <si>
    <t>(-) Stock-based comp</t>
  </si>
  <si>
    <t>FCF = CFO − Capex − SBC. SBC is deducted as a true economic cost to avoid masking dilution. Capex runs at a maintenance-level plateau while revenue growth decelerates across the projection, so FCF margin compresses modestly year-over-year.</t>
  </si>
  <si>
    <t>Perpetuity TV is structurally fragile because the (WACC − g) denominator is small. A 100bps move in either input swings TV by double-digit percentages. The method is most defensible when g is anchored to long-run nominal GDP and well below WACC. Sanity check: TV should not exceed ~75% of EV.</t>
  </si>
  <si>
    <t>Exit multiple TV anchors on FY30E EBITDA, so it's more stable than perpetuity but depends on the credibility of the chosen multiple. Triangulate against (1) current EAT LTM multiple, (2) peer median in Comps tab, and (3) historical casual-dining M&amp;A multiples. A defensible exit sits within that range, not above it.</t>
  </si>
  <si>
    <t>Perpetuity sensitivity shows a wide output range across WACC × g combinations  which quantifies the method's fragility. Use the grid to reverse-engineer which WACC/g combination matches the current market price; if that combination looks unreasonable, the stock is mispriced.</t>
  </si>
  <si>
    <t>Exit-multiple sensitivity has a tighter output range than perpetuity because TV is anchored to EBITDA. The method is most useful for stress-testing which exit multiple the market is implicitly paying today — compare that implied multiple against peer and historical ranges.</t>
  </si>
  <si>
    <t>Comparable Companies Analysis</t>
  </si>
  <si>
    <t>Price ($)</t>
  </si>
  <si>
    <t>Mkt Cap ($M)</t>
  </si>
  <si>
    <t>EV ($M)</t>
  </si>
  <si>
    <t>Revenue ($M)</t>
  </si>
  <si>
    <t>Takeaway</t>
  </si>
  <si>
    <t>WACC Calculation</t>
  </si>
  <si>
    <t>FCF Projection</t>
  </si>
  <si>
    <t>Method 1: Perpetuity Growth</t>
  </si>
  <si>
    <t>Method 2: Exit Multiple</t>
  </si>
  <si>
    <t>Valuation Summary</t>
  </si>
  <si>
    <t>Sensitivity: WACC vs. Terminal Growth Rate (Perpetuity Method)</t>
  </si>
  <si>
    <t>Sensitivity: WACC vs. Exit EV/EBITDA Multiple</t>
  </si>
  <si>
    <t>Shadow DCF — Scenario Comparison</t>
  </si>
  <si>
    <t>Supports Scenario Summary. Each scenario re-runs the DCF using Bear/Base/Bull drivers from Assumptions. Shared WACC, shares, net debt.</t>
  </si>
  <si>
    <t>Shared Constants</t>
  </si>
  <si>
    <t>Diluted Shares</t>
  </si>
  <si>
    <t>FY25A Revenue</t>
  </si>
  <si>
    <t>FY25A EBITDA Margin</t>
  </si>
  <si>
    <t>FY25A Capex % Rev</t>
  </si>
  <si>
    <t>SBC % Rev (projected)</t>
  </si>
  <si>
    <t>Scenario Drivers (by scenario)</t>
  </si>
  <si>
    <t>Terminal EBITDA margin (100 − F&amp;B − Labor − RestExp − G&amp;A)</t>
  </si>
  <si>
    <t>Terminal Capex % rev</t>
  </si>
  <si>
    <t>EBITDA margin (linear interp FY25A → terminal)</t>
  </si>
  <si>
    <t>(-) D&amp;A (assume ~30% of EBITDA)</t>
  </si>
  <si>
    <t>EBIT</t>
  </si>
  <si>
    <t>NOPAT = EBIT × (1−t)</t>
  </si>
  <si>
    <t>(-) Capex (terminal %, linear interp)</t>
  </si>
  <si>
    <t>(-) SBC</t>
  </si>
  <si>
    <t>FCF</t>
  </si>
  <si>
    <t>Sum of PV of FCFs (Bear)</t>
  </si>
  <si>
    <t>Terminal FCF (year 5)</t>
  </si>
  <si>
    <t>Terminal Value — Perpetuity</t>
  </si>
  <si>
    <t>PV of TV — Perpetuity</t>
  </si>
  <si>
    <t>Terminal Value — Exit Multiple</t>
  </si>
  <si>
    <t>PV of TV — Exit Multiple</t>
  </si>
  <si>
    <t>Enterprise Value — Perpetuity</t>
  </si>
  <si>
    <t>Enterprise Value — Exit Multiple</t>
  </si>
  <si>
    <t>(−) Net Debt</t>
  </si>
  <si>
    <t>Equity Value — Perpetuity</t>
  </si>
  <si>
    <t>Equity Value — Exit Multiple</t>
  </si>
  <si>
    <t>→ Implied Price — Exit Multiple</t>
  </si>
  <si>
    <t>EBITDA margin (linear interp)</t>
  </si>
  <si>
    <t>(-) D&amp;A</t>
  </si>
  <si>
    <t>NOPAT</t>
  </si>
  <si>
    <t>Sum of PV of FCFs (Base)</t>
  </si>
  <si>
    <t>Revenue growth — FY26E anchor (guidance) → terminal SSS</t>
  </si>
  <si>
    <t>FY26E Revenue (mgmt guidance midpoint)</t>
  </si>
  <si>
    <t>Sum of PV of FCFs (Bull)</t>
  </si>
  <si>
    <t>Summary (pulled into Scenario Summary)</t>
  </si>
  <si>
    <t>Revenue FY30E</t>
  </si>
  <si>
    <t>EBITDA FY30E</t>
  </si>
  <si>
    <t>EBITDA Margin FY30E</t>
  </si>
  <si>
    <t>FCF FY30E</t>
  </si>
  <si>
    <t>Implied Price — Perpetuity</t>
  </si>
  <si>
    <t>Implied Price — Exit Multiple</t>
  </si>
  <si>
    <t>Blended Implied Price (avg)</t>
  </si>
  <si>
    <t>Upside / (Downside) vs. market</t>
  </si>
  <si>
    <t>Scenario Summary</t>
  </si>
  <si>
    <t>Bear / Base / Bull scenarios side-by-side. Valuation from Shadow DCF tab (simplified model, scenario-specific drivers). Current market: $168/sh.</t>
  </si>
  <si>
    <t>Range (Bull − Bear)</t>
  </si>
  <si>
    <t>Blended (avg of two methods)</t>
  </si>
  <si>
    <t>—</t>
  </si>
  <si>
    <t>Scenario Drivers</t>
  </si>
  <si>
    <t>F&amp;B % of Co Sales (terminal FY30E)</t>
  </si>
  <si>
    <t>Labor % (terminal FY30E)</t>
  </si>
  <si>
    <t>Rest. Expenses % (terminal FY30E)</t>
  </si>
  <si>
    <t>FY30E Model Outputs</t>
  </si>
  <si>
    <t>Implied Terminal EBITDA Margin</t>
  </si>
  <si>
    <t>FY26E EBITDA Margin (guidance anchor)</t>
  </si>
  <si>
    <t>Note: Simplified scenario view showing Bear/Base/Bull side-by-side (independent of the Assumptions selector, by design). Uses a single blended revenue driver (Chili's SSS applied to total revenue, collapsing Maggiano's and franchise streams), FY26E EBITDA margin anchored to management's FY26E guidance and interpolated linearly to each scenario's FY30E terminal margin, D&amp;A held flat at 30% of EBITDA, and no working capital. Expect ~1-2% variance vs. the main three-statement model on implied price when running the main model at the same scenario.</t>
  </si>
  <si>
    <t>Takeaways</t>
  </si>
  <si>
    <r>
      <t xml:space="preserve">i) ~70% of enterprise value sits in terminal value across all three scenarios and both exit multiple and perpetuity methods. Valuation is driven by go-forward steady-state assumptions, not the 5-year forecast.
ii) Restaurant operating margin is not the crux. Casual dining margins mean-revert within a narrow band as operators flex pricing and labor against commodity cycles. Even our Bear-to-Bull margin range of 9-17% overstates the realistic spread.
iii) </t>
    </r>
    <r>
      <rPr>
        <b/>
        <sz val="10"/>
        <color theme="1"/>
        <rFont val="Calibri"/>
        <family val="2"/>
        <scheme val="minor"/>
      </rPr>
      <t>The real debate is where Chili's SSS stabilizes.</t>
    </r>
    <r>
      <rPr>
        <sz val="10"/>
        <color theme="1"/>
        <rFont val="Calibri"/>
        <family val="2"/>
        <scheme val="minor"/>
      </rPr>
      <t xml:space="preserve"> FY25A printed +17% on new-CEO momentum (Hochman), '3 for Me' value messaging, and viral social media moments (Triple Dipper). Essentially, a hype cycle that can't compound forever. Bear/Base/Bull assume 1% / 2.5% / 4% in steady state. A 150bps swing in terminal SSS compounds through 50 years of terminal value and drives the full ~$137/sh Bear-to-Bull dispersion.
iv) Maggiano's is 9% of revenue in FY25A, still not totally negliable compared to Chili's company-owned 90% of revenue. 
</t>
    </r>
  </si>
  <si>
    <t>Ideally, a restaurant DCF would build revenue from unit economic drivers (avg units × AUV + new units × ramp-up AUV − closed units × partial-year AUV) to isolate new stores, existing stores, and closed stores as separate value drivers. We can't do this cleanly because the 10-K doesn't disclose: (1) unit-week counts (when during the year stores closed), (2) new-build AUV vs mature AUV (new restaurants ramp over ~2 yrs), (3) domestic vs international AUV split (international franchisees have different economics), or (4) the restaurant population used in the AUV metric. 
In the HP, we attempted to take AUV * # of Units to see if this bottoms-up revenue build would align close to reported revenue, but this method overshoots reported sales by 3-9% historically, confirming the current level of disclosure isn't sufficient for a precise bottoms-up build. 
How we forecast revenue: FY25 Reported × (1 + SSS%), compounded. This method sacrifices segment-level unit economics visibility but anchors forecast to audited revenue. Unit economics breakdown below is kept as analytical color. This is doable for Brinker specifically, because new stores expansion is immaterial (~+2 net Chili's/yr = &lt;0.1% revenue impact). SSS toggles remain the primary value lever.</t>
  </si>
  <si>
    <t>Chili's sustained double-digit same-store sales growth (6 consecutive quarters) and FY26 guidance raised to $5.76-5.83B revenue and $10.45-10.85 adj. EPS. 
Key risk is Chili's SSS growth and to a much lesser extent Maggiano's (~9% of co sales) underperformance.</t>
  </si>
  <si>
    <t>WACC is driven almost entirely by cost of equity. EAT is lightly levered, so the tax shield contributes minimally and moves in beta or ERP flow directly into WACC. Excludes operating leases; capitalizing them would raise D/V (Debt/Total Capital) and lower WACC.</t>
  </si>
  <si>
    <t>Both methods put ~70-80% of EV in the terminal value, so either way this is a bet on terminal-period economics. The methods differ in WHAT assumption the TV rests on: perpetuity is fragile to the terminal growth rate (g) and WACC spread; exit-multiple is only as good as the chosen EV/EBITDA multiple. The gap between the two methods is the real information — it quantifies how much your answer depends on which terminal assumption you trust more. Cross-check both against P/E and EV/EBITDA comps in the Comps tab.</t>
  </si>
  <si>
    <t>EBITDA ($M)</t>
  </si>
  <si>
    <t>Peer Multiple</t>
  </si>
  <si>
    <t>i) Current operating metrics look differentiated but are cyclically inflated. FY26E's 7.8% revenue growth and 14.6% EBITDA margin sit top quartile vs. peers (4.0% and 8.9% median), but both still ride Chili's turnaround momentum. In Base they converge toward peer mean; in Bear, toward peer median.
ii) Every multiple resolves to the same question: does Chili's SSS stay elevated or normalize? EV/Revenue implies $103, EV/EBITDA $135, P/E $171. The spread mirrors the DCF's Bear to Base range. Each method prices in a different degree of margin durability, so 'which comp do I trust' is just 'which scenario do I believe.' At current $168, the market is roughly pricing the Base case.</t>
  </si>
  <si>
    <t>`</t>
  </si>
  <si>
    <t>DCF — Perpetuity Growth</t>
  </si>
  <si>
    <t>Bear → Bull scenario range</t>
  </si>
  <si>
    <t>Comps — EV/EBITDA</t>
  </si>
  <si>
    <t>Peer 25th–75th pctile × EAT FY26E EBITDA</t>
  </si>
  <si>
    <t>Peer 25th–75th pctile × EAT FY26E EPS</t>
  </si>
  <si>
    <t>52-Week Trading Range</t>
  </si>
  <si>
    <t>Market trading context</t>
  </si>
  <si>
    <t>Current Price</t>
  </si>
  <si>
    <t>Width</t>
  </si>
  <si>
    <t>Football Field Chart — Source Data</t>
  </si>
  <si>
    <t>This sheet feeds the 'Football Field — Implied Price by Method ($/sh)' chart on Scenario Summary. Do not delete.</t>
  </si>
  <si>
    <t>Description</t>
  </si>
  <si>
    <t>DCF — Exit Multiple</t>
  </si>
  <si>
    <t>Comps — P/E</t>
  </si>
  <si>
    <t>Current Price Line</t>
  </si>
  <si>
    <t>X (Price)</t>
  </si>
  <si>
    <t>Y (Position)</t>
  </si>
  <si>
    <t>› Summary</t>
  </si>
  <si>
    <t xml:space="preserve">   Scenario Summary</t>
  </si>
  <si>
    <t xml:space="preserve">   SWOT</t>
  </si>
  <si>
    <t>› Valuation</t>
  </si>
  <si>
    <t xml:space="preserve">   Assumptions</t>
  </si>
  <si>
    <t xml:space="preserve">   Revenue Build</t>
  </si>
  <si>
    <t xml:space="preserve">   Income Statement</t>
  </si>
  <si>
    <t xml:space="preserve">   Balance Sheet</t>
  </si>
  <si>
    <t xml:space="preserve">   Cash Flow</t>
  </si>
  <si>
    <t xml:space="preserve">   DCF &amp; Sensitivity</t>
  </si>
  <si>
    <t xml:space="preserve">   Comps</t>
  </si>
  <si>
    <t>› Appendix</t>
  </si>
  <si>
    <t xml:space="preserve">   Sources</t>
  </si>
  <si>
    <t>Balance Sheet Drivers</t>
  </si>
  <si>
    <t>F&amp;B % of Co sales</t>
  </si>
  <si>
    <t>Labor % of Co sales</t>
  </si>
  <si>
    <t>Restaurant expenses %</t>
  </si>
  <si>
    <t>Buybacks % of FCF</t>
  </si>
  <si>
    <t>Cash Check (historical only)</t>
  </si>
  <si>
    <t>Model Conventions</t>
  </si>
  <si>
    <t>Blue text</t>
  </si>
  <si>
    <t>Hardcoded inputs and assumptions. Scenario drivers, historical data, WACC components.</t>
  </si>
  <si>
    <t>Black text</t>
  </si>
  <si>
    <t>Formulas and calculations that reference cells within the same sheet.</t>
  </si>
  <si>
    <t>Green text</t>
  </si>
  <si>
    <t>Cross-sheet links. Formulas pulling values from other tabs.</t>
  </si>
  <si>
    <t>Amounts</t>
  </si>
  <si>
    <t>All $ values in millions ($M) unless labeled per-share ($/sh). Units column on each sheet confirms.</t>
  </si>
  <si>
    <t>Percentages</t>
  </si>
  <si>
    <t>Fiscal year</t>
  </si>
  <si>
    <t>Negatives</t>
  </si>
  <si>
    <t>Shown as (123) in parentheses via number format, not as -123.</t>
  </si>
  <si>
    <t>Selector cells</t>
  </si>
  <si>
    <t>Interpolation</t>
  </si>
  <si>
    <t>Fiscal Year Inputs</t>
  </si>
  <si>
    <t>Base Year (first historical)</t>
  </si>
  <si>
    <t>First Forecast Year</t>
  </si>
  <si>
    <t>Brinker fiscal year ends late June. FY25 = July 2024 through June 2025.</t>
  </si>
  <si>
    <t>Revenue and Margin drivers interpolate YoY from the FY26E anchor to the scenario-selected FY30E terminal value.</t>
  </si>
  <si>
    <r>
      <t xml:space="preserve">Use dropdowns on top of </t>
    </r>
    <r>
      <rPr>
        <i/>
        <sz val="10"/>
        <color theme="1"/>
        <rFont val="Calibri"/>
        <family val="2"/>
        <scheme val="minor"/>
      </rPr>
      <t>"Assumptions"</t>
    </r>
    <r>
      <rPr>
        <sz val="10"/>
        <color theme="1"/>
        <rFont val="Calibri"/>
        <family val="2"/>
        <scheme val="minor"/>
      </rPr>
      <t xml:space="preserve"> tab to select Bear/Base/Bull per driver.</t>
    </r>
  </si>
  <si>
    <t>2. Flex DCF Inputs</t>
  </si>
  <si>
    <t>1. Set Scenario</t>
  </si>
  <si>
    <t>3. Update Market Data</t>
  </si>
  <si>
    <r>
      <t>Update current share price on</t>
    </r>
    <r>
      <rPr>
        <i/>
        <sz val="10"/>
        <color theme="1"/>
        <rFont val="Calibri"/>
        <family val="2"/>
        <scheme val="minor"/>
      </rPr>
      <t xml:space="preserve"> "DCF &amp; SensitivityD55"</t>
    </r>
    <r>
      <rPr>
        <sz val="10"/>
        <color theme="1"/>
        <rFont val="Calibri"/>
        <family val="2"/>
        <scheme val="minor"/>
      </rPr>
      <t>. Flows through to upside calcs on DCF tab and Cover Page.</t>
    </r>
  </si>
  <si>
    <r>
      <t xml:space="preserve">Flex any of the DCF inputs including WACC or Terminal Value in the DCF section on the bottom of the </t>
    </r>
    <r>
      <rPr>
        <i/>
        <sz val="10"/>
        <color theme="1"/>
        <rFont val="Calibri"/>
        <family val="2"/>
        <scheme val="minor"/>
      </rPr>
      <t>"Assumptions"</t>
    </r>
    <r>
      <rPr>
        <sz val="10"/>
        <color theme="1"/>
        <rFont val="Calibri"/>
        <family val="2"/>
        <scheme val="minor"/>
      </rPr>
      <t xml:space="preserve"> tab</t>
    </r>
  </si>
  <si>
    <t>› Color Coding</t>
  </si>
  <si>
    <t>› Number Conventions</t>
  </si>
  <si>
    <t>› Scenario Toggle</t>
  </si>
  <si>
    <t>› How to Run the Model</t>
  </si>
  <si>
    <t>Stored as decimals (0.125 = 12.5%) and displayed with 0.0% format</t>
  </si>
  <si>
    <t>Main Model Outputs — Snapshot</t>
  </si>
  <si>
    <t>Hardcoded main-model outputs for each scenario. Feeds Scenario Summary reconciliation.</t>
  </si>
  <si>
    <t>⚠ REFRESH REQUIRED after any assumption change</t>
  </si>
  <si>
    <t>Workflow</t>
  </si>
  <si>
    <t>1. Set all dropdowns on Assumptions!H11:H24 to "Bear" → copy the values from the main model tabs into column D below.  2. Repeat for "Base" (column E) and "Bull" (column F).  3. Update the refresh timestamp in C8.  4. Return the Assumptions toggles to the scenario you want the main model to display.</t>
  </si>
  <si>
    <t>Last Refreshed</t>
  </si>
  <si>
    <t>Source cells</t>
  </si>
  <si>
    <t>Pull from these cells on the main model tabs (all show FY30E values except EV/Share Price which are the final DCF outputs).</t>
  </si>
  <si>
    <t>Main Model Outputs</t>
  </si>
  <si>
    <t>Source Cell</t>
  </si>
  <si>
    <t>FY30E Revenue ($M)</t>
  </si>
  <si>
    <t>Income Statement'!M13</t>
  </si>
  <si>
    <t>FY30E Net Income ($M)</t>
  </si>
  <si>
    <t>Income Statement'!M40</t>
  </si>
  <si>
    <t>FY30E EBITDA ($M)</t>
  </si>
  <si>
    <t>Income Statement'!M52</t>
  </si>
  <si>
    <t>FY30E EBITDA Margin</t>
  </si>
  <si>
    <t>Income Statement'!M53</t>
  </si>
  <si>
    <t>FY30E FCF ($M)</t>
  </si>
  <si>
    <t>Cash Flow'!M38</t>
  </si>
  <si>
    <t>Enterprise Value — Perpetuity ($M)</t>
  </si>
  <si>
    <t>DCF &amp; Sensitivity'!D44</t>
  </si>
  <si>
    <t>Enterprise Value — Exit Multiple ($M)</t>
  </si>
  <si>
    <t>DCF &amp; Sensitivity'!D46</t>
  </si>
  <si>
    <t>Share Price — Perpetuity ($/sh)</t>
  </si>
  <si>
    <t>DCF &amp; Sensitivity'!D53</t>
  </si>
  <si>
    <t>Share Price — Exit Multiple ($/sh)</t>
  </si>
  <si>
    <t>DCF &amp; Sensitivity'!D54</t>
  </si>
  <si>
    <t>Share Price — Blended ($/sh)</t>
  </si>
  <si>
    <t>avg of perp + mult</t>
  </si>
  <si>
    <t>Scenario Summary Reconciliation</t>
  </si>
  <si>
    <t>Blended Share Price — Shadow</t>
  </si>
  <si>
    <t>Shadow DCF'!D123 / E123 / F123</t>
  </si>
  <si>
    <t>Blended Share Price — Main Model (snapshot above)</t>
  </si>
  <si>
    <t>Variance (Shadow − Main)</t>
  </si>
  <si>
    <r>
      <rPr>
        <i/>
        <sz val="10"/>
        <color theme="1"/>
        <rFont val="Calibri"/>
        <family val="2"/>
        <scheme val="minor"/>
      </rPr>
      <t xml:space="preserve">"Assumptions" </t>
    </r>
    <r>
      <rPr>
        <sz val="10"/>
        <color theme="1"/>
        <rFont val="Calibri"/>
        <family val="2"/>
        <scheme val="minor"/>
      </rPr>
      <t>tab with dropdown of "Bear" / "Base" / "Bull" options. Each row's selector independently drives one scenario dimension.</t>
    </r>
  </si>
  <si>
    <t>Blended Share Price - Scenario Summary</t>
  </si>
  <si>
    <t>Blended Share Price - Main Model</t>
  </si>
  <si>
    <t>Check: Rec to Three Statement DCF</t>
  </si>
  <si>
    <t>Shadow DCF</t>
  </si>
  <si>
    <t>Shadow DCF Rec</t>
  </si>
  <si>
    <t>The valuation outputs (share price &amp; FY30E) values are simplified views of bear, base, and bull that reconcile within a material percentage of main model</t>
  </si>
  <si>
    <t>INTERNAL</t>
  </si>
  <si>
    <t>Helpful (to achieving objectives)</t>
  </si>
  <si>
    <t>Harmful (to achieving objectives)</t>
  </si>
  <si>
    <t>STRENGTHS</t>
  </si>
  <si>
    <t>WEAKNESSES</t>
  </si>
  <si>
    <t>OPPORTUNITIES</t>
  </si>
  <si>
    <t>THREATS</t>
  </si>
  <si>
    <t>EXTERNAL</t>
  </si>
  <si>
    <t>•  Chili's: 6 consecutive quarters of double-digit sales + positive traffic growth through Q1 FY26</t>
  </si>
  <si>
    <t>•  Chili's AUV jumped from $3.2M (FY22) to $4.5M (FY25), +41% over 3 years</t>
  </si>
  <si>
    <t>•  Restaurant operating margin expanded from 11% (FY22) to 17.5% (FY25); Q2 FY26 consolidated ROM 18.8%</t>
  </si>
  <si>
    <t>•  Value positioning — strong gains among &lt;$60K household income segments despite macro weakness</t>
  </si>
  <si>
    <t>•  $507M buyback authority (Aug 2025 top-up); $679M CFO FY25 covers capex + buybacks + debt paydown</t>
  </si>
  <si>
    <t>•  Paid down $360M of revolver in FY25; debt reduced from $786M to $426M; revolver undrawn at 6/25/25</t>
  </si>
  <si>
    <t>•  Maggiano's is a drag: Q2 FY26 SSS -2.4%, ROM down -6.7%; turnaround plan is early-stage</t>
  </si>
  <si>
    <t>•  Single-brand concentration — Chili's is &gt;90% of revenue; limited geographic diversification</t>
  </si>
  <si>
    <t>•  21% / 8.6% SSS growth in Q1/Q2 FY26; guidance implies mid-single-digit for remainder. Where does run-rate SSS land?</t>
  </si>
  <si>
    <t>•  International franchise expansion — 26-32 franchise openings planned FY26 (mostly international); 18 active dev agreements</t>
  </si>
  <si>
    <t>•  Maggiano's 'North Star' turnaround plan — apply Chili's playbook to underperforming segment</t>
  </si>
  <si>
    <t>•  Operating leverage on G&amp;A and fixed costs as Chili's AUV continues to scale (target $6M+ 'North of Six' units)</t>
  </si>
  <si>
    <t>•  100% bonus depreciation restored (OBBBA, July 2025) — improves near-term FCF on capex-heavy new units</t>
  </si>
  <si>
    <t>•  Economic downturn impact on casual dining; consumer discretionary spending risk</t>
  </si>
  <si>
    <t>•  Consumer shift toward healthier / fast-casual options (CMG, SG, CAVA) could compress casual dining TAM</t>
  </si>
  <si>
    <t>•  Wage inflation — low to mid-single digits expected FY26; labor is 32%+ of company sales</t>
  </si>
  <si>
    <t>•  $350M 8.25% notes mature July 2030 — refinancing risk at current rates</t>
  </si>
  <si>
    <t>•  Chili's turnaround centered on hype cycle — potential regression to weak SSS performance</t>
  </si>
  <si>
    <t>Note: Perpetuity and Exit Multiple can diverge in tail scenarios because FCF and EBITDA don't scale in lockstep — in Bull, margin expansion and operating leverage make EBITDA grow faster than FCF; in Bear, the opposite. Since perpetuity anchors on FCF and exit multiple anchors on EBITDA, the two methods are valuing different-sized underlying numbers.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</si>
</sst>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0.0"/>
    <numFmt numFmtId="166" formatCode="_(* #,##0_);_(* \(#,##0\);_(* &quot;-&quot;??_);_(@_)"/>
    <numFmt numFmtId="167" formatCode="0.0\x"/>
    <numFmt numFmtId="168" formatCode="0.0%"/>
    <numFmt numFmtId="169" formatCode="&quot;$&quot;#,##0.00"/>
    <numFmt numFmtId="170" formatCode="0.0&quot;x&quot;"/>
    <numFmt numFmtId="172" formatCode="&quot;$&quot;#,##0.0"/>
    <numFmt numFmtId="173" formatCode="0.000"/>
    <numFmt numFmtId="174" formatCode="0.00&quot;x&quot;"/>
    <numFmt numFmtId="175" formatCode="#,##0;\(#,##0\);\-"/>
    <numFmt numFmtId="176" formatCode="#,##0.0;\(#,##0.0\);\-"/>
    <numFmt numFmtId="177" formatCode="&quot;$&quot;#,##0"/>
    <numFmt numFmtId="178" formatCode="_(* #,##0.0_);_(* \(#,##0.0\);_(* &quot;-&quot;??_);_(@_)"/>
    <numFmt numFmtId="179" formatCode="yyyy\-mm\-dd"/>
    <numFmt numFmtId="180" formatCode="0.0%;[Red]\-0.0%;\-"/>
  </numFmts>
  <fonts count="90" x14ac:knownFonts="1">
    <font>
      <sz val="11"/>
      <color theme="1"/>
      <name val="Calibri"/>
      <family val="2"/>
      <scheme val="minor"/>
    </font>
    <font>
      <sz val="11"/>
      <color theme="1"/>
      <name val="Calibri"/>
      <family val="2"/>
      <scheme val="minor"/>
    </font>
    <font>
      <b/>
      <sz val="10"/>
      <color rgb="FF000000"/>
      <name val="Calibri"/>
      <family val="2"/>
    </font>
    <font>
      <sz val="10"/>
      <color rgb="FF000000"/>
      <name val="Calibri"/>
      <family val="2"/>
    </font>
    <font>
      <i/>
      <sz val="10"/>
      <color rgb="FF000000"/>
      <name val="Calibri"/>
      <family val="2"/>
    </font>
    <font>
      <b/>
      <sz val="10"/>
      <color rgb="FF000000"/>
      <name val="Calibri"/>
      <family val="2"/>
      <scheme val="minor"/>
    </font>
    <font>
      <sz val="10"/>
      <color rgb="FF000000"/>
      <name val="Calibri"/>
      <family val="2"/>
      <scheme val="minor"/>
    </font>
    <font>
      <sz val="10"/>
      <color rgb="FF008000"/>
      <name val="Calibri"/>
      <family val="2"/>
      <scheme val="minor"/>
    </font>
    <font>
      <i/>
      <sz val="10"/>
      <color rgb="FF000000"/>
      <name val="Calibri"/>
      <family val="2"/>
      <scheme val="minor"/>
    </font>
    <font>
      <sz val="10"/>
      <color theme="1"/>
      <name val="Calibri"/>
      <family val="2"/>
      <scheme val="minor"/>
    </font>
    <font>
      <i/>
      <sz val="10"/>
      <color theme="1"/>
      <name val="Calibri"/>
      <family val="2"/>
      <scheme val="minor"/>
    </font>
    <font>
      <sz val="10"/>
      <color rgb="FF0000FF"/>
      <name val="Calibri"/>
      <family val="2"/>
      <scheme val="minor"/>
    </font>
    <font>
      <sz val="10"/>
      <color rgb="FF008000"/>
      <name val="Calibri"/>
      <family val="2"/>
    </font>
    <font>
      <i/>
      <sz val="10"/>
      <color theme="1"/>
      <name val="Calibri (Body)"/>
    </font>
    <font>
      <b/>
      <i/>
      <sz val="10"/>
      <color rgb="FF000000"/>
      <name val="Calibri (Body)"/>
    </font>
    <font>
      <i/>
      <sz val="10"/>
      <color rgb="FF000000"/>
      <name val="Calibri (Body)"/>
    </font>
    <font>
      <b/>
      <sz val="10"/>
      <color rgb="FF000000"/>
      <name val="Calibri (Body)"/>
    </font>
    <font>
      <sz val="10"/>
      <color theme="1"/>
      <name val="Calibri (Body)"/>
    </font>
    <font>
      <sz val="10"/>
      <color rgb="FF000000"/>
      <name val="Calibri (Body)"/>
    </font>
    <font>
      <sz val="10"/>
      <color rgb="FF008000"/>
      <name val="Calibri (Body)"/>
    </font>
    <font>
      <sz val="10"/>
      <color rgb="FF0000FF"/>
      <name val="Calibri (Body)"/>
    </font>
    <font>
      <i/>
      <sz val="10"/>
      <color rgb="FF008000"/>
      <name val="Calibri (Body)"/>
    </font>
    <font>
      <b/>
      <sz val="12"/>
      <color rgb="FF000000"/>
      <name val="Calibri"/>
      <family val="2"/>
      <scheme val="minor"/>
    </font>
    <font>
      <i/>
      <sz val="10"/>
      <color rgb="FF888888"/>
      <name val="Calibri (Body)"/>
    </font>
    <font>
      <i/>
      <sz val="10"/>
      <color rgb="FF0000FF"/>
      <name val="Calibri (Body)"/>
    </font>
    <font>
      <sz val="10"/>
      <name val="Calibri (Body)"/>
    </font>
    <font>
      <b/>
      <sz val="10"/>
      <name val="Calibri (Body)"/>
    </font>
    <font>
      <b/>
      <sz val="12"/>
      <name val="Calibri"/>
      <family val="2"/>
      <scheme val="minor"/>
    </font>
    <font>
      <b/>
      <i/>
      <sz val="10"/>
      <color rgb="FF000000"/>
      <name val="Calibri"/>
      <family val="2"/>
      <scheme val="minor"/>
    </font>
    <font>
      <b/>
      <sz val="10"/>
      <color rgb="FF1F4E79"/>
      <name val="Calibri (Body)"/>
    </font>
    <font>
      <sz val="10"/>
      <color rgb="FF000000"/>
      <name val="Calibri"/>
      <family val="2"/>
    </font>
    <font>
      <sz val="10"/>
      <color rgb="FF000000"/>
      <name val="Calibri"/>
      <family val="2"/>
    </font>
    <font>
      <b/>
      <sz val="10"/>
      <color theme="1"/>
      <name val="Calibri"/>
      <family val="2"/>
    </font>
    <font>
      <b/>
      <sz val="10"/>
      <color theme="1"/>
      <name val="Calibri (Body)"/>
    </font>
    <font>
      <b/>
      <sz val="11"/>
      <color theme="1"/>
      <name val="Calibri"/>
      <family val="2"/>
      <scheme val="minor"/>
    </font>
    <font>
      <b/>
      <sz val="18"/>
      <color theme="1"/>
      <name val="Calibri"/>
      <family val="2"/>
      <scheme val="minor"/>
    </font>
    <font>
      <sz val="10"/>
      <color rgb="FF000000"/>
      <name val="Tahoma"/>
      <family val="2"/>
    </font>
    <font>
      <b/>
      <sz val="10"/>
      <color rgb="FF000000"/>
      <name val="Tahoma"/>
      <family val="2"/>
    </font>
    <font>
      <b/>
      <sz val="10"/>
      <color theme="1"/>
      <name val="Calibri"/>
      <family val="2"/>
      <scheme val="minor"/>
    </font>
    <font>
      <b/>
      <sz val="10"/>
      <color rgb="FF008000"/>
      <name val="Calibri"/>
      <family val="2"/>
    </font>
    <font>
      <b/>
      <sz val="10"/>
      <color rgb="FF008000"/>
      <name val="Calibri"/>
      <family val="2"/>
      <scheme val="minor"/>
    </font>
    <font>
      <b/>
      <i/>
      <sz val="10"/>
      <color theme="1"/>
      <name val="Calibri"/>
      <family val="2"/>
      <scheme val="minor"/>
    </font>
    <font>
      <i/>
      <sz val="10"/>
      <color rgb="FF008000"/>
      <name val="Calibri"/>
      <family val="2"/>
      <scheme val="minor"/>
    </font>
    <font>
      <b/>
      <sz val="12"/>
      <color theme="1"/>
      <name val="Calibri"/>
      <family val="2"/>
      <scheme val="minor"/>
    </font>
    <font>
      <b/>
      <sz val="10"/>
      <color rgb="FF0000FF"/>
      <name val="Calibri (Body)"/>
    </font>
    <font>
      <b/>
      <sz val="11"/>
      <color rgb="FFFFFFFF"/>
      <name val="Calibri"/>
      <family val="2"/>
      <scheme val="minor"/>
    </font>
    <font>
      <sz val="11"/>
      <color rgb="FF000000"/>
      <name val="Calibri"/>
      <family val="2"/>
      <scheme val="minor"/>
    </font>
    <font>
      <b/>
      <sz val="24"/>
      <color rgb="FF1F4E78"/>
      <name val="Calibri"/>
      <family val="2"/>
      <scheme val="minor"/>
    </font>
    <font>
      <sz val="14"/>
      <color rgb="FF404040"/>
      <name val="Calibri"/>
      <family val="2"/>
      <scheme val="minor"/>
    </font>
    <font>
      <i/>
      <sz val="11"/>
      <color rgb="FF595959"/>
      <name val="Calibri"/>
      <family val="2"/>
      <scheme val="minor"/>
    </font>
    <font>
      <b/>
      <sz val="10"/>
      <color rgb="FFFFFFFF"/>
      <name val="Calibri"/>
      <family val="2"/>
      <scheme val="minor"/>
    </font>
    <font>
      <i/>
      <sz val="11"/>
      <color rgb="FF595959"/>
      <name val="Calibri (Body)"/>
    </font>
    <font>
      <b/>
      <sz val="10"/>
      <color rgb="FFFFFFFF"/>
      <name val="Calibri (Body)"/>
    </font>
    <font>
      <i/>
      <sz val="10"/>
      <color rgb="FF666666"/>
      <name val="Calibri"/>
      <family val="2"/>
      <scheme val="minor"/>
    </font>
    <font>
      <i/>
      <sz val="10"/>
      <color rgb="FF808080"/>
      <name val="Calibri"/>
      <family val="2"/>
      <scheme val="minor"/>
    </font>
    <font>
      <i/>
      <sz val="9"/>
      <color rgb="FF666666"/>
      <name val="Calibri"/>
      <family val="2"/>
      <scheme val="minor"/>
    </font>
    <font>
      <i/>
      <sz val="9"/>
      <color rgb="FF808080"/>
      <name val="Calibri (Body)"/>
    </font>
    <font>
      <b/>
      <sz val="8"/>
      <color rgb="FF1F4E79"/>
      <name val="Calibri (Body)"/>
    </font>
    <font>
      <b/>
      <sz val="9"/>
      <color rgb="FF1F4E79"/>
      <name val="Calibri"/>
      <family val="2"/>
      <scheme val="minor"/>
    </font>
    <font>
      <i/>
      <sz val="10"/>
      <color rgb="FF0000FF"/>
      <name val="Calibri"/>
      <family val="2"/>
      <scheme val="minor"/>
    </font>
    <font>
      <b/>
      <sz val="10"/>
      <color theme="0"/>
      <name val="Calibri"/>
      <family val="2"/>
      <scheme val="minor"/>
    </font>
    <font>
      <sz val="10"/>
      <color theme="0"/>
      <name val="Calibri"/>
      <family val="2"/>
      <scheme val="minor"/>
    </font>
    <font>
      <i/>
      <sz val="10"/>
      <name val="Calibri"/>
      <family val="2"/>
      <scheme val="minor"/>
    </font>
    <font>
      <i/>
      <sz val="10"/>
      <color rgb="FF666666"/>
      <name val="Calibri (Body)"/>
    </font>
    <font>
      <sz val="10"/>
      <name val="Calibri"/>
      <family val="2"/>
      <scheme val="minor"/>
    </font>
    <font>
      <b/>
      <sz val="10"/>
      <name val="Calibri"/>
      <family val="2"/>
      <scheme val="minor"/>
    </font>
    <font>
      <b/>
      <sz val="10"/>
      <color rgb="FF0000FF"/>
      <name val="Calibri"/>
      <family val="2"/>
      <scheme val="minor"/>
    </font>
    <font>
      <b/>
      <i/>
      <sz val="10"/>
      <color theme="1"/>
      <name val="Calibri (Body)"/>
    </font>
    <font>
      <i/>
      <sz val="9"/>
      <color theme="1"/>
      <name val="Calibri"/>
      <family val="2"/>
      <scheme val="minor"/>
    </font>
    <font>
      <i/>
      <sz val="9"/>
      <color theme="1"/>
      <name val="Calibri"/>
      <family val="2"/>
    </font>
    <font>
      <i/>
      <sz val="9"/>
      <color theme="1"/>
      <name val="Calibri (Body)"/>
    </font>
    <font>
      <b/>
      <sz val="10"/>
      <color theme="0" tint="-4.9989318521683403E-2"/>
      <name val="Calibri"/>
      <family val="2"/>
      <scheme val="minor"/>
    </font>
    <font>
      <sz val="10"/>
      <color theme="0" tint="-4.9989318521683403E-2"/>
      <name val="Calibri"/>
      <family val="2"/>
      <scheme val="minor"/>
    </font>
    <font>
      <b/>
      <i/>
      <sz val="10"/>
      <color rgb="FF1F3864"/>
      <name val="Calibri"/>
      <family val="2"/>
      <scheme val="minor"/>
    </font>
    <font>
      <b/>
      <sz val="10"/>
      <color rgb="FFFFFFFF"/>
      <name val="Arial"/>
      <family val="2"/>
    </font>
    <font>
      <i/>
      <sz val="10"/>
      <color rgb="FF595959"/>
      <name val="Calibri"/>
      <family val="2"/>
      <scheme val="minor"/>
    </font>
    <font>
      <i/>
      <sz val="10"/>
      <color rgb="FF777777"/>
      <name val="Calibri"/>
      <family val="2"/>
      <scheme val="minor"/>
    </font>
    <font>
      <i/>
      <sz val="10"/>
      <color rgb="FFC00000"/>
      <name val="Calibri"/>
      <family val="2"/>
      <scheme val="minor"/>
    </font>
    <font>
      <b/>
      <i/>
      <sz val="10"/>
      <color rgb="FF008000"/>
      <name val="Calibri"/>
      <family val="2"/>
      <scheme val="minor"/>
    </font>
    <font>
      <i/>
      <sz val="11"/>
      <color theme="1"/>
      <name val="Calibri"/>
      <family val="2"/>
      <scheme val="minor"/>
    </font>
    <font>
      <i/>
      <sz val="9"/>
      <color rgb="FF595959"/>
      <name val="Calibri"/>
      <family val="2"/>
      <scheme val="minor"/>
    </font>
    <font>
      <sz val="11"/>
      <color rgb="FF008000"/>
      <name val="Calibri"/>
      <family val="2"/>
      <scheme val="minor"/>
    </font>
    <font>
      <sz val="11"/>
      <color rgb="FF0000FF"/>
      <name val="Calibri"/>
      <family val="2"/>
      <scheme val="minor"/>
    </font>
    <font>
      <b/>
      <i/>
      <sz val="10"/>
      <color rgb="FF595959"/>
      <name val="Calibri"/>
      <family val="2"/>
      <scheme val="minor"/>
    </font>
    <font>
      <b/>
      <sz val="11"/>
      <color rgb="FF595959"/>
      <name val="Calibri"/>
      <family val="2"/>
      <scheme val="minor"/>
    </font>
    <font>
      <b/>
      <sz val="14"/>
      <color rgb="FF1B5E20"/>
      <name val="Calibri"/>
      <family val="2"/>
      <scheme val="minor"/>
    </font>
    <font>
      <b/>
      <sz val="14"/>
      <color rgb="FF8B1A1A"/>
      <name val="Calibri"/>
      <family val="2"/>
      <scheme val="minor"/>
    </font>
    <font>
      <b/>
      <sz val="14"/>
      <color rgb="FF0D47A1"/>
      <name val="Calibri"/>
      <family val="2"/>
      <scheme val="minor"/>
    </font>
    <font>
      <b/>
      <sz val="14"/>
      <color rgb="FFBF360C"/>
      <name val="Calibri"/>
      <family val="2"/>
      <scheme val="minor"/>
    </font>
    <font>
      <i/>
      <sz val="10"/>
      <name val="Calibri (Body)"/>
    </font>
  </fonts>
  <fills count="28">
    <fill>
      <patternFill patternType="none"/>
    </fill>
    <fill>
      <patternFill patternType="gray125"/>
    </fill>
    <fill>
      <patternFill patternType="solid">
        <fgColor theme="4" tint="0.79998168889431442"/>
        <bgColor indexed="64"/>
      </patternFill>
    </fill>
    <fill>
      <patternFill patternType="solid">
        <fgColor theme="4" tint="0.79998168889431442"/>
        <bgColor rgb="FFFFF2CC"/>
      </patternFill>
    </fill>
    <fill>
      <patternFill patternType="darkGray">
        <fgColor rgb="FF0B1F3A"/>
        <bgColor theme="0" tint="-0.249977111117893"/>
      </patternFill>
    </fill>
    <fill>
      <patternFill patternType="solid">
        <fgColor theme="1" tint="0.499984740745262"/>
        <bgColor indexed="64"/>
      </patternFill>
    </fill>
    <fill>
      <patternFill patternType="solid">
        <fgColor rgb="FFFFF2CC"/>
        <bgColor indexed="64"/>
      </patternFill>
    </fill>
    <fill>
      <patternFill patternType="solid">
        <fgColor rgb="FF2E75B6"/>
        <bgColor indexed="64"/>
      </patternFill>
    </fill>
    <fill>
      <patternFill patternType="solid">
        <fgColor rgb="FFDCE6F1"/>
        <bgColor indexed="64"/>
      </patternFill>
    </fill>
    <fill>
      <patternFill patternType="solid">
        <fgColor rgb="FF1F4E79"/>
        <bgColor indexed="64"/>
      </patternFill>
    </fill>
    <fill>
      <patternFill patternType="solid">
        <fgColor rgb="FF1F4E78"/>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4B6B6"/>
        <bgColor indexed="64"/>
      </patternFill>
    </fill>
    <fill>
      <patternFill patternType="solid">
        <fgColor rgb="FFC6EFCE"/>
        <bgColor indexed="64"/>
      </patternFill>
    </fill>
    <fill>
      <patternFill patternType="solid">
        <fgColor rgb="FFFFE699"/>
        <bgColor indexed="64"/>
      </patternFill>
    </fill>
    <fill>
      <patternFill patternType="solid">
        <fgColor rgb="FFF2F2F2"/>
        <bgColor indexed="64"/>
      </patternFill>
    </fill>
    <fill>
      <patternFill patternType="solid">
        <fgColor rgb="FFFFFFFF"/>
        <bgColor indexed="64"/>
      </patternFill>
    </fill>
    <fill>
      <patternFill patternType="solid">
        <fgColor rgb="FFFFFF00"/>
        <bgColor indexed="64"/>
      </patternFill>
    </fill>
    <fill>
      <patternFill patternType="solid">
        <fgColor rgb="FF81C784"/>
        <bgColor indexed="64"/>
      </patternFill>
    </fill>
    <fill>
      <patternFill patternType="solid">
        <fgColor rgb="FFE57373"/>
        <bgColor indexed="64"/>
      </patternFill>
    </fill>
    <fill>
      <patternFill patternType="solid">
        <fgColor rgb="FF64B5F6"/>
        <bgColor indexed="64"/>
      </patternFill>
    </fill>
    <fill>
      <patternFill patternType="solid">
        <fgColor rgb="FFFFB74D"/>
        <bgColor indexed="64"/>
      </patternFill>
    </fill>
    <fill>
      <patternFill patternType="solid">
        <fgColor rgb="FFF1F8F1"/>
        <bgColor indexed="64"/>
      </patternFill>
    </fill>
    <fill>
      <patternFill patternType="solid">
        <fgColor rgb="FFFDF2F2"/>
        <bgColor indexed="64"/>
      </patternFill>
    </fill>
    <fill>
      <patternFill patternType="solid">
        <fgColor rgb="FFF0F7FD"/>
        <bgColor indexed="64"/>
      </patternFill>
    </fill>
    <fill>
      <patternFill patternType="solid">
        <fgColor rgb="FFFFF8F0"/>
        <bgColor indexed="64"/>
      </patternFill>
    </fill>
  </fills>
  <borders count="69">
    <border>
      <left/>
      <right/>
      <top/>
      <bottom/>
      <diagonal/>
    </border>
    <border>
      <left/>
      <right/>
      <top/>
      <bottom style="medium">
        <color auto="1"/>
      </bottom>
      <diagonal/>
    </border>
    <border>
      <left/>
      <right/>
      <top style="thin">
        <color theme="0" tint="-4.9989318521683403E-2"/>
      </top>
      <bottom style="thin">
        <color theme="0" tint="-4.9989318521683403E-2"/>
      </bottom>
      <diagonal/>
    </border>
    <border>
      <left/>
      <right/>
      <top style="medium">
        <color theme="1"/>
      </top>
      <bottom style="thin">
        <color theme="0" tint="-4.9989318521683403E-2"/>
      </bottom>
      <diagonal/>
    </border>
    <border>
      <left/>
      <right/>
      <top style="medium">
        <color auto="1"/>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right/>
      <top/>
      <bottom style="thin">
        <color rgb="FFD9D9D9"/>
      </bottom>
      <diagonal/>
    </border>
    <border>
      <left/>
      <right/>
      <top style="medium">
        <color theme="1"/>
      </top>
      <bottom style="thin">
        <color rgb="FFD9D9D9"/>
      </bottom>
      <diagonal/>
    </border>
    <border>
      <left/>
      <right/>
      <top style="thin">
        <color theme="1"/>
      </top>
      <bottom style="thin">
        <color theme="1"/>
      </bottom>
      <diagonal/>
    </border>
    <border>
      <left/>
      <right/>
      <top/>
      <bottom style="medium">
        <color theme="1"/>
      </bottom>
      <diagonal/>
    </border>
    <border>
      <left/>
      <right/>
      <top style="thin">
        <color rgb="FFE7E6E6"/>
      </top>
      <bottom style="thin">
        <color rgb="FFE7E6E6"/>
      </bottom>
      <diagonal/>
    </border>
    <border>
      <left/>
      <right/>
      <top style="thin">
        <color rgb="FFE7E6E6"/>
      </top>
      <bottom/>
      <diagonal/>
    </border>
    <border>
      <left/>
      <right/>
      <top style="thin">
        <color rgb="FF1F4E79"/>
      </top>
      <bottom/>
      <diagonal/>
    </border>
    <border>
      <left style="thin">
        <color theme="0"/>
      </left>
      <right/>
      <top style="thin">
        <color theme="0" tint="-4.9989318521683403E-2"/>
      </top>
      <bottom style="thin">
        <color theme="0" tint="-4.9989318521683403E-2"/>
      </bottom>
      <diagonal/>
    </border>
    <border>
      <left/>
      <right style="thin">
        <color theme="0"/>
      </right>
      <top style="thin">
        <color theme="0" tint="-4.9989318521683403E-2"/>
      </top>
      <bottom style="thin">
        <color theme="0" tint="-4.9989318521683403E-2"/>
      </bottom>
      <diagonal/>
    </border>
    <border>
      <left style="thin">
        <color theme="0"/>
      </left>
      <right/>
      <top style="thin">
        <color theme="0" tint="-4.9989318521683403E-2"/>
      </top>
      <bottom/>
      <diagonal/>
    </border>
    <border>
      <left/>
      <right style="thin">
        <color theme="0"/>
      </right>
      <top style="thin">
        <color theme="0" tint="-4.9989318521683403E-2"/>
      </top>
      <bottom/>
      <diagonal/>
    </border>
    <border>
      <left style="thin">
        <color theme="0"/>
      </left>
      <right/>
      <top style="thin">
        <color theme="1"/>
      </top>
      <bottom style="thin">
        <color theme="0"/>
      </bottom>
      <diagonal/>
    </border>
    <border>
      <left/>
      <right/>
      <top style="thin">
        <color theme="1"/>
      </top>
      <bottom style="thin">
        <color theme="0"/>
      </bottom>
      <diagonal/>
    </border>
    <border>
      <left/>
      <right style="thin">
        <color theme="0"/>
      </right>
      <top style="thin">
        <color theme="1"/>
      </top>
      <bottom style="thin">
        <color theme="0"/>
      </bottom>
      <diagonal/>
    </border>
    <border>
      <left style="thin">
        <color theme="0"/>
      </left>
      <right/>
      <top/>
      <bottom style="thin">
        <color theme="0" tint="-4.9989318521683403E-2"/>
      </bottom>
      <diagonal/>
    </border>
    <border>
      <left/>
      <right style="thin">
        <color theme="0"/>
      </right>
      <top/>
      <bottom style="thin">
        <color theme="0" tint="-4.9989318521683403E-2"/>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1"/>
      </top>
      <bottom style="thin">
        <color indexed="64"/>
      </bottom>
      <diagonal/>
    </border>
    <border>
      <left/>
      <right/>
      <top style="thin">
        <color theme="1"/>
      </top>
      <bottom style="thin">
        <color indexed="64"/>
      </bottom>
      <diagonal/>
    </border>
    <border>
      <left/>
      <right style="thin">
        <color theme="0"/>
      </right>
      <top style="thin">
        <color theme="1"/>
      </top>
      <bottom style="thin">
        <color indexed="64"/>
      </bottom>
      <diagonal/>
    </border>
    <border>
      <left/>
      <right/>
      <top/>
      <bottom style="thin">
        <color rgb="FFF2F2F2"/>
      </bottom>
      <diagonal/>
    </border>
    <border>
      <left/>
      <right/>
      <top style="thin">
        <color rgb="FFF2F2F2"/>
      </top>
      <bottom style="thin">
        <color rgb="FFF2F2F2"/>
      </bottom>
      <diagonal/>
    </border>
    <border>
      <left/>
      <right/>
      <top style="thin">
        <color rgb="FFF2F2F2"/>
      </top>
      <bottom/>
      <diagonal/>
    </border>
    <border>
      <left/>
      <right/>
      <top/>
      <bottom style="medium">
        <color rgb="FF000000"/>
      </bottom>
      <diagonal/>
    </border>
    <border>
      <left/>
      <right/>
      <top style="thin">
        <color rgb="FFD9D9D9"/>
      </top>
      <bottom style="thin">
        <color rgb="FFF2F2F2"/>
      </bottom>
      <diagonal/>
    </border>
    <border>
      <left/>
      <right/>
      <top style="medium">
        <color rgb="FF000000"/>
      </top>
      <bottom style="thin">
        <color theme="0" tint="-4.9989318521683403E-2"/>
      </bottom>
      <diagonal/>
    </border>
    <border>
      <left/>
      <right/>
      <top style="thin">
        <color theme="0" tint="-4.9989318521683403E-2"/>
      </top>
      <bottom style="thin">
        <color rgb="FFF2F2F2"/>
      </bottom>
      <diagonal/>
    </border>
    <border>
      <left/>
      <right/>
      <top style="medium">
        <color rgb="FF000000"/>
      </top>
      <bottom/>
      <diagonal/>
    </border>
    <border>
      <left/>
      <right/>
      <top style="thin">
        <color rgb="FF1F4E79"/>
      </top>
      <bottom style="thin">
        <color theme="0" tint="-4.9989318521683403E-2"/>
      </bottom>
      <diagonal/>
    </border>
    <border>
      <left/>
      <right/>
      <top style="thin">
        <color rgb="FFD9D9D9"/>
      </top>
      <bottom style="thin">
        <color theme="0" tint="-4.9989318521683403E-2"/>
      </bottom>
      <diagonal/>
    </border>
    <border>
      <left/>
      <right/>
      <top style="medium">
        <color theme="0" tint="-4.9989318521683403E-2"/>
      </top>
      <bottom style="medium">
        <color theme="0" tint="-4.9989318521683403E-2"/>
      </bottom>
      <diagonal/>
    </border>
    <border>
      <left/>
      <right/>
      <top style="medium">
        <color auto="1"/>
      </top>
      <bottom/>
      <diagonal/>
    </border>
    <border>
      <left/>
      <right/>
      <top style="thin">
        <color rgb="FFA5D6A7"/>
      </top>
      <bottom/>
      <diagonal/>
    </border>
    <border>
      <left/>
      <right/>
      <top/>
      <bottom style="thin">
        <color rgb="FFA5D6A7"/>
      </bottom>
      <diagonal/>
    </border>
    <border>
      <left style="thin">
        <color rgb="FFA5D6A7"/>
      </left>
      <right/>
      <top style="thin">
        <color rgb="FFA5D6A7"/>
      </top>
      <bottom/>
      <diagonal/>
    </border>
    <border>
      <left style="thin">
        <color rgb="FFA5D6A7"/>
      </left>
      <right/>
      <top/>
      <bottom/>
      <diagonal/>
    </border>
    <border>
      <left style="thin">
        <color rgb="FFA5D6A7"/>
      </left>
      <right/>
      <top/>
      <bottom style="thin">
        <color rgb="FFA5D6A7"/>
      </bottom>
      <diagonal/>
    </border>
    <border>
      <left/>
      <right/>
      <top style="thin">
        <color rgb="FFEF9A9A"/>
      </top>
      <bottom/>
      <diagonal/>
    </border>
    <border>
      <left/>
      <right/>
      <top/>
      <bottom style="thin">
        <color rgb="FFEF9A9A"/>
      </bottom>
      <diagonal/>
    </border>
    <border>
      <left style="thin">
        <color rgb="FFEF9A9A"/>
      </left>
      <right/>
      <top style="thin">
        <color rgb="FFEF9A9A"/>
      </top>
      <bottom/>
      <diagonal/>
    </border>
    <border>
      <left style="thin">
        <color rgb="FFEF9A9A"/>
      </left>
      <right/>
      <top/>
      <bottom/>
      <diagonal/>
    </border>
    <border>
      <left style="thin">
        <color rgb="FFEF9A9A"/>
      </left>
      <right/>
      <top/>
      <bottom style="thin">
        <color rgb="FFEF9A9A"/>
      </bottom>
      <diagonal/>
    </border>
    <border>
      <left/>
      <right style="thin">
        <color rgb="FFEF9A9A"/>
      </right>
      <top style="thin">
        <color rgb="FFEF9A9A"/>
      </top>
      <bottom/>
      <diagonal/>
    </border>
    <border>
      <left/>
      <right style="thin">
        <color rgb="FFEF9A9A"/>
      </right>
      <top/>
      <bottom/>
      <diagonal/>
    </border>
    <border>
      <left/>
      <right style="thin">
        <color rgb="FFEF9A9A"/>
      </right>
      <top/>
      <bottom style="thin">
        <color rgb="FFEF9A9A"/>
      </bottom>
      <diagonal/>
    </border>
    <border>
      <left/>
      <right/>
      <top style="thin">
        <color rgb="FF90CAF9"/>
      </top>
      <bottom/>
      <diagonal/>
    </border>
    <border>
      <left/>
      <right/>
      <top/>
      <bottom style="thin">
        <color rgb="FF90CAF9"/>
      </bottom>
      <diagonal/>
    </border>
    <border>
      <left style="thin">
        <color rgb="FF90CAF9"/>
      </left>
      <right/>
      <top style="thin">
        <color rgb="FF90CAF9"/>
      </top>
      <bottom/>
      <diagonal/>
    </border>
    <border>
      <left style="thin">
        <color rgb="FF90CAF9"/>
      </left>
      <right/>
      <top/>
      <bottom/>
      <diagonal/>
    </border>
    <border>
      <left style="thin">
        <color rgb="FF90CAF9"/>
      </left>
      <right/>
      <top/>
      <bottom style="thin">
        <color rgb="FF90CAF9"/>
      </bottom>
      <diagonal/>
    </border>
    <border>
      <left/>
      <right/>
      <top style="thin">
        <color rgb="FFFFCC80"/>
      </top>
      <bottom/>
      <diagonal/>
    </border>
    <border>
      <left/>
      <right/>
      <top/>
      <bottom style="thin">
        <color rgb="FFFFCC80"/>
      </bottom>
      <diagonal/>
    </border>
    <border>
      <left style="thin">
        <color rgb="FFFFCC80"/>
      </left>
      <right/>
      <top style="thin">
        <color rgb="FFFFCC80"/>
      </top>
      <bottom/>
      <diagonal/>
    </border>
    <border>
      <left style="thin">
        <color rgb="FFFFCC80"/>
      </left>
      <right/>
      <top/>
      <bottom/>
      <diagonal/>
    </border>
    <border>
      <left style="thin">
        <color rgb="FFFFCC80"/>
      </left>
      <right/>
      <top/>
      <bottom style="thin">
        <color rgb="FFFFCC80"/>
      </bottom>
      <diagonal/>
    </border>
    <border>
      <left/>
      <right style="thin">
        <color rgb="FFFFCC80"/>
      </right>
      <top style="thin">
        <color rgb="FFFFCC80"/>
      </top>
      <bottom/>
      <diagonal/>
    </border>
    <border>
      <left/>
      <right style="thin">
        <color rgb="FFFFCC80"/>
      </right>
      <top/>
      <bottom/>
      <diagonal/>
    </border>
    <border>
      <left/>
      <right style="thin">
        <color rgb="FFFFCC80"/>
      </right>
      <top/>
      <bottom style="thin">
        <color rgb="FFFFCC80"/>
      </bottom>
      <diagonal/>
    </border>
    <border>
      <left/>
      <right style="thin">
        <color rgb="FFFFCC80"/>
      </right>
      <top/>
      <bottom style="thin">
        <color rgb="FF90CAF9"/>
      </bottom>
      <diagonal/>
    </border>
    <border>
      <left/>
      <right style="thin">
        <color rgb="FFEF9A9A"/>
      </right>
      <top/>
      <bottom style="thin">
        <color rgb="FFA5D6A7"/>
      </bottom>
      <diagonal/>
    </border>
  </borders>
  <cellStyleXfs count="3">
    <xf numFmtId="0" fontId="0" fillId="0" borderId="0"/>
    <xf numFmtId="43" fontId="1" fillId="0" borderId="0"/>
    <xf numFmtId="9" fontId="1" fillId="0" borderId="0" applyFont="0" applyFill="0" applyBorder="0" applyAlignment="0" applyProtection="0"/>
  </cellStyleXfs>
  <cellXfs count="602">
    <xf numFmtId="0" fontId="0" fillId="0" borderId="0" xfId="0"/>
    <xf numFmtId="0" fontId="4" fillId="0" borderId="0" xfId="0" applyFont="1"/>
    <xf numFmtId="0" fontId="8" fillId="0" borderId="0" xfId="0" applyFont="1"/>
    <xf numFmtId="0" fontId="9" fillId="0" borderId="0" xfId="0" applyFont="1"/>
    <xf numFmtId="0" fontId="10" fillId="0" borderId="0" xfId="0" applyFont="1"/>
    <xf numFmtId="0" fontId="9" fillId="0" borderId="2" xfId="0" applyFont="1" applyBorder="1"/>
    <xf numFmtId="0" fontId="3" fillId="0" borderId="2" xfId="0" applyFont="1" applyBorder="1"/>
    <xf numFmtId="0" fontId="6" fillId="0" borderId="2" xfId="0" applyFont="1" applyBorder="1"/>
    <xf numFmtId="0" fontId="6" fillId="0" borderId="3" xfId="0" applyFont="1" applyBorder="1"/>
    <xf numFmtId="164" fontId="7" fillId="0" borderId="3" xfId="0" applyNumberFormat="1" applyFont="1" applyBorder="1"/>
    <xf numFmtId="164" fontId="11" fillId="0" borderId="2" xfId="0" applyNumberFormat="1" applyFont="1" applyBorder="1"/>
    <xf numFmtId="164" fontId="12" fillId="0" borderId="2" xfId="0" applyNumberFormat="1" applyFont="1" applyBorder="1"/>
    <xf numFmtId="0" fontId="13" fillId="0" borderId="0" xfId="0" applyFont="1"/>
    <xf numFmtId="164" fontId="14" fillId="3" borderId="0" xfId="0" applyNumberFormat="1" applyFont="1" applyFill="1" applyAlignment="1">
      <alignment horizontal="center"/>
    </xf>
    <xf numFmtId="0" fontId="15" fillId="0" borderId="0" xfId="0" applyFont="1"/>
    <xf numFmtId="0" fontId="16" fillId="0" borderId="0" xfId="0" applyFont="1"/>
    <xf numFmtId="0" fontId="17" fillId="0" borderId="0" xfId="0" applyFont="1"/>
    <xf numFmtId="164" fontId="17" fillId="0" borderId="0" xfId="0" applyNumberFormat="1" applyFont="1"/>
    <xf numFmtId="0" fontId="15" fillId="0" borderId="2" xfId="0" applyFont="1" applyBorder="1"/>
    <xf numFmtId="0" fontId="18" fillId="0" borderId="2" xfId="0" applyFont="1" applyBorder="1"/>
    <xf numFmtId="164" fontId="20" fillId="0" borderId="2" xfId="0" applyNumberFormat="1" applyFont="1" applyBorder="1"/>
    <xf numFmtId="0" fontId="22" fillId="0" borderId="0" xfId="0" applyFont="1"/>
    <xf numFmtId="0" fontId="23" fillId="0" borderId="0" xfId="0" applyFont="1"/>
    <xf numFmtId="0" fontId="17" fillId="0" borderId="3" xfId="0" applyFont="1" applyBorder="1"/>
    <xf numFmtId="0" fontId="13" fillId="0" borderId="2" xfId="0" applyFont="1" applyBorder="1"/>
    <xf numFmtId="0" fontId="17" fillId="0" borderId="2" xfId="0" applyFont="1" applyBorder="1"/>
    <xf numFmtId="0" fontId="17" fillId="2" borderId="0" xfId="0" applyFont="1" applyFill="1"/>
    <xf numFmtId="0" fontId="18" fillId="0" borderId="0" xfId="0" applyFont="1"/>
    <xf numFmtId="0" fontId="18" fillId="0" borderId="1" xfId="0" applyFont="1" applyBorder="1"/>
    <xf numFmtId="0" fontId="25" fillId="0" borderId="0" xfId="0" applyFont="1"/>
    <xf numFmtId="0" fontId="25" fillId="0" borderId="2" xfId="0" applyFont="1" applyBorder="1"/>
    <xf numFmtId="0" fontId="27" fillId="0" borderId="0" xfId="0" applyFont="1"/>
    <xf numFmtId="0" fontId="9" fillId="0" borderId="3" xfId="0" applyFont="1" applyBorder="1"/>
    <xf numFmtId="0" fontId="28" fillId="0" borderId="0" xfId="0" applyFont="1"/>
    <xf numFmtId="0" fontId="6" fillId="0" borderId="0" xfId="0" applyFont="1"/>
    <xf numFmtId="0" fontId="25" fillId="0" borderId="4" xfId="0" applyFont="1" applyBorder="1"/>
    <xf numFmtId="165" fontId="9" fillId="0" borderId="0" xfId="0" applyNumberFormat="1" applyFont="1"/>
    <xf numFmtId="164" fontId="6" fillId="0" borderId="2" xfId="0" applyNumberFormat="1" applyFont="1" applyBorder="1"/>
    <xf numFmtId="0" fontId="2" fillId="2" borderId="0" xfId="0" applyFont="1" applyFill="1"/>
    <xf numFmtId="0" fontId="32" fillId="2" borderId="2" xfId="0" applyFont="1" applyFill="1" applyBorder="1" applyAlignment="1">
      <alignment horizontal="right"/>
    </xf>
    <xf numFmtId="0" fontId="2" fillId="2" borderId="9" xfId="0" applyFont="1" applyFill="1" applyBorder="1" applyAlignment="1">
      <alignment horizontal="right"/>
    </xf>
    <xf numFmtId="165" fontId="6" fillId="0" borderId="2" xfId="0" applyNumberFormat="1" applyFont="1" applyBorder="1"/>
    <xf numFmtId="165" fontId="7" fillId="0" borderId="2" xfId="0" applyNumberFormat="1" applyFont="1" applyBorder="1"/>
    <xf numFmtId="165" fontId="11" fillId="0" borderId="2" xfId="0" applyNumberFormat="1" applyFont="1" applyBorder="1"/>
    <xf numFmtId="165" fontId="6" fillId="0" borderId="3" xfId="0" applyNumberFormat="1" applyFont="1" applyBorder="1"/>
    <xf numFmtId="0" fontId="28" fillId="0" borderId="3" xfId="0" applyFont="1" applyBorder="1"/>
    <xf numFmtId="167" fontId="17" fillId="0" borderId="0" xfId="0" applyNumberFormat="1" applyFont="1"/>
    <xf numFmtId="0" fontId="34" fillId="0" borderId="0" xfId="0" applyFont="1"/>
    <xf numFmtId="0" fontId="35" fillId="0" borderId="0" xfId="0" applyFont="1"/>
    <xf numFmtId="0" fontId="26" fillId="0" borderId="0" xfId="0" applyFont="1"/>
    <xf numFmtId="0" fontId="9" fillId="2" borderId="0" xfId="0" applyFont="1" applyFill="1"/>
    <xf numFmtId="0" fontId="9" fillId="0" borderId="12" xfId="0" applyFont="1" applyBorder="1"/>
    <xf numFmtId="0" fontId="9" fillId="0" borderId="11" xfId="0" applyFont="1" applyBorder="1"/>
    <xf numFmtId="0" fontId="9" fillId="0" borderId="5" xfId="0" applyFont="1" applyBorder="1"/>
    <xf numFmtId="0" fontId="38" fillId="2" borderId="0" xfId="0" applyFont="1" applyFill="1" applyAlignment="1">
      <alignment horizontal="right"/>
    </xf>
    <xf numFmtId="0" fontId="9" fillId="0" borderId="0" xfId="0" applyFont="1" applyAlignment="1">
      <alignment horizontal="center"/>
    </xf>
    <xf numFmtId="3" fontId="20" fillId="0" borderId="2" xfId="0" applyNumberFormat="1" applyFont="1" applyBorder="1"/>
    <xf numFmtId="0" fontId="45" fillId="9" borderId="0" xfId="0" applyFont="1" applyFill="1"/>
    <xf numFmtId="0" fontId="45" fillId="9" borderId="0" xfId="0" applyFont="1" applyFill="1" applyAlignment="1">
      <alignment horizontal="center"/>
    </xf>
    <xf numFmtId="0" fontId="45" fillId="7" borderId="0" xfId="0" applyFont="1" applyFill="1" applyAlignment="1">
      <alignment horizontal="center"/>
    </xf>
    <xf numFmtId="0" fontId="46" fillId="0" borderId="0" xfId="0" applyFont="1"/>
    <xf numFmtId="0" fontId="47" fillId="0" borderId="0" xfId="0" applyFont="1"/>
    <xf numFmtId="0" fontId="48" fillId="0" borderId="0" xfId="0" applyFont="1"/>
    <xf numFmtId="0" fontId="49" fillId="0" borderId="0" xfId="0" applyFont="1"/>
    <xf numFmtId="0" fontId="43" fillId="0" borderId="0" xfId="0" applyFont="1"/>
    <xf numFmtId="0" fontId="17" fillId="10" borderId="0" xfId="0" applyFont="1" applyFill="1"/>
    <xf numFmtId="0" fontId="51" fillId="0" borderId="0" xfId="0" applyFont="1"/>
    <xf numFmtId="0" fontId="52" fillId="10" borderId="0" xfId="0" applyFont="1" applyFill="1"/>
    <xf numFmtId="0" fontId="38" fillId="0" borderId="5" xfId="0" applyFont="1" applyBorder="1"/>
    <xf numFmtId="0" fontId="53" fillId="0" borderId="0" xfId="0" applyFont="1"/>
    <xf numFmtId="0" fontId="56" fillId="0" borderId="0" xfId="0" applyFont="1"/>
    <xf numFmtId="168" fontId="9" fillId="0" borderId="11" xfId="0" applyNumberFormat="1" applyFont="1" applyBorder="1" applyAlignment="1">
      <alignment horizontal="left"/>
    </xf>
    <xf numFmtId="3" fontId="18" fillId="0" borderId="2" xfId="0" applyNumberFormat="1" applyFont="1" applyBorder="1"/>
    <xf numFmtId="0" fontId="17" fillId="0" borderId="5" xfId="0" applyFont="1" applyBorder="1"/>
    <xf numFmtId="0" fontId="18" fillId="0" borderId="5" xfId="0" applyFont="1" applyBorder="1"/>
    <xf numFmtId="0" fontId="15" fillId="0" borderId="5" xfId="0" applyFont="1" applyBorder="1"/>
    <xf numFmtId="0" fontId="20" fillId="0" borderId="0" xfId="0" applyFont="1"/>
    <xf numFmtId="0" fontId="57" fillId="0" borderId="0" xfId="0" applyFont="1" applyAlignment="1">
      <alignment horizontal="center"/>
    </xf>
    <xf numFmtId="0" fontId="11" fillId="0" borderId="0" xfId="0" applyFont="1" applyAlignment="1">
      <alignment horizontal="right"/>
    </xf>
    <xf numFmtId="0" fontId="53" fillId="0" borderId="0" xfId="0" applyFont="1" applyAlignment="1">
      <alignment horizontal="center"/>
    </xf>
    <xf numFmtId="164" fontId="53" fillId="0" borderId="0" xfId="0" applyNumberFormat="1" applyFont="1" applyAlignment="1">
      <alignment horizontal="right"/>
    </xf>
    <xf numFmtId="0" fontId="16" fillId="0" borderId="0" xfId="0" applyFont="1" applyAlignment="1">
      <alignment horizontal="right"/>
    </xf>
    <xf numFmtId="0" fontId="14" fillId="0" borderId="0" xfId="0" applyFont="1" applyAlignment="1">
      <alignment horizontal="center"/>
    </xf>
    <xf numFmtId="0" fontId="38" fillId="0" borderId="0" xfId="0" applyFont="1" applyAlignment="1">
      <alignment horizontal="center"/>
    </xf>
    <xf numFmtId="0" fontId="58" fillId="0" borderId="0" xfId="0" applyFont="1" applyAlignment="1">
      <alignment horizontal="left"/>
    </xf>
    <xf numFmtId="0" fontId="60" fillId="11" borderId="0" xfId="0" applyFont="1" applyFill="1"/>
    <xf numFmtId="0" fontId="60" fillId="11" borderId="0" xfId="0" applyFont="1" applyFill="1" applyAlignment="1">
      <alignment horizontal="center"/>
    </xf>
    <xf numFmtId="0" fontId="61" fillId="0" borderId="0" xfId="0" applyFont="1" applyAlignment="1">
      <alignment horizontal="center"/>
    </xf>
    <xf numFmtId="0" fontId="11" fillId="0" borderId="0" xfId="0" applyFont="1" applyAlignment="1">
      <alignment horizontal="center"/>
    </xf>
    <xf numFmtId="0" fontId="60" fillId="11" borderId="0" xfId="0" applyFont="1" applyFill="1" applyAlignment="1">
      <alignment horizontal="right"/>
    </xf>
    <xf numFmtId="0" fontId="32" fillId="0" borderId="0" xfId="0" applyFont="1" applyAlignment="1">
      <alignment horizontal="right"/>
    </xf>
    <xf numFmtId="0" fontId="10" fillId="0" borderId="2" xfId="0" applyFont="1" applyBorder="1" applyAlignment="1">
      <alignment horizontal="left" indent="1"/>
    </xf>
    <xf numFmtId="0" fontId="10" fillId="0" borderId="2" xfId="0" applyFont="1" applyBorder="1" applyAlignment="1">
      <alignment horizontal="center"/>
    </xf>
    <xf numFmtId="0" fontId="9" fillId="0" borderId="2" xfId="0" applyFont="1" applyBorder="1" applyAlignment="1">
      <alignment horizontal="left" indent="1"/>
    </xf>
    <xf numFmtId="0" fontId="9" fillId="0" borderId="2" xfId="0" applyFont="1" applyBorder="1" applyAlignment="1">
      <alignment horizontal="center"/>
    </xf>
    <xf numFmtId="0" fontId="11" fillId="0" borderId="2" xfId="0" applyFont="1" applyBorder="1" applyAlignment="1">
      <alignment horizontal="right"/>
    </xf>
    <xf numFmtId="0" fontId="18" fillId="0" borderId="6" xfId="0" applyFont="1" applyBorder="1"/>
    <xf numFmtId="0" fontId="16" fillId="8" borderId="10" xfId="0" applyFont="1" applyFill="1" applyBorder="1"/>
    <xf numFmtId="0" fontId="18" fillId="0" borderId="10" xfId="0" applyFont="1" applyBorder="1"/>
    <xf numFmtId="164" fontId="21" fillId="0" borderId="0" xfId="0" applyNumberFormat="1" applyFont="1"/>
    <xf numFmtId="164" fontId="30" fillId="0" borderId="0" xfId="0" applyNumberFormat="1" applyFont="1"/>
    <xf numFmtId="0" fontId="15" fillId="0" borderId="10" xfId="0" applyFont="1" applyBorder="1"/>
    <xf numFmtId="164" fontId="21" fillId="0" borderId="10" xfId="0" applyNumberFormat="1" applyFont="1" applyBorder="1"/>
    <xf numFmtId="164" fontId="31" fillId="0" borderId="10" xfId="0" applyNumberFormat="1" applyFont="1" applyBorder="1"/>
    <xf numFmtId="1" fontId="13" fillId="0" borderId="10" xfId="0" applyNumberFormat="1" applyFont="1" applyBorder="1"/>
    <xf numFmtId="0" fontId="16" fillId="8" borderId="10" xfId="0" applyFont="1" applyFill="1" applyBorder="1" applyAlignment="1">
      <alignment vertical="center"/>
    </xf>
    <xf numFmtId="0" fontId="16" fillId="8" borderId="10" xfId="0" applyFont="1" applyFill="1" applyBorder="1" applyAlignment="1">
      <alignment horizontal="left" vertical="center"/>
    </xf>
    <xf numFmtId="2" fontId="20" fillId="0" borderId="5" xfId="0" applyNumberFormat="1" applyFont="1" applyBorder="1"/>
    <xf numFmtId="0" fontId="17" fillId="0" borderId="10" xfId="0" applyFont="1" applyBorder="1"/>
    <xf numFmtId="175" fontId="44" fillId="0" borderId="0" xfId="0" applyNumberFormat="1" applyFont="1" applyAlignment="1">
      <alignment horizontal="right"/>
    </xf>
    <xf numFmtId="0" fontId="63" fillId="0" borderId="0" xfId="0" applyFont="1"/>
    <xf numFmtId="10" fontId="63" fillId="0" borderId="0" xfId="0" applyNumberFormat="1" applyFont="1" applyAlignment="1">
      <alignment horizontal="right"/>
    </xf>
    <xf numFmtId="0" fontId="18" fillId="0" borderId="14" xfId="0" applyFont="1" applyBorder="1"/>
    <xf numFmtId="175" fontId="20" fillId="0" borderId="2" xfId="0" applyNumberFormat="1" applyFont="1" applyBorder="1" applyAlignment="1">
      <alignment horizontal="right"/>
    </xf>
    <xf numFmtId="0" fontId="18" fillId="0" borderId="16" xfId="0" applyFont="1" applyBorder="1"/>
    <xf numFmtId="175" fontId="20" fillId="0" borderId="6" xfId="0" applyNumberFormat="1" applyFont="1" applyBorder="1" applyAlignment="1">
      <alignment horizontal="right"/>
    </xf>
    <xf numFmtId="0" fontId="16" fillId="0" borderId="18" xfId="0" applyFont="1" applyBorder="1"/>
    <xf numFmtId="0" fontId="18" fillId="0" borderId="19" xfId="0" applyFont="1" applyBorder="1"/>
    <xf numFmtId="0" fontId="62" fillId="0" borderId="21" xfId="0" applyFont="1" applyBorder="1"/>
    <xf numFmtId="0" fontId="64" fillId="0" borderId="5" xfId="0" applyFont="1" applyBorder="1"/>
    <xf numFmtId="0" fontId="64" fillId="0" borderId="22" xfId="0" applyFont="1" applyBorder="1"/>
    <xf numFmtId="0" fontId="64" fillId="0" borderId="14" xfId="0" applyFont="1" applyBorder="1"/>
    <xf numFmtId="0" fontId="64" fillId="0" borderId="2" xfId="0" applyFont="1" applyBorder="1"/>
    <xf numFmtId="0" fontId="64" fillId="0" borderId="16" xfId="0" applyFont="1" applyBorder="1"/>
    <xf numFmtId="0" fontId="64" fillId="0" borderId="6" xfId="0" applyFont="1" applyBorder="1"/>
    <xf numFmtId="0" fontId="62" fillId="0" borderId="23" xfId="0" applyFont="1" applyBorder="1"/>
    <xf numFmtId="0" fontId="64" fillId="0" borderId="24" xfId="0" applyFont="1" applyBorder="1"/>
    <xf numFmtId="0" fontId="65" fillId="0" borderId="26" xfId="0" applyFont="1" applyBorder="1"/>
    <xf numFmtId="0" fontId="64" fillId="0" borderId="27" xfId="0" applyFont="1" applyBorder="1"/>
    <xf numFmtId="0" fontId="45" fillId="9" borderId="0" xfId="0" applyFont="1" applyFill="1" applyAlignment="1">
      <alignment horizontal="right"/>
    </xf>
    <xf numFmtId="0" fontId="45" fillId="7" borderId="0" xfId="0" applyFont="1" applyFill="1" applyAlignment="1">
      <alignment horizontal="right"/>
    </xf>
    <xf numFmtId="0" fontId="45" fillId="9" borderId="0" xfId="0" applyFont="1" applyFill="1" applyAlignment="1">
      <alignment horizontal="left"/>
    </xf>
    <xf numFmtId="10" fontId="20" fillId="0" borderId="2" xfId="0" applyNumberFormat="1" applyFont="1" applyBorder="1" applyAlignment="1">
      <alignment horizontal="left"/>
    </xf>
    <xf numFmtId="10" fontId="20" fillId="0" borderId="6" xfId="0" applyNumberFormat="1" applyFont="1" applyBorder="1" applyAlignment="1">
      <alignment horizontal="left"/>
    </xf>
    <xf numFmtId="0" fontId="16" fillId="8" borderId="1" xfId="0" applyFont="1" applyFill="1" applyBorder="1"/>
    <xf numFmtId="0" fontId="20" fillId="0" borderId="1" xfId="0" applyFont="1" applyBorder="1"/>
    <xf numFmtId="0" fontId="33" fillId="0" borderId="2" xfId="0" applyFont="1" applyBorder="1"/>
    <xf numFmtId="3" fontId="19" fillId="0" borderId="2" xfId="0" applyNumberFormat="1" applyFont="1" applyBorder="1" applyAlignment="1">
      <alignment horizontal="right"/>
    </xf>
    <xf numFmtId="164" fontId="19" fillId="0" borderId="2" xfId="0" applyNumberFormat="1" applyFont="1" applyBorder="1" applyAlignment="1">
      <alignment horizontal="right"/>
    </xf>
    <xf numFmtId="165" fontId="19" fillId="0" borderId="2" xfId="0" applyNumberFormat="1" applyFont="1" applyBorder="1" applyAlignment="1">
      <alignment horizontal="right"/>
    </xf>
    <xf numFmtId="175" fontId="19" fillId="0" borderId="2" xfId="0" applyNumberFormat="1" applyFont="1" applyBorder="1" applyAlignment="1">
      <alignment horizontal="right"/>
    </xf>
    <xf numFmtId="0" fontId="15" fillId="0" borderId="0" xfId="0" applyFont="1" applyAlignment="1">
      <alignment horizontal="center"/>
    </xf>
    <xf numFmtId="0" fontId="63" fillId="0" borderId="0" xfId="0" applyFont="1" applyAlignment="1">
      <alignment horizontal="center"/>
    </xf>
    <xf numFmtId="164" fontId="63" fillId="0" borderId="0" xfId="0" applyNumberFormat="1" applyFont="1" applyAlignment="1">
      <alignment horizontal="right"/>
    </xf>
    <xf numFmtId="177" fontId="24" fillId="0" borderId="3" xfId="0" applyNumberFormat="1" applyFont="1" applyBorder="1" applyAlignment="1">
      <alignment horizontal="right"/>
    </xf>
    <xf numFmtId="0" fontId="62" fillId="0" borderId="2" xfId="0" applyFont="1" applyBorder="1"/>
    <xf numFmtId="0" fontId="15" fillId="0" borderId="3" xfId="0" applyFont="1" applyBorder="1" applyAlignment="1">
      <alignment horizontal="left"/>
    </xf>
    <xf numFmtId="0" fontId="15" fillId="0" borderId="2" xfId="0" applyFont="1" applyBorder="1" applyAlignment="1">
      <alignment horizontal="left"/>
    </xf>
    <xf numFmtId="0" fontId="17" fillId="0" borderId="2" xfId="0" applyFont="1" applyBorder="1" applyAlignment="1">
      <alignment horizontal="left"/>
    </xf>
    <xf numFmtId="0" fontId="18" fillId="0" borderId="2" xfId="0" applyFont="1" applyBorder="1" applyAlignment="1">
      <alignment horizontal="left"/>
    </xf>
    <xf numFmtId="0" fontId="62" fillId="0" borderId="2" xfId="0" applyFont="1" applyBorder="1" applyAlignment="1">
      <alignment horizontal="left"/>
    </xf>
    <xf numFmtId="0" fontId="10" fillId="0" borderId="0" xfId="0" applyFont="1" applyAlignment="1">
      <alignment horizontal="center"/>
    </xf>
    <xf numFmtId="177" fontId="21" fillId="0" borderId="3" xfId="0" applyNumberFormat="1" applyFont="1" applyBorder="1" applyAlignment="1">
      <alignment horizontal="right"/>
    </xf>
    <xf numFmtId="1" fontId="20" fillId="0" borderId="2" xfId="0" applyNumberFormat="1" applyFont="1" applyBorder="1" applyAlignment="1">
      <alignment horizontal="right"/>
    </xf>
    <xf numFmtId="2" fontId="18" fillId="0" borderId="2" xfId="0" applyNumberFormat="1" applyFont="1" applyBorder="1"/>
    <xf numFmtId="0" fontId="9" fillId="0" borderId="29" xfId="0" applyFont="1" applyBorder="1"/>
    <xf numFmtId="3" fontId="11" fillId="0" borderId="0" xfId="0" applyNumberFormat="1" applyFont="1"/>
    <xf numFmtId="3" fontId="6" fillId="0" borderId="0" xfId="0" applyNumberFormat="1" applyFont="1"/>
    <xf numFmtId="0" fontId="6" fillId="0" borderId="31" xfId="0" applyFont="1" applyBorder="1"/>
    <xf numFmtId="0" fontId="9" fillId="0" borderId="31" xfId="0" applyFont="1" applyBorder="1"/>
    <xf numFmtId="175" fontId="6" fillId="0" borderId="31" xfId="0" applyNumberFormat="1" applyFont="1" applyBorder="1"/>
    <xf numFmtId="175" fontId="11" fillId="0" borderId="31" xfId="0" applyNumberFormat="1" applyFont="1" applyBorder="1"/>
    <xf numFmtId="169" fontId="11" fillId="0" borderId="31" xfId="0" applyNumberFormat="1" applyFont="1" applyBorder="1" applyAlignment="1">
      <alignment horizontal="right"/>
    </xf>
    <xf numFmtId="3" fontId="7" fillId="0" borderId="0" xfId="0" applyNumberFormat="1" applyFont="1"/>
    <xf numFmtId="3" fontId="11" fillId="0" borderId="31" xfId="0" applyNumberFormat="1" applyFont="1" applyBorder="1"/>
    <xf numFmtId="3" fontId="6" fillId="0" borderId="31" xfId="0" applyNumberFormat="1" applyFont="1" applyBorder="1"/>
    <xf numFmtId="0" fontId="8" fillId="0" borderId="29" xfId="0" applyFont="1" applyBorder="1"/>
    <xf numFmtId="0" fontId="38" fillId="8" borderId="1" xfId="0" applyFont="1" applyFill="1" applyBorder="1"/>
    <xf numFmtId="0" fontId="38" fillId="8" borderId="32" xfId="0" applyFont="1" applyFill="1" applyBorder="1"/>
    <xf numFmtId="0" fontId="38" fillId="0" borderId="33" xfId="0" applyFont="1" applyBorder="1"/>
    <xf numFmtId="0" fontId="38" fillId="0" borderId="0" xfId="0" applyFont="1"/>
    <xf numFmtId="0" fontId="5" fillId="0" borderId="0" xfId="0" applyFont="1"/>
    <xf numFmtId="3" fontId="5" fillId="0" borderId="0" xfId="0" applyNumberFormat="1" applyFont="1"/>
    <xf numFmtId="0" fontId="9" fillId="0" borderId="31" xfId="0" applyFont="1" applyBorder="1" applyAlignment="1">
      <alignment horizontal="center"/>
    </xf>
    <xf numFmtId="0" fontId="38" fillId="0" borderId="33" xfId="0" applyFont="1" applyBorder="1" applyAlignment="1">
      <alignment horizontal="center"/>
    </xf>
    <xf numFmtId="0" fontId="9" fillId="0" borderId="30" xfId="0" applyFont="1" applyBorder="1" applyAlignment="1">
      <alignment horizontal="center"/>
    </xf>
    <xf numFmtId="0" fontId="9" fillId="0" borderId="29" xfId="0" applyFont="1" applyBorder="1" applyAlignment="1">
      <alignment horizontal="center"/>
    </xf>
    <xf numFmtId="0" fontId="6" fillId="0" borderId="0" xfId="0" applyFont="1" applyAlignment="1">
      <alignment horizontal="left"/>
    </xf>
    <xf numFmtId="0" fontId="6" fillId="0" borderId="31" xfId="0" applyFont="1" applyBorder="1" applyAlignment="1">
      <alignment horizontal="left"/>
    </xf>
    <xf numFmtId="0" fontId="13" fillId="0" borderId="0" xfId="0" applyFont="1" applyAlignment="1">
      <alignment horizontal="left" vertical="center" wrapText="1"/>
    </xf>
    <xf numFmtId="0" fontId="6" fillId="0" borderId="30" xfId="0" applyFont="1" applyBorder="1"/>
    <xf numFmtId="3" fontId="11" fillId="0" borderId="0" xfId="0" applyNumberFormat="1" applyFont="1" applyAlignment="1">
      <alignment horizontal="right"/>
    </xf>
    <xf numFmtId="169" fontId="6" fillId="0" borderId="31" xfId="0" applyNumberFormat="1" applyFont="1" applyBorder="1" applyAlignment="1">
      <alignment horizontal="right"/>
    </xf>
    <xf numFmtId="0" fontId="60" fillId="11" borderId="0" xfId="0" applyFont="1" applyFill="1" applyAlignment="1">
      <alignment horizontal="left"/>
    </xf>
    <xf numFmtId="0" fontId="61" fillId="11" borderId="0" xfId="0" applyFont="1" applyFill="1" applyAlignment="1">
      <alignment horizontal="center"/>
    </xf>
    <xf numFmtId="3" fontId="60" fillId="11" borderId="0" xfId="0" applyNumberFormat="1" applyFont="1" applyFill="1" applyAlignment="1">
      <alignment horizontal="right"/>
    </xf>
    <xf numFmtId="0" fontId="5" fillId="12" borderId="30" xfId="0" applyFont="1" applyFill="1" applyBorder="1" applyAlignment="1">
      <alignment horizontal="left"/>
    </xf>
    <xf numFmtId="0" fontId="9" fillId="12" borderId="30" xfId="0" applyFont="1" applyFill="1" applyBorder="1" applyAlignment="1">
      <alignment horizontal="center"/>
    </xf>
    <xf numFmtId="3" fontId="5" fillId="12" borderId="30" xfId="0" applyNumberFormat="1" applyFont="1" applyFill="1" applyBorder="1" applyAlignment="1">
      <alignment horizontal="right"/>
    </xf>
    <xf numFmtId="0" fontId="5" fillId="12" borderId="30" xfId="0" applyFont="1" applyFill="1" applyBorder="1"/>
    <xf numFmtId="0" fontId="38" fillId="12" borderId="30" xfId="0" applyFont="1" applyFill="1" applyBorder="1" applyAlignment="1">
      <alignment horizontal="center"/>
    </xf>
    <xf numFmtId="3" fontId="5" fillId="12" borderId="30" xfId="0" applyNumberFormat="1" applyFont="1" applyFill="1" applyBorder="1"/>
    <xf numFmtId="0" fontId="60" fillId="5" borderId="30" xfId="0" applyFont="1" applyFill="1" applyBorder="1"/>
    <xf numFmtId="0" fontId="61" fillId="5" borderId="30" xfId="0" applyFont="1" applyFill="1" applyBorder="1" applyAlignment="1">
      <alignment horizontal="center"/>
    </xf>
    <xf numFmtId="165" fontId="60" fillId="5" borderId="30" xfId="0" applyNumberFormat="1" applyFont="1" applyFill="1" applyBorder="1"/>
    <xf numFmtId="0" fontId="50" fillId="9" borderId="0" xfId="0" applyFont="1" applyFill="1" applyAlignment="1">
      <alignment horizontal="left"/>
    </xf>
    <xf numFmtId="0" fontId="50" fillId="9" borderId="0" xfId="0" applyFont="1" applyFill="1" applyAlignment="1">
      <alignment horizontal="center"/>
    </xf>
    <xf numFmtId="0" fontId="9" fillId="12" borderId="0" xfId="0" applyFont="1" applyFill="1" applyAlignment="1">
      <alignment horizontal="center"/>
    </xf>
    <xf numFmtId="168" fontId="8" fillId="0" borderId="0" xfId="0" applyNumberFormat="1" applyFont="1"/>
    <xf numFmtId="0" fontId="41" fillId="0" borderId="34" xfId="0" applyFont="1" applyBorder="1"/>
    <xf numFmtId="0" fontId="10" fillId="0" borderId="2" xfId="0" applyFont="1" applyBorder="1"/>
    <xf numFmtId="0" fontId="10" fillId="0" borderId="35" xfId="0" applyFont="1" applyBorder="1"/>
    <xf numFmtId="0" fontId="10" fillId="0" borderId="34" xfId="0" applyFont="1" applyBorder="1"/>
    <xf numFmtId="0" fontId="38" fillId="8" borderId="0" xfId="0" applyFont="1" applyFill="1"/>
    <xf numFmtId="0" fontId="9" fillId="0" borderId="36" xfId="0" applyFont="1" applyBorder="1"/>
    <xf numFmtId="3" fontId="11" fillId="0" borderId="36" xfId="0" applyNumberFormat="1" applyFont="1" applyBorder="1"/>
    <xf numFmtId="3" fontId="7" fillId="0" borderId="36" xfId="0" applyNumberFormat="1" applyFont="1" applyBorder="1"/>
    <xf numFmtId="3" fontId="7" fillId="0" borderId="31" xfId="0" applyNumberFormat="1" applyFont="1" applyBorder="1"/>
    <xf numFmtId="0" fontId="10" fillId="0" borderId="30" xfId="0" applyFont="1" applyBorder="1"/>
    <xf numFmtId="0" fontId="10" fillId="0" borderId="31" xfId="0" applyFont="1" applyBorder="1"/>
    <xf numFmtId="0" fontId="10" fillId="0" borderId="29" xfId="0" applyFont="1" applyBorder="1"/>
    <xf numFmtId="165" fontId="11" fillId="0" borderId="36" xfId="0" applyNumberFormat="1" applyFont="1" applyBorder="1"/>
    <xf numFmtId="165" fontId="7" fillId="0" borderId="36" xfId="0" applyNumberFormat="1" applyFont="1" applyBorder="1"/>
    <xf numFmtId="3" fontId="5" fillId="0" borderId="33" xfId="0" applyNumberFormat="1" applyFont="1" applyBorder="1"/>
    <xf numFmtId="175" fontId="11" fillId="0" borderId="0" xfId="0" applyNumberFormat="1" applyFont="1"/>
    <xf numFmtId="0" fontId="9" fillId="0" borderId="36" xfId="0" applyFont="1" applyBorder="1" applyAlignment="1">
      <alignment horizontal="center"/>
    </xf>
    <xf numFmtId="164" fontId="6" fillId="0" borderId="31" xfId="0" applyNumberFormat="1" applyFont="1" applyBorder="1"/>
    <xf numFmtId="0" fontId="41" fillId="8" borderId="32" xfId="0" applyFont="1" applyFill="1" applyBorder="1"/>
    <xf numFmtId="0" fontId="10" fillId="0" borderId="34" xfId="0" applyFont="1" applyBorder="1" applyAlignment="1">
      <alignment horizontal="center"/>
    </xf>
    <xf numFmtId="175" fontId="8" fillId="0" borderId="31" xfId="0" applyNumberFormat="1" applyFont="1" applyBorder="1"/>
    <xf numFmtId="0" fontId="10" fillId="0" borderId="35" xfId="0" applyFont="1" applyBorder="1" applyAlignment="1">
      <alignment horizontal="center"/>
    </xf>
    <xf numFmtId="0" fontId="8" fillId="0" borderId="30" xfId="0" applyFont="1" applyBorder="1" applyAlignment="1">
      <alignment horizontal="left" indent="1"/>
    </xf>
    <xf numFmtId="0" fontId="60" fillId="5" borderId="33" xfId="0" applyFont="1" applyFill="1" applyBorder="1"/>
    <xf numFmtId="0" fontId="60" fillId="5" borderId="33" xfId="0" applyFont="1" applyFill="1" applyBorder="1" applyAlignment="1">
      <alignment horizontal="center"/>
    </xf>
    <xf numFmtId="3" fontId="60" fillId="5" borderId="33" xfId="0" applyNumberFormat="1" applyFont="1" applyFill="1" applyBorder="1"/>
    <xf numFmtId="0" fontId="38" fillId="12" borderId="33" xfId="0" applyFont="1" applyFill="1" applyBorder="1"/>
    <xf numFmtId="0" fontId="38" fillId="12" borderId="33" xfId="0" applyFont="1" applyFill="1" applyBorder="1" applyAlignment="1">
      <alignment horizontal="center"/>
    </xf>
    <xf numFmtId="3" fontId="5" fillId="12" borderId="33" xfId="0" applyNumberFormat="1" applyFont="1" applyFill="1" applyBorder="1"/>
    <xf numFmtId="0" fontId="38" fillId="8" borderId="0" xfId="0" applyFont="1" applyFill="1" applyAlignment="1">
      <alignment horizontal="center"/>
    </xf>
    <xf numFmtId="0" fontId="60" fillId="5" borderId="13" xfId="0" applyFont="1" applyFill="1" applyBorder="1"/>
    <xf numFmtId="0" fontId="60" fillId="5" borderId="13" xfId="0" applyFont="1" applyFill="1" applyBorder="1" applyAlignment="1">
      <alignment horizontal="center"/>
    </xf>
    <xf numFmtId="3" fontId="60" fillId="5" borderId="13" xfId="0" applyNumberFormat="1" applyFont="1" applyFill="1" applyBorder="1"/>
    <xf numFmtId="0" fontId="18" fillId="0" borderId="6" xfId="0" applyFont="1" applyBorder="1" applyAlignment="1">
      <alignment horizontal="center"/>
    </xf>
    <xf numFmtId="0" fontId="15" fillId="0" borderId="6" xfId="0" applyFont="1" applyBorder="1"/>
    <xf numFmtId="0" fontId="14" fillId="0" borderId="0" xfId="0" applyFont="1"/>
    <xf numFmtId="3" fontId="40" fillId="12" borderId="30" xfId="0" applyNumberFormat="1" applyFont="1" applyFill="1" applyBorder="1"/>
    <xf numFmtId="3" fontId="40" fillId="12" borderId="30" xfId="0" applyNumberFormat="1" applyFont="1" applyFill="1" applyBorder="1" applyAlignment="1">
      <alignment horizontal="right"/>
    </xf>
    <xf numFmtId="0" fontId="18" fillId="0" borderId="2" xfId="0" applyFont="1" applyBorder="1" applyAlignment="1">
      <alignment horizontal="center"/>
    </xf>
    <xf numFmtId="3" fontId="18" fillId="0" borderId="2" xfId="0" applyNumberFormat="1" applyFont="1" applyBorder="1" applyAlignment="1">
      <alignment horizontal="right"/>
    </xf>
    <xf numFmtId="0" fontId="13" fillId="0" borderId="2" xfId="0" applyFont="1" applyBorder="1" applyAlignment="1">
      <alignment horizontal="center"/>
    </xf>
    <xf numFmtId="0" fontId="16" fillId="8" borderId="1" xfId="0" applyFont="1" applyFill="1" applyBorder="1" applyAlignment="1">
      <alignment horizontal="center"/>
    </xf>
    <xf numFmtId="0" fontId="45" fillId="9" borderId="1" xfId="0" applyFont="1" applyFill="1" applyBorder="1" applyAlignment="1">
      <alignment horizontal="right"/>
    </xf>
    <xf numFmtId="0" fontId="45" fillId="7" borderId="1" xfId="0" applyFont="1" applyFill="1" applyBorder="1" applyAlignment="1">
      <alignment horizontal="right"/>
    </xf>
    <xf numFmtId="3" fontId="19" fillId="0" borderId="6" xfId="0" applyNumberFormat="1" applyFont="1" applyBorder="1" applyAlignment="1">
      <alignment horizontal="right"/>
    </xf>
    <xf numFmtId="3" fontId="7" fillId="0" borderId="6" xfId="0" applyNumberFormat="1" applyFont="1" applyBorder="1" applyAlignment="1">
      <alignment horizontal="right"/>
    </xf>
    <xf numFmtId="0" fontId="16" fillId="12" borderId="37" xfId="0" applyFont="1" applyFill="1" applyBorder="1"/>
    <xf numFmtId="0" fontId="16" fillId="12" borderId="37" xfId="0" applyFont="1" applyFill="1" applyBorder="1" applyAlignment="1">
      <alignment horizontal="center"/>
    </xf>
    <xf numFmtId="0" fontId="41" fillId="12" borderId="38" xfId="0" applyFont="1" applyFill="1" applyBorder="1"/>
    <xf numFmtId="0" fontId="41" fillId="12" borderId="38" xfId="0" applyFont="1" applyFill="1" applyBorder="1" applyAlignment="1">
      <alignment horizontal="center"/>
    </xf>
    <xf numFmtId="164" fontId="11" fillId="0" borderId="30" xfId="0" applyNumberFormat="1" applyFont="1" applyBorder="1" applyAlignment="1">
      <alignment horizontal="right"/>
    </xf>
    <xf numFmtId="164" fontId="6" fillId="0" borderId="30" xfId="0" applyNumberFormat="1" applyFont="1" applyBorder="1"/>
    <xf numFmtId="0" fontId="54" fillId="0" borderId="0" xfId="0" applyFont="1" applyAlignment="1">
      <alignment wrapText="1"/>
    </xf>
    <xf numFmtId="3" fontId="67" fillId="0" borderId="0" xfId="1" applyNumberFormat="1" applyFont="1" applyAlignment="1">
      <alignment horizontal="right"/>
    </xf>
    <xf numFmtId="0" fontId="14" fillId="0" borderId="10" xfId="0" applyFont="1" applyBorder="1" applyAlignment="1">
      <alignment horizontal="center"/>
    </xf>
    <xf numFmtId="3" fontId="67" fillId="0" borderId="10" xfId="1" applyNumberFormat="1" applyFont="1" applyBorder="1" applyAlignment="1">
      <alignment horizontal="right"/>
    </xf>
    <xf numFmtId="0" fontId="15" fillId="0" borderId="5" xfId="0" applyFont="1" applyBorder="1" applyAlignment="1">
      <alignment horizontal="center"/>
    </xf>
    <xf numFmtId="3" fontId="11" fillId="0" borderId="2" xfId="0" applyNumberFormat="1" applyFont="1" applyBorder="1"/>
    <xf numFmtId="3" fontId="7" fillId="0" borderId="2" xfId="0" applyNumberFormat="1" applyFont="1" applyBorder="1"/>
    <xf numFmtId="0" fontId="38" fillId="12" borderId="29" xfId="0" applyFont="1" applyFill="1" applyBorder="1"/>
    <xf numFmtId="0" fontId="9" fillId="0" borderId="5" xfId="0" applyFont="1" applyBorder="1" applyAlignment="1">
      <alignment horizontal="center"/>
    </xf>
    <xf numFmtId="3" fontId="11" fillId="0" borderId="5" xfId="0" applyNumberFormat="1" applyFont="1" applyBorder="1"/>
    <xf numFmtId="3" fontId="7" fillId="0" borderId="5" xfId="0" applyNumberFormat="1" applyFont="1" applyBorder="1"/>
    <xf numFmtId="0" fontId="38" fillId="0" borderId="1" xfId="0" applyFont="1" applyBorder="1" applyAlignment="1">
      <alignment horizontal="center"/>
    </xf>
    <xf numFmtId="0" fontId="38" fillId="0" borderId="1" xfId="0" applyFont="1" applyBorder="1"/>
    <xf numFmtId="0" fontId="9" fillId="0" borderId="1" xfId="0" applyFont="1" applyBorder="1" applyAlignment="1">
      <alignment horizontal="center"/>
    </xf>
    <xf numFmtId="164" fontId="28" fillId="0" borderId="1" xfId="0" applyNumberFormat="1" applyFont="1" applyBorder="1"/>
    <xf numFmtId="0" fontId="10" fillId="0" borderId="30" xfId="0" applyFont="1" applyBorder="1" applyAlignment="1">
      <alignment horizontal="center"/>
    </xf>
    <xf numFmtId="164" fontId="11" fillId="0" borderId="0" xfId="0" applyNumberFormat="1" applyFont="1"/>
    <xf numFmtId="0" fontId="5" fillId="8" borderId="1" xfId="0" applyFont="1" applyFill="1" applyBorder="1"/>
    <xf numFmtId="0" fontId="9" fillId="0" borderId="1" xfId="0" applyFont="1" applyBorder="1"/>
    <xf numFmtId="172" fontId="38" fillId="0" borderId="0" xfId="0" applyNumberFormat="1" applyFont="1"/>
    <xf numFmtId="0" fontId="38" fillId="12" borderId="2" xfId="0" applyFont="1" applyFill="1" applyBorder="1"/>
    <xf numFmtId="0" fontId="38" fillId="12" borderId="2" xfId="0" applyFont="1" applyFill="1" applyBorder="1" applyAlignment="1">
      <alignment horizontal="center"/>
    </xf>
    <xf numFmtId="0" fontId="69" fillId="0" borderId="0" xfId="0" applyFont="1" applyAlignment="1">
      <alignment vertical="top" wrapText="1"/>
    </xf>
    <xf numFmtId="0" fontId="60" fillId="5" borderId="39" xfId="0" applyFont="1" applyFill="1" applyBorder="1"/>
    <xf numFmtId="0" fontId="60" fillId="5" borderId="39" xfId="0" applyFont="1" applyFill="1" applyBorder="1" applyAlignment="1">
      <alignment horizontal="center"/>
    </xf>
    <xf numFmtId="0" fontId="38" fillId="12" borderId="39" xfId="0" applyFont="1" applyFill="1" applyBorder="1"/>
    <xf numFmtId="0" fontId="38" fillId="12" borderId="39" xfId="0" applyFont="1" applyFill="1" applyBorder="1" applyAlignment="1">
      <alignment horizontal="center"/>
    </xf>
    <xf numFmtId="164" fontId="11" fillId="0" borderId="36" xfId="0" applyNumberFormat="1" applyFont="1" applyBorder="1"/>
    <xf numFmtId="164" fontId="7" fillId="0" borderId="36" xfId="0" applyNumberFormat="1" applyFont="1" applyBorder="1"/>
    <xf numFmtId="164" fontId="11" fillId="0" borderId="31" xfId="0" applyNumberFormat="1" applyFont="1" applyBorder="1"/>
    <xf numFmtId="165" fontId="11" fillId="0" borderId="36" xfId="0" applyNumberFormat="1" applyFont="1" applyBorder="1" applyAlignment="1">
      <alignment horizontal="right"/>
    </xf>
    <xf numFmtId="165" fontId="11" fillId="0" borderId="31" xfId="0" applyNumberFormat="1" applyFont="1" applyBorder="1" applyAlignment="1">
      <alignment horizontal="right"/>
    </xf>
    <xf numFmtId="165" fontId="11" fillId="0" borderId="1" xfId="0" applyNumberFormat="1" applyFont="1" applyBorder="1" applyAlignment="1">
      <alignment horizontal="right"/>
    </xf>
    <xf numFmtId="165" fontId="11" fillId="0" borderId="0" xfId="0" applyNumberFormat="1" applyFont="1" applyAlignment="1">
      <alignment horizontal="right"/>
    </xf>
    <xf numFmtId="165" fontId="66" fillId="8" borderId="0" xfId="0" applyNumberFormat="1" applyFont="1" applyFill="1" applyAlignment="1">
      <alignment horizontal="right"/>
    </xf>
    <xf numFmtId="165" fontId="60" fillId="5" borderId="39" xfId="0" applyNumberFormat="1" applyFont="1" applyFill="1" applyBorder="1"/>
    <xf numFmtId="165" fontId="66" fillId="8" borderId="1" xfId="0" applyNumberFormat="1" applyFont="1" applyFill="1" applyBorder="1" applyAlignment="1">
      <alignment horizontal="right"/>
    </xf>
    <xf numFmtId="0" fontId="55" fillId="0" borderId="0" xfId="0" applyFont="1" applyAlignment="1">
      <alignment vertical="top"/>
    </xf>
    <xf numFmtId="0" fontId="68" fillId="0" borderId="0" xfId="0" applyFont="1" applyAlignment="1">
      <alignment vertical="top"/>
    </xf>
    <xf numFmtId="0" fontId="70" fillId="0" borderId="0" xfId="0" applyFont="1"/>
    <xf numFmtId="166" fontId="1" fillId="0" borderId="0" xfId="1" applyNumberFormat="1"/>
    <xf numFmtId="0" fontId="9" fillId="0" borderId="4" xfId="0" applyFont="1" applyBorder="1"/>
    <xf numFmtId="0" fontId="71" fillId="5" borderId="2" xfId="0" applyFont="1" applyFill="1" applyBorder="1"/>
    <xf numFmtId="164" fontId="7" fillId="0" borderId="2" xfId="0" applyNumberFormat="1" applyFont="1" applyBorder="1"/>
    <xf numFmtId="164" fontId="11" fillId="0" borderId="4" xfId="0" applyNumberFormat="1" applyFont="1" applyBorder="1"/>
    <xf numFmtId="164" fontId="7" fillId="0" borderId="4" xfId="0" applyNumberFormat="1" applyFont="1" applyBorder="1"/>
    <xf numFmtId="0" fontId="9" fillId="12" borderId="2" xfId="0" applyFont="1" applyFill="1" applyBorder="1" applyAlignment="1">
      <alignment horizontal="center"/>
    </xf>
    <xf numFmtId="0" fontId="9" fillId="0" borderId="4" xfId="0" applyFont="1" applyBorder="1" applyAlignment="1">
      <alignment horizontal="center"/>
    </xf>
    <xf numFmtId="0" fontId="72" fillId="5" borderId="2" xfId="0" applyFont="1" applyFill="1" applyBorder="1" applyAlignment="1">
      <alignment horizontal="center"/>
    </xf>
    <xf numFmtId="0" fontId="5" fillId="0" borderId="2" xfId="0" applyFont="1" applyBorder="1"/>
    <xf numFmtId="0" fontId="5" fillId="2" borderId="0" xfId="0" applyFont="1" applyFill="1"/>
    <xf numFmtId="0" fontId="73" fillId="0" borderId="0" xfId="0" applyFont="1"/>
    <xf numFmtId="2" fontId="12" fillId="0" borderId="2" xfId="0" applyNumberFormat="1" applyFont="1" applyBorder="1"/>
    <xf numFmtId="0" fontId="12" fillId="0" borderId="0" xfId="0" applyFont="1"/>
    <xf numFmtId="0" fontId="50" fillId="9" borderId="0" xfId="0" applyFont="1" applyFill="1" applyAlignment="1">
      <alignment horizontal="right"/>
    </xf>
    <xf numFmtId="0" fontId="50" fillId="7" borderId="0" xfId="0" applyFont="1" applyFill="1" applyAlignment="1">
      <alignment horizontal="right"/>
    </xf>
    <xf numFmtId="0" fontId="74" fillId="4" borderId="8" xfId="0" applyFont="1" applyFill="1" applyBorder="1" applyAlignment="1">
      <alignment vertical="center"/>
    </xf>
    <xf numFmtId="0" fontId="74" fillId="4" borderId="7" xfId="0" applyFont="1" applyFill="1" applyBorder="1" applyAlignment="1">
      <alignment vertical="center"/>
    </xf>
    <xf numFmtId="0" fontId="38" fillId="2" borderId="1" xfId="0" applyFont="1" applyFill="1" applyBorder="1"/>
    <xf numFmtId="0" fontId="9" fillId="2" borderId="1" xfId="0" applyFont="1" applyFill="1" applyBorder="1"/>
    <xf numFmtId="0" fontId="38" fillId="13" borderId="2" xfId="0" applyFont="1" applyFill="1" applyBorder="1" applyAlignment="1">
      <alignment horizontal="left"/>
    </xf>
    <xf numFmtId="0" fontId="75" fillId="0" borderId="0" xfId="0" applyFont="1"/>
    <xf numFmtId="164" fontId="67" fillId="3" borderId="0" xfId="0" applyNumberFormat="1" applyFont="1" applyFill="1" applyAlignment="1">
      <alignment horizontal="center"/>
    </xf>
    <xf numFmtId="0" fontId="38" fillId="6" borderId="0" xfId="0" applyFont="1" applyFill="1"/>
    <xf numFmtId="165" fontId="11" fillId="6" borderId="0" xfId="0" applyNumberFormat="1" applyFont="1" applyFill="1"/>
    <xf numFmtId="165" fontId="11" fillId="0" borderId="4" xfId="0" applyNumberFormat="1" applyFont="1" applyBorder="1"/>
    <xf numFmtId="168" fontId="11" fillId="0" borderId="4" xfId="0" applyNumberFormat="1" applyFont="1" applyBorder="1"/>
    <xf numFmtId="168" fontId="11" fillId="0" borderId="2" xfId="0" applyNumberFormat="1" applyFont="1" applyBorder="1"/>
    <xf numFmtId="168" fontId="9" fillId="0" borderId="2" xfId="0" applyNumberFormat="1" applyFont="1" applyBorder="1"/>
    <xf numFmtId="0" fontId="38" fillId="0" borderId="4" xfId="0" applyFont="1" applyBorder="1"/>
    <xf numFmtId="0" fontId="38" fillId="0" borderId="2" xfId="0" applyFont="1" applyBorder="1"/>
    <xf numFmtId="0" fontId="54" fillId="0" borderId="2" xfId="0" applyFont="1" applyBorder="1"/>
    <xf numFmtId="0" fontId="38" fillId="0" borderId="4" xfId="0" applyFont="1" applyBorder="1" applyAlignment="1">
      <alignment horizontal="right"/>
    </xf>
    <xf numFmtId="178" fontId="9" fillId="0" borderId="2" xfId="1" applyNumberFormat="1" applyFont="1" applyBorder="1" applyAlignment="1">
      <alignment horizontal="right"/>
    </xf>
    <xf numFmtId="0" fontId="38" fillId="2" borderId="0" xfId="0" applyFont="1" applyFill="1"/>
    <xf numFmtId="0" fontId="38" fillId="14" borderId="0" xfId="0" applyFont="1" applyFill="1" applyAlignment="1">
      <alignment horizontal="right"/>
    </xf>
    <xf numFmtId="0" fontId="38" fillId="8" borderId="0" xfId="0" applyFont="1" applyFill="1" applyAlignment="1">
      <alignment horizontal="right"/>
    </xf>
    <xf numFmtId="0" fontId="38" fillId="15" borderId="0" xfId="0" applyFont="1" applyFill="1" applyAlignment="1">
      <alignment horizontal="right"/>
    </xf>
    <xf numFmtId="0" fontId="9" fillId="8" borderId="0" xfId="0" applyFont="1" applyFill="1"/>
    <xf numFmtId="169" fontId="7" fillId="0" borderId="3" xfId="0" applyNumberFormat="1" applyFont="1" applyBorder="1"/>
    <xf numFmtId="169" fontId="7" fillId="0" borderId="2" xfId="0" applyNumberFormat="1" applyFont="1" applyBorder="1"/>
    <xf numFmtId="169" fontId="9" fillId="0" borderId="2" xfId="0" applyNumberFormat="1" applyFont="1" applyBorder="1"/>
    <xf numFmtId="169" fontId="38" fillId="0" borderId="2" xfId="0" applyNumberFormat="1" applyFont="1" applyBorder="1"/>
    <xf numFmtId="0" fontId="9" fillId="0" borderId="2" xfId="0" applyFont="1" applyBorder="1" applyAlignment="1">
      <alignment horizontal="right"/>
    </xf>
    <xf numFmtId="170" fontId="7" fillId="0" borderId="2" xfId="0" applyNumberFormat="1" applyFont="1" applyBorder="1"/>
    <xf numFmtId="3" fontId="7" fillId="0" borderId="3" xfId="0" applyNumberFormat="1" applyFont="1" applyBorder="1"/>
    <xf numFmtId="0" fontId="77" fillId="0" borderId="0" xfId="0" applyFont="1"/>
    <xf numFmtId="168" fontId="42" fillId="0" borderId="2" xfId="0" applyNumberFormat="1" applyFont="1" applyBorder="1"/>
    <xf numFmtId="0" fontId="25" fillId="0" borderId="5" xfId="0" applyFont="1" applyBorder="1"/>
    <xf numFmtId="0" fontId="29" fillId="0" borderId="2" xfId="0" applyFont="1" applyBorder="1"/>
    <xf numFmtId="0" fontId="52" fillId="10" borderId="6" xfId="0" applyFont="1" applyFill="1" applyBorder="1"/>
    <xf numFmtId="0" fontId="25" fillId="10" borderId="6" xfId="0" applyFont="1" applyFill="1" applyBorder="1"/>
    <xf numFmtId="0" fontId="17" fillId="0" borderId="4" xfId="0" applyFont="1" applyBorder="1"/>
    <xf numFmtId="0" fontId="10" fillId="0" borderId="0" xfId="0" applyFont="1" applyAlignment="1">
      <alignment vertical="top"/>
    </xf>
    <xf numFmtId="170" fontId="7" fillId="0" borderId="2" xfId="0" applyNumberFormat="1" applyFont="1" applyBorder="1" applyAlignment="1">
      <alignment horizontal="right"/>
    </xf>
    <xf numFmtId="0" fontId="38" fillId="0" borderId="0" xfId="0" applyFont="1" applyAlignment="1">
      <alignment horizontal="right"/>
    </xf>
    <xf numFmtId="0" fontId="38" fillId="12" borderId="0" xfId="0" applyFont="1" applyFill="1" applyAlignment="1">
      <alignment horizontal="right"/>
    </xf>
    <xf numFmtId="0" fontId="41" fillId="0" borderId="3" xfId="0" applyFont="1" applyBorder="1"/>
    <xf numFmtId="3" fontId="42" fillId="0" borderId="0" xfId="0" applyNumberFormat="1" applyFont="1"/>
    <xf numFmtId="0" fontId="9" fillId="0" borderId="0" xfId="0" applyFont="1" applyAlignment="1">
      <alignment vertical="center" wrapText="1"/>
    </xf>
    <xf numFmtId="177" fontId="0" fillId="0" borderId="0" xfId="0" applyNumberFormat="1"/>
    <xf numFmtId="0" fontId="79" fillId="0" borderId="0" xfId="0" applyFont="1"/>
    <xf numFmtId="177" fontId="79" fillId="0" borderId="0" xfId="0" applyNumberFormat="1" applyFont="1"/>
    <xf numFmtId="0" fontId="34" fillId="17" borderId="0" xfId="0" applyFont="1" applyFill="1"/>
    <xf numFmtId="0" fontId="80" fillId="0" borderId="0" xfId="0" applyFont="1" applyAlignment="1">
      <alignment horizontal="left"/>
    </xf>
    <xf numFmtId="168" fontId="7" fillId="0" borderId="2" xfId="0" applyNumberFormat="1" applyFont="1" applyBorder="1"/>
    <xf numFmtId="168" fontId="7" fillId="0" borderId="0" xfId="0" applyNumberFormat="1" applyFont="1"/>
    <xf numFmtId="0" fontId="38" fillId="14" borderId="0" xfId="0" applyFont="1" applyFill="1"/>
    <xf numFmtId="0" fontId="9" fillId="14" borderId="0" xfId="0" applyFont="1" applyFill="1"/>
    <xf numFmtId="0" fontId="38" fillId="15" borderId="0" xfId="0" applyFont="1" applyFill="1"/>
    <xf numFmtId="0" fontId="9" fillId="15" borderId="0" xfId="0" applyFont="1" applyFill="1"/>
    <xf numFmtId="164" fontId="7" fillId="0" borderId="5" xfId="0" applyNumberFormat="1" applyFont="1" applyBorder="1"/>
    <xf numFmtId="0" fontId="76" fillId="0" borderId="12" xfId="0" applyFont="1" applyBorder="1" applyAlignment="1">
      <alignment horizontal="left" wrapText="1"/>
    </xf>
    <xf numFmtId="0" fontId="9" fillId="0" borderId="0" xfId="0" applyFont="1" applyAlignment="1">
      <alignment horizontal="left" vertical="center" wrapText="1"/>
    </xf>
    <xf numFmtId="0" fontId="43" fillId="0" borderId="0" xfId="0" applyFont="1" applyAlignment="1">
      <alignment horizontal="left" vertical="center" wrapText="1"/>
    </xf>
    <xf numFmtId="0" fontId="38" fillId="17" borderId="0" xfId="0" applyFont="1" applyFill="1" applyAlignment="1">
      <alignment horizontal="left" vertical="center" wrapText="1"/>
    </xf>
    <xf numFmtId="0" fontId="38" fillId="17" borderId="0" xfId="0" applyFont="1" applyFill="1" applyAlignment="1">
      <alignment horizontal="right" vertical="center" wrapText="1"/>
    </xf>
    <xf numFmtId="0" fontId="10" fillId="0" borderId="0" xfId="0" applyFont="1" applyAlignment="1">
      <alignment horizontal="left" vertical="center" wrapText="1"/>
    </xf>
    <xf numFmtId="0" fontId="10" fillId="0" borderId="0" xfId="0" applyFont="1" applyAlignment="1">
      <alignment horizontal="left"/>
    </xf>
    <xf numFmtId="0" fontId="10" fillId="0" borderId="0" xfId="0" applyFont="1" applyAlignment="1">
      <alignment vertical="top" wrapText="1"/>
    </xf>
    <xf numFmtId="0" fontId="10" fillId="0" borderId="0" xfId="0" applyFont="1" applyAlignment="1">
      <alignment vertical="top"/>
    </xf>
    <xf numFmtId="0" fontId="13" fillId="0" borderId="0" xfId="0" applyFont="1" applyAlignment="1">
      <alignment vertical="center" wrapText="1"/>
    </xf>
    <xf numFmtId="0" fontId="15" fillId="13" borderId="0" xfId="0" applyFont="1" applyFill="1" applyAlignment="1">
      <alignment horizontal="left" vertical="center" wrapText="1"/>
    </xf>
    <xf numFmtId="0" fontId="15" fillId="13" borderId="0" xfId="0" applyFont="1" applyFill="1" applyAlignment="1">
      <alignment horizontal="left" vertical="center"/>
    </xf>
    <xf numFmtId="0" fontId="13" fillId="0" borderId="0" xfId="0" applyFont="1" applyAlignment="1">
      <alignment horizontal="left" vertical="center" wrapText="1"/>
    </xf>
    <xf numFmtId="0" fontId="8" fillId="0" borderId="0" xfId="0" applyFont="1" applyAlignment="1">
      <alignment horizontal="left" vertical="center" wrapText="1"/>
    </xf>
    <xf numFmtId="0" fontId="10" fillId="0" borderId="0" xfId="0" applyFont="1" applyAlignment="1">
      <alignment vertical="center" wrapText="1"/>
    </xf>
    <xf numFmtId="0" fontId="9" fillId="0" borderId="40" xfId="0" applyFont="1" applyBorder="1" applyAlignment="1">
      <alignment horizontal="left" vertical="center" wrapText="1"/>
    </xf>
    <xf numFmtId="169" fontId="6" fillId="0" borderId="3" xfId="0" applyNumberFormat="1" applyFont="1" applyBorder="1"/>
    <xf numFmtId="169" fontId="6" fillId="0" borderId="2" xfId="0" applyNumberFormat="1" applyFont="1" applyBorder="1"/>
    <xf numFmtId="169" fontId="40" fillId="16" borderId="2" xfId="0" applyNumberFormat="1" applyFont="1" applyFill="1" applyBorder="1"/>
    <xf numFmtId="169" fontId="5" fillId="0" borderId="2" xfId="0" applyNumberFormat="1" applyFont="1" applyBorder="1"/>
    <xf numFmtId="168" fontId="6" fillId="0" borderId="2" xfId="0" applyNumberFormat="1" applyFont="1" applyBorder="1"/>
    <xf numFmtId="3" fontId="16" fillId="12" borderId="37" xfId="1" applyNumberFormat="1" applyFont="1" applyFill="1" applyBorder="1" applyAlignment="1">
      <alignment horizontal="right"/>
    </xf>
    <xf numFmtId="175" fontId="6" fillId="0" borderId="2" xfId="0" applyNumberFormat="1" applyFont="1" applyBorder="1" applyAlignment="1">
      <alignment horizontal="right"/>
    </xf>
    <xf numFmtId="175" fontId="6" fillId="0" borderId="15" xfId="0" applyNumberFormat="1" applyFont="1" applyBorder="1" applyAlignment="1">
      <alignment horizontal="right"/>
    </xf>
    <xf numFmtId="175" fontId="6" fillId="0" borderId="6" xfId="0" applyNumberFormat="1" applyFont="1" applyBorder="1" applyAlignment="1">
      <alignment horizontal="right"/>
    </xf>
    <xf numFmtId="175" fontId="6" fillId="0" borderId="17" xfId="0" applyNumberFormat="1" applyFont="1" applyBorder="1" applyAlignment="1">
      <alignment horizontal="right"/>
    </xf>
    <xf numFmtId="175" fontId="5" fillId="0" borderId="19" xfId="0" applyNumberFormat="1" applyFont="1" applyBorder="1" applyAlignment="1">
      <alignment horizontal="right"/>
    </xf>
    <xf numFmtId="175" fontId="5" fillId="0" borderId="20" xfId="0" applyNumberFormat="1" applyFont="1" applyBorder="1" applyAlignment="1">
      <alignment horizontal="right"/>
    </xf>
    <xf numFmtId="176" fontId="6" fillId="0" borderId="2" xfId="0" applyNumberFormat="1" applyFont="1" applyBorder="1" applyAlignment="1">
      <alignment horizontal="right"/>
    </xf>
    <xf numFmtId="176" fontId="6" fillId="0" borderId="15" xfId="0" applyNumberFormat="1" applyFont="1" applyBorder="1" applyAlignment="1">
      <alignment horizontal="right"/>
    </xf>
    <xf numFmtId="176" fontId="6" fillId="0" borderId="6" xfId="0" applyNumberFormat="1" applyFont="1" applyBorder="1" applyAlignment="1">
      <alignment horizontal="right"/>
    </xf>
    <xf numFmtId="176" fontId="6" fillId="0" borderId="17" xfId="0" applyNumberFormat="1" applyFont="1" applyBorder="1" applyAlignment="1">
      <alignment horizontal="right"/>
    </xf>
    <xf numFmtId="176" fontId="5" fillId="6" borderId="27" xfId="0" applyNumberFormat="1" applyFont="1" applyFill="1" applyBorder="1" applyAlignment="1">
      <alignment horizontal="right"/>
    </xf>
    <xf numFmtId="176" fontId="5" fillId="6" borderId="28" xfId="0" applyNumberFormat="1" applyFont="1" applyFill="1" applyBorder="1" applyAlignment="1">
      <alignment horizontal="right"/>
    </xf>
    <xf numFmtId="168" fontId="8" fillId="0" borderId="24" xfId="0" applyNumberFormat="1" applyFont="1" applyBorder="1" applyAlignment="1">
      <alignment horizontal="right"/>
    </xf>
    <xf numFmtId="168" fontId="8" fillId="0" borderId="25" xfId="0" applyNumberFormat="1" applyFont="1" applyBorder="1" applyAlignment="1">
      <alignment horizontal="right"/>
    </xf>
    <xf numFmtId="164" fontId="18" fillId="0" borderId="2" xfId="0" applyNumberFormat="1" applyFont="1" applyBorder="1" applyAlignment="1">
      <alignment horizontal="right"/>
    </xf>
    <xf numFmtId="3" fontId="7" fillId="0" borderId="2" xfId="0" applyNumberFormat="1" applyFont="1" applyBorder="1" applyAlignment="1">
      <alignment horizontal="right"/>
    </xf>
    <xf numFmtId="177" fontId="8" fillId="0" borderId="3" xfId="0" applyNumberFormat="1" applyFont="1" applyBorder="1" applyAlignment="1">
      <alignment horizontal="right"/>
    </xf>
    <xf numFmtId="164" fontId="7" fillId="0" borderId="2" xfId="0" applyNumberFormat="1" applyFont="1" applyBorder="1" applyAlignment="1">
      <alignment horizontal="right"/>
    </xf>
    <xf numFmtId="174" fontId="6" fillId="0" borderId="2" xfId="0" applyNumberFormat="1" applyFont="1" applyBorder="1"/>
    <xf numFmtId="3" fontId="6" fillId="0" borderId="0" xfId="0" applyNumberFormat="1" applyFont="1" applyAlignment="1">
      <alignment horizontal="right"/>
    </xf>
    <xf numFmtId="3" fontId="5" fillId="12" borderId="0" xfId="0" applyNumberFormat="1" applyFont="1" applyFill="1"/>
    <xf numFmtId="169" fontId="6" fillId="0" borderId="31" xfId="0" applyNumberFormat="1" applyFont="1" applyBorder="1"/>
    <xf numFmtId="177" fontId="6" fillId="0" borderId="36" xfId="0" applyNumberFormat="1" applyFont="1" applyBorder="1"/>
    <xf numFmtId="177" fontId="6" fillId="0" borderId="31" xfId="0" applyNumberFormat="1" applyFont="1" applyBorder="1"/>
    <xf numFmtId="164" fontId="7" fillId="0" borderId="0" xfId="0" applyNumberFormat="1" applyFont="1"/>
    <xf numFmtId="164" fontId="7" fillId="0" borderId="31" xfId="0" applyNumberFormat="1" applyFont="1" applyBorder="1"/>
    <xf numFmtId="3" fontId="5" fillId="12" borderId="2" xfId="0" applyNumberFormat="1" applyFont="1" applyFill="1" applyBorder="1"/>
    <xf numFmtId="164" fontId="5" fillId="12" borderId="2" xfId="0" applyNumberFormat="1" applyFont="1" applyFill="1" applyBorder="1"/>
    <xf numFmtId="0" fontId="11" fillId="0" borderId="31" xfId="0" applyFont="1" applyBorder="1"/>
    <xf numFmtId="165" fontId="5" fillId="12" borderId="39" xfId="0" applyNumberFormat="1" applyFont="1" applyFill="1" applyBorder="1"/>
    <xf numFmtId="165" fontId="5" fillId="12" borderId="2" xfId="0" applyNumberFormat="1" applyFont="1" applyFill="1" applyBorder="1"/>
    <xf numFmtId="164" fontId="6" fillId="0" borderId="0" xfId="0" applyNumberFormat="1" applyFont="1"/>
    <xf numFmtId="164" fontId="6" fillId="0" borderId="36" xfId="0" applyNumberFormat="1" applyFont="1" applyBorder="1"/>
    <xf numFmtId="166" fontId="46" fillId="0" borderId="0" xfId="1" applyNumberFormat="1" applyFont="1"/>
    <xf numFmtId="164" fontId="5" fillId="0" borderId="5" xfId="0" applyNumberFormat="1" applyFont="1" applyBorder="1"/>
    <xf numFmtId="164" fontId="6" fillId="0" borderId="4" xfId="0" applyNumberFormat="1" applyFont="1" applyBorder="1"/>
    <xf numFmtId="168" fontId="66" fillId="13" borderId="2" xfId="0" applyNumberFormat="1" applyFont="1" applyFill="1" applyBorder="1" applyAlignment="1">
      <alignment horizontal="right"/>
    </xf>
    <xf numFmtId="168" fontId="66" fillId="13" borderId="2" xfId="0" applyNumberFormat="1" applyFont="1" applyFill="1" applyBorder="1" applyAlignment="1">
      <alignment horizontal="left"/>
    </xf>
    <xf numFmtId="169" fontId="6" fillId="0" borderId="2" xfId="0" applyNumberFormat="1" applyFont="1" applyBorder="1" applyAlignment="1">
      <alignment horizontal="right"/>
    </xf>
    <xf numFmtId="168" fontId="66" fillId="8" borderId="0" xfId="0" applyNumberFormat="1" applyFont="1" applyFill="1"/>
    <xf numFmtId="169" fontId="6" fillId="0" borderId="0" xfId="0" applyNumberFormat="1" applyFont="1" applyAlignment="1">
      <alignment horizontal="right"/>
    </xf>
    <xf numFmtId="170" fontId="66" fillId="13" borderId="2" xfId="0" applyNumberFormat="1" applyFont="1" applyFill="1" applyBorder="1" applyAlignment="1">
      <alignment horizontal="right"/>
    </xf>
    <xf numFmtId="169" fontId="5" fillId="0" borderId="2" xfId="0" applyNumberFormat="1" applyFont="1" applyBorder="1" applyAlignment="1">
      <alignment horizontal="right"/>
    </xf>
    <xf numFmtId="165" fontId="7" fillId="6" borderId="0" xfId="0" applyNumberFormat="1" applyFont="1" applyFill="1"/>
    <xf numFmtId="165" fontId="6" fillId="6" borderId="0" xfId="0" applyNumberFormat="1" applyFont="1" applyFill="1"/>
    <xf numFmtId="164" fontId="7" fillId="6" borderId="0" xfId="0" applyNumberFormat="1" applyFont="1" applyFill="1"/>
    <xf numFmtId="168" fontId="7" fillId="6" borderId="0" xfId="0" applyNumberFormat="1" applyFont="1" applyFill="1"/>
    <xf numFmtId="168" fontId="6" fillId="6" borderId="0" xfId="0" applyNumberFormat="1" applyFont="1" applyFill="1"/>
    <xf numFmtId="170" fontId="6" fillId="6" borderId="0" xfId="0" applyNumberFormat="1" applyFont="1" applyFill="1"/>
    <xf numFmtId="165" fontId="5" fillId="0" borderId="4" xfId="0" applyNumberFormat="1" applyFont="1" applyBorder="1"/>
    <xf numFmtId="168" fontId="6" fillId="0" borderId="4" xfId="0" applyNumberFormat="1" applyFont="1" applyBorder="1"/>
    <xf numFmtId="170" fontId="6" fillId="0" borderId="4" xfId="0" applyNumberFormat="1" applyFont="1" applyBorder="1"/>
    <xf numFmtId="165" fontId="5" fillId="0" borderId="2" xfId="0" applyNumberFormat="1" applyFont="1" applyBorder="1"/>
    <xf numFmtId="170" fontId="6" fillId="0" borderId="2" xfId="0" applyNumberFormat="1" applyFont="1" applyBorder="1"/>
    <xf numFmtId="168" fontId="5" fillId="0" borderId="4" xfId="0" applyNumberFormat="1" applyFont="1" applyBorder="1"/>
    <xf numFmtId="170" fontId="5" fillId="0" borderId="4" xfId="0" applyNumberFormat="1" applyFont="1" applyBorder="1"/>
    <xf numFmtId="168" fontId="5" fillId="0" borderId="2" xfId="0" applyNumberFormat="1" applyFont="1" applyBorder="1"/>
    <xf numFmtId="170" fontId="5" fillId="0" borderId="2" xfId="0" applyNumberFormat="1" applyFont="1" applyBorder="1"/>
    <xf numFmtId="178" fontId="6" fillId="0" borderId="2" xfId="1" applyNumberFormat="1" applyFont="1" applyBorder="1" applyAlignment="1">
      <alignment horizontal="right"/>
    </xf>
    <xf numFmtId="178" fontId="7" fillId="0" borderId="2" xfId="1" applyNumberFormat="1" applyFont="1" applyBorder="1" applyAlignment="1">
      <alignment horizontal="right"/>
    </xf>
    <xf numFmtId="168" fontId="6" fillId="0" borderId="2" xfId="0" applyNumberFormat="1" applyFont="1" applyBorder="1" applyAlignment="1">
      <alignment horizontal="right"/>
    </xf>
    <xf numFmtId="3" fontId="6" fillId="0" borderId="3" xfId="0" applyNumberFormat="1" applyFont="1" applyBorder="1"/>
    <xf numFmtId="3" fontId="5" fillId="0" borderId="2" xfId="0" applyNumberFormat="1" applyFont="1" applyBorder="1"/>
    <xf numFmtId="3" fontId="6" fillId="0" borderId="2" xfId="0" applyNumberFormat="1" applyFont="1" applyBorder="1"/>
    <xf numFmtId="0" fontId="11" fillId="0" borderId="2" xfId="0" applyFont="1" applyBorder="1"/>
    <xf numFmtId="173" fontId="6" fillId="0" borderId="2" xfId="0" applyNumberFormat="1" applyFont="1" applyBorder="1"/>
    <xf numFmtId="169" fontId="5" fillId="6" borderId="2" xfId="0" applyNumberFormat="1" applyFont="1" applyFill="1" applyBorder="1"/>
    <xf numFmtId="169" fontId="5" fillId="16" borderId="2" xfId="0" applyNumberFormat="1" applyFont="1" applyFill="1" applyBorder="1"/>
    <xf numFmtId="177" fontId="81" fillId="0" borderId="0" xfId="0" applyNumberFormat="1" applyFont="1"/>
    <xf numFmtId="177" fontId="46" fillId="0" borderId="0" xfId="0" applyNumberFormat="1" applyFont="1"/>
    <xf numFmtId="0" fontId="82" fillId="0" borderId="0" xfId="0" applyFont="1"/>
    <xf numFmtId="177" fontId="82" fillId="18" borderId="0" xfId="0" applyNumberFormat="1" applyFont="1" applyFill="1"/>
    <xf numFmtId="177" fontId="82" fillId="0" borderId="0" xfId="0" applyNumberFormat="1" applyFont="1"/>
    <xf numFmtId="164" fontId="60" fillId="9" borderId="0" xfId="0" applyNumberFormat="1" applyFont="1" applyFill="1" applyAlignment="1">
      <alignment horizontal="right"/>
    </xf>
    <xf numFmtId="164" fontId="60" fillId="5" borderId="2" xfId="0" applyNumberFormat="1" applyFont="1" applyFill="1" applyBorder="1"/>
    <xf numFmtId="0" fontId="0" fillId="0" borderId="0" xfId="0" applyAlignment="1">
      <alignment vertical="top" wrapText="1"/>
    </xf>
    <xf numFmtId="0" fontId="9" fillId="0" borderId="0" xfId="0" applyFont="1" applyAlignment="1">
      <alignment vertical="top" wrapText="1"/>
    </xf>
    <xf numFmtId="168" fontId="59" fillId="0" borderId="2" xfId="0" applyNumberFormat="1" applyFont="1" applyBorder="1" applyAlignment="1">
      <alignment horizontal="right"/>
    </xf>
    <xf numFmtId="168" fontId="32" fillId="2" borderId="2" xfId="0" applyNumberFormat="1" applyFont="1" applyFill="1" applyBorder="1" applyAlignment="1">
      <alignment horizontal="right"/>
    </xf>
    <xf numFmtId="168" fontId="17" fillId="0" borderId="0" xfId="0" applyNumberFormat="1" applyFont="1"/>
    <xf numFmtId="168" fontId="0" fillId="0" borderId="0" xfId="0" applyNumberFormat="1"/>
    <xf numFmtId="168" fontId="21" fillId="0" borderId="0" xfId="0" applyNumberFormat="1" applyFont="1" applyAlignment="1">
      <alignment horizontal="right"/>
    </xf>
    <xf numFmtId="168" fontId="13" fillId="0" borderId="0" xfId="0" applyNumberFormat="1" applyFont="1" applyAlignment="1">
      <alignment vertical="center" wrapText="1"/>
    </xf>
    <xf numFmtId="168" fontId="21" fillId="0" borderId="2" xfId="0" applyNumberFormat="1" applyFont="1" applyBorder="1" applyAlignment="1">
      <alignment horizontal="right"/>
    </xf>
    <xf numFmtId="168" fontId="42" fillId="0" borderId="2" xfId="0" applyNumberFormat="1" applyFont="1" applyBorder="1" applyAlignment="1">
      <alignment horizontal="right"/>
    </xf>
    <xf numFmtId="168" fontId="21" fillId="0" borderId="5" xfId="1" applyNumberFormat="1" applyFont="1" applyBorder="1" applyAlignment="1">
      <alignment horizontal="right"/>
    </xf>
    <xf numFmtId="168" fontId="15" fillId="0" borderId="5" xfId="1" applyNumberFormat="1" applyFont="1" applyBorder="1" applyAlignment="1">
      <alignment horizontal="right"/>
    </xf>
    <xf numFmtId="168" fontId="10" fillId="0" borderId="0" xfId="0" applyNumberFormat="1" applyFont="1"/>
    <xf numFmtId="168" fontId="21" fillId="0" borderId="0" xfId="1" applyNumberFormat="1" applyFont="1" applyAlignment="1">
      <alignment horizontal="right"/>
    </xf>
    <xf numFmtId="168" fontId="15" fillId="0" borderId="0" xfId="1" applyNumberFormat="1" applyFont="1" applyAlignment="1">
      <alignment horizontal="right"/>
    </xf>
    <xf numFmtId="168" fontId="28" fillId="12" borderId="38" xfId="1" applyNumberFormat="1" applyFont="1" applyFill="1" applyBorder="1" applyAlignment="1">
      <alignment horizontal="right"/>
    </xf>
    <xf numFmtId="168" fontId="24" fillId="0" borderId="5" xfId="1" applyNumberFormat="1" applyFont="1" applyBorder="1"/>
    <xf numFmtId="168" fontId="15" fillId="0" borderId="2" xfId="0" applyNumberFormat="1" applyFont="1" applyBorder="1"/>
    <xf numFmtId="168" fontId="15" fillId="0" borderId="2" xfId="0" applyNumberFormat="1" applyFont="1" applyBorder="1" applyAlignment="1">
      <alignment horizontal="right"/>
    </xf>
    <xf numFmtId="168" fontId="24" fillId="0" borderId="2" xfId="0" applyNumberFormat="1" applyFont="1" applyBorder="1"/>
    <xf numFmtId="168" fontId="20" fillId="0" borderId="5" xfId="0" applyNumberFormat="1" applyFont="1" applyBorder="1"/>
    <xf numFmtId="168" fontId="10" fillId="0" borderId="0" xfId="0" applyNumberFormat="1" applyFont="1" applyAlignment="1">
      <alignment horizontal="left" wrapText="1"/>
    </xf>
    <xf numFmtId="168" fontId="21" fillId="0" borderId="5" xfId="0" applyNumberFormat="1" applyFont="1" applyBorder="1" applyAlignment="1">
      <alignment horizontal="right"/>
    </xf>
    <xf numFmtId="168" fontId="4" fillId="0" borderId="5" xfId="0" applyNumberFormat="1" applyFont="1" applyBorder="1"/>
    <xf numFmtId="168" fontId="4" fillId="0" borderId="5" xfId="0" applyNumberFormat="1" applyFont="1" applyBorder="1" applyAlignment="1">
      <alignment horizontal="right"/>
    </xf>
    <xf numFmtId="168" fontId="20" fillId="0" borderId="2" xfId="0" applyNumberFormat="1" applyFont="1" applyBorder="1"/>
    <xf numFmtId="168" fontId="18" fillId="0" borderId="0" xfId="0" applyNumberFormat="1" applyFont="1"/>
    <xf numFmtId="168" fontId="18" fillId="0" borderId="2" xfId="0" applyNumberFormat="1" applyFont="1" applyBorder="1"/>
    <xf numFmtId="168" fontId="18" fillId="0" borderId="2" xfId="0" applyNumberFormat="1" applyFont="1" applyBorder="1" applyAlignment="1">
      <alignment horizontal="right"/>
    </xf>
    <xf numFmtId="168" fontId="11" fillId="0" borderId="31" xfId="2" applyNumberFormat="1" applyFont="1" applyBorder="1"/>
    <xf numFmtId="168" fontId="7" fillId="0" borderId="31" xfId="2" applyNumberFormat="1" applyFont="1" applyBorder="1"/>
    <xf numFmtId="168" fontId="13" fillId="0" borderId="0" xfId="0" applyNumberFormat="1" applyFont="1" applyAlignment="1">
      <alignment horizontal="left" vertical="center" wrapText="1"/>
    </xf>
    <xf numFmtId="168" fontId="8" fillId="0" borderId="30" xfId="2" applyNumberFormat="1" applyFont="1" applyBorder="1"/>
    <xf numFmtId="168" fontId="13" fillId="0" borderId="0" xfId="0" applyNumberFormat="1" applyFont="1" applyAlignment="1">
      <alignment horizontal="left" vertical="center" wrapText="1"/>
    </xf>
    <xf numFmtId="168" fontId="11" fillId="0" borderId="31" xfId="0" applyNumberFormat="1" applyFont="1" applyBorder="1" applyAlignment="1">
      <alignment horizontal="right"/>
    </xf>
    <xf numFmtId="168" fontId="7" fillId="0" borderId="31" xfId="0" applyNumberFormat="1" applyFont="1" applyBorder="1" applyAlignment="1">
      <alignment horizontal="right"/>
    </xf>
    <xf numFmtId="168" fontId="6" fillId="0" borderId="31" xfId="0" applyNumberFormat="1" applyFont="1" applyBorder="1"/>
    <xf numFmtId="168" fontId="9" fillId="0" borderId="29" xfId="0" applyNumberFormat="1" applyFont="1" applyBorder="1"/>
    <xf numFmtId="168" fontId="8" fillId="0" borderId="29" xfId="0" applyNumberFormat="1" applyFont="1" applyBorder="1"/>
    <xf numFmtId="168" fontId="13" fillId="0" borderId="0" xfId="0" applyNumberFormat="1" applyFont="1"/>
    <xf numFmtId="168" fontId="8" fillId="0" borderId="31" xfId="0" applyNumberFormat="1" applyFont="1" applyBorder="1"/>
    <xf numFmtId="168" fontId="10" fillId="0" borderId="2" xfId="0" applyNumberFormat="1" applyFont="1" applyBorder="1"/>
    <xf numFmtId="168" fontId="10" fillId="0" borderId="30" xfId="0" applyNumberFormat="1" applyFont="1" applyBorder="1"/>
    <xf numFmtId="168" fontId="8" fillId="0" borderId="30" xfId="0" applyNumberFormat="1" applyFont="1" applyBorder="1"/>
    <xf numFmtId="168" fontId="6" fillId="0" borderId="29" xfId="0" applyNumberFormat="1" applyFont="1" applyBorder="1"/>
    <xf numFmtId="168" fontId="12" fillId="0" borderId="3" xfId="0" applyNumberFormat="1" applyFont="1" applyBorder="1"/>
    <xf numFmtId="168" fontId="9" fillId="0" borderId="3" xfId="0" applyNumberFormat="1" applyFont="1" applyBorder="1"/>
    <xf numFmtId="168" fontId="9" fillId="0" borderId="0" xfId="0" applyNumberFormat="1" applyFont="1"/>
    <xf numFmtId="168" fontId="10" fillId="0" borderId="0" xfId="0" applyNumberFormat="1" applyFont="1" applyAlignment="1">
      <alignment horizontal="left" vertical="center" wrapText="1"/>
    </xf>
    <xf numFmtId="168" fontId="12" fillId="0" borderId="2" xfId="0" applyNumberFormat="1" applyFont="1" applyBorder="1"/>
    <xf numFmtId="168" fontId="39" fillId="0" borderId="2" xfId="0" applyNumberFormat="1" applyFont="1" applyBorder="1"/>
    <xf numFmtId="168" fontId="10" fillId="0" borderId="0" xfId="0" applyNumberFormat="1" applyFont="1" applyAlignment="1">
      <alignment vertical="center" wrapText="1"/>
    </xf>
    <xf numFmtId="168" fontId="78" fillId="0" borderId="3" xfId="0" applyNumberFormat="1" applyFont="1" applyBorder="1"/>
    <xf numFmtId="168" fontId="8" fillId="0" borderId="2" xfId="0" applyNumberFormat="1" applyFont="1" applyBorder="1"/>
    <xf numFmtId="168" fontId="7" fillId="0" borderId="3" xfId="0" applyNumberFormat="1" applyFont="1" applyBorder="1"/>
    <xf numFmtId="168" fontId="42" fillId="0" borderId="3" xfId="0" applyNumberFormat="1" applyFont="1" applyBorder="1"/>
    <xf numFmtId="0" fontId="6" fillId="0" borderId="0" xfId="0" applyFont="1" applyAlignment="1">
      <alignment vertical="top" wrapText="1"/>
    </xf>
    <xf numFmtId="169" fontId="7" fillId="0" borderId="0" xfId="0" applyNumberFormat="1" applyFont="1" applyAlignment="1">
      <alignment horizontal="left"/>
    </xf>
    <xf numFmtId="169" fontId="7" fillId="0" borderId="12" xfId="0" applyNumberFormat="1" applyFont="1" applyBorder="1" applyAlignment="1">
      <alignment horizontal="left"/>
    </xf>
    <xf numFmtId="169" fontId="7" fillId="0" borderId="11" xfId="0" applyNumberFormat="1" applyFont="1" applyBorder="1" applyAlignment="1">
      <alignment horizontal="left"/>
    </xf>
    <xf numFmtId="10" fontId="7" fillId="0" borderId="12" xfId="0" applyNumberFormat="1" applyFont="1" applyBorder="1" applyAlignment="1">
      <alignment horizontal="left"/>
    </xf>
    <xf numFmtId="170" fontId="7" fillId="0" borderId="12" xfId="0" applyNumberFormat="1" applyFont="1" applyBorder="1" applyAlignment="1">
      <alignment horizontal="left"/>
    </xf>
    <xf numFmtId="168" fontId="7" fillId="0" borderId="12" xfId="2" applyNumberFormat="1" applyFont="1" applyBorder="1" applyAlignment="1">
      <alignment horizontal="left"/>
    </xf>
    <xf numFmtId="177" fontId="7" fillId="0" borderId="12" xfId="0" applyNumberFormat="1" applyFont="1" applyBorder="1" applyAlignment="1">
      <alignment horizontal="left"/>
    </xf>
    <xf numFmtId="165" fontId="7" fillId="0" borderId="11" xfId="0" applyNumberFormat="1" applyFont="1" applyBorder="1" applyAlignment="1">
      <alignment horizontal="left"/>
    </xf>
    <xf numFmtId="0" fontId="11" fillId="0" borderId="0" xfId="0" applyFont="1" applyAlignment="1">
      <alignment horizontal="left" vertical="top" wrapText="1"/>
    </xf>
    <xf numFmtId="0" fontId="5" fillId="19" borderId="0" xfId="0" applyFont="1" applyFill="1"/>
    <xf numFmtId="0" fontId="38" fillId="13" borderId="0" xfId="0" applyFont="1" applyFill="1" applyAlignment="1">
      <alignment horizontal="left" vertical="center"/>
    </xf>
    <xf numFmtId="0" fontId="9" fillId="13" borderId="0" xfId="0" applyFont="1" applyFill="1" applyAlignment="1">
      <alignment horizontal="left" vertical="center" wrapText="1"/>
    </xf>
    <xf numFmtId="0" fontId="9" fillId="13" borderId="0" xfId="0" applyFont="1" applyFill="1" applyAlignment="1">
      <alignment horizontal="left" vertical="center"/>
    </xf>
    <xf numFmtId="179" fontId="66" fillId="13" borderId="0" xfId="0" applyNumberFormat="1" applyFont="1" applyFill="1" applyAlignment="1">
      <alignment horizontal="left" vertical="center"/>
    </xf>
    <xf numFmtId="0" fontId="9" fillId="13" borderId="0" xfId="0" applyFont="1" applyFill="1"/>
    <xf numFmtId="0" fontId="38" fillId="13" borderId="0" xfId="0" applyFont="1" applyFill="1"/>
    <xf numFmtId="0" fontId="75" fillId="13" borderId="0" xfId="0" applyFont="1" applyFill="1"/>
    <xf numFmtId="0" fontId="75" fillId="0" borderId="2" xfId="0" quotePrefix="1" applyFont="1" applyBorder="1"/>
    <xf numFmtId="177" fontId="11" fillId="0" borderId="2" xfId="0" applyNumberFormat="1" applyFont="1" applyBorder="1"/>
    <xf numFmtId="169" fontId="11" fillId="0" borderId="2" xfId="0" applyNumberFormat="1" applyFont="1" applyBorder="1"/>
    <xf numFmtId="0" fontId="75" fillId="0" borderId="2" xfId="0" applyFont="1" applyBorder="1"/>
    <xf numFmtId="180" fontId="38" fillId="0" borderId="2" xfId="0" applyNumberFormat="1" applyFont="1" applyBorder="1"/>
    <xf numFmtId="0" fontId="75" fillId="0" borderId="5" xfId="0" quotePrefix="1" applyFont="1" applyBorder="1"/>
    <xf numFmtId="177" fontId="11" fillId="0" borderId="5" xfId="0" applyNumberFormat="1" applyFont="1" applyBorder="1"/>
    <xf numFmtId="0" fontId="38" fillId="17" borderId="10" xfId="0" applyFont="1" applyFill="1" applyBorder="1"/>
    <xf numFmtId="0" fontId="41" fillId="17" borderId="10" xfId="0" applyFont="1" applyFill="1" applyBorder="1"/>
    <xf numFmtId="0" fontId="38" fillId="14" borderId="10" xfId="0" applyFont="1" applyFill="1" applyBorder="1" applyAlignment="1">
      <alignment horizontal="right"/>
    </xf>
    <xf numFmtId="0" fontId="38" fillId="8" borderId="10" xfId="0" applyFont="1" applyFill="1" applyBorder="1" applyAlignment="1">
      <alignment horizontal="right"/>
    </xf>
    <xf numFmtId="0" fontId="38" fillId="15" borderId="10" xfId="0" applyFont="1" applyFill="1" applyBorder="1" applyAlignment="1">
      <alignment horizontal="right"/>
    </xf>
    <xf numFmtId="0" fontId="10" fillId="0" borderId="5" xfId="0" applyFont="1" applyBorder="1"/>
    <xf numFmtId="169" fontId="7" fillId="0" borderId="5" xfId="0" applyNumberFormat="1" applyFont="1" applyBorder="1"/>
    <xf numFmtId="0" fontId="83" fillId="17" borderId="10" xfId="0" applyFont="1" applyFill="1" applyBorder="1"/>
    <xf numFmtId="169" fontId="42" fillId="0" borderId="2" xfId="0" applyNumberFormat="1" applyFont="1" applyBorder="1"/>
    <xf numFmtId="0" fontId="41" fillId="8" borderId="0" xfId="0" applyFont="1" applyFill="1"/>
    <xf numFmtId="0" fontId="41" fillId="14" borderId="0" xfId="0" applyFont="1" applyFill="1" applyAlignment="1">
      <alignment horizontal="right"/>
    </xf>
    <xf numFmtId="0" fontId="41" fillId="8" borderId="0" xfId="0" applyFont="1" applyFill="1" applyAlignment="1">
      <alignment horizontal="right"/>
    </xf>
    <xf numFmtId="0" fontId="41" fillId="15" borderId="0" xfId="0" applyFont="1" applyFill="1" applyAlignment="1">
      <alignment horizontal="right"/>
    </xf>
    <xf numFmtId="0" fontId="9" fillId="0" borderId="0" xfId="0" applyFont="1" applyAlignment="1">
      <alignment horizontal="left" indent="1"/>
    </xf>
    <xf numFmtId="0" fontId="0" fillId="0" borderId="0" xfId="0"/>
    <xf numFmtId="0" fontId="84" fillId="17" borderId="0" xfId="0" applyFont="1" applyFill="1" applyAlignment="1">
      <alignment horizontal="center" vertical="center"/>
    </xf>
    <xf numFmtId="0" fontId="85" fillId="20" borderId="43" xfId="0" applyFont="1" applyFill="1" applyBorder="1" applyAlignment="1">
      <alignment horizontal="center" vertical="center"/>
    </xf>
    <xf numFmtId="0" fontId="86" fillId="21" borderId="48" xfId="0" applyFont="1" applyFill="1" applyBorder="1" applyAlignment="1">
      <alignment horizontal="center" vertical="center"/>
    </xf>
    <xf numFmtId="0" fontId="83" fillId="0" borderId="0" xfId="0" applyFont="1" applyAlignment="1">
      <alignment horizontal="center"/>
    </xf>
    <xf numFmtId="0" fontId="6" fillId="24" borderId="0" xfId="0" applyFont="1" applyFill="1" applyBorder="1" applyAlignment="1">
      <alignment horizontal="left" vertical="top" wrapText="1"/>
    </xf>
    <xf numFmtId="0" fontId="6" fillId="26" borderId="0" xfId="0" applyFont="1" applyFill="1" applyBorder="1" applyAlignment="1">
      <alignment horizontal="left" vertical="top" wrapText="1"/>
    </xf>
    <xf numFmtId="0" fontId="6" fillId="27" borderId="0" xfId="0" applyFont="1" applyFill="1" applyBorder="1" applyAlignment="1">
      <alignment horizontal="left" vertical="top" wrapText="1"/>
    </xf>
    <xf numFmtId="0" fontId="0" fillId="0" borderId="41" xfId="0" applyBorder="1"/>
    <xf numFmtId="0" fontId="6" fillId="24" borderId="42" xfId="0" applyFont="1" applyFill="1" applyBorder="1" applyAlignment="1">
      <alignment horizontal="left" vertical="top" wrapText="1"/>
    </xf>
    <xf numFmtId="0" fontId="6" fillId="24" borderId="44" xfId="0" applyFont="1" applyFill="1" applyBorder="1" applyAlignment="1">
      <alignment horizontal="left" vertical="top" wrapText="1"/>
    </xf>
    <xf numFmtId="0" fontId="6" fillId="24" borderId="45" xfId="0" applyFont="1" applyFill="1" applyBorder="1" applyAlignment="1">
      <alignment horizontal="left" vertical="top" wrapText="1"/>
    </xf>
    <xf numFmtId="0" fontId="6" fillId="25" borderId="0" xfId="0" applyFont="1" applyFill="1" applyBorder="1" applyAlignment="1">
      <alignment horizontal="left" vertical="top" wrapText="1"/>
    </xf>
    <xf numFmtId="0" fontId="0" fillId="0" borderId="46" xfId="0" applyBorder="1"/>
    <xf numFmtId="0" fontId="6" fillId="25" borderId="47" xfId="0" applyFont="1" applyFill="1" applyBorder="1" applyAlignment="1">
      <alignment horizontal="left" vertical="top" wrapText="1"/>
    </xf>
    <xf numFmtId="0" fontId="6" fillId="25" borderId="49" xfId="0" applyFont="1" applyFill="1" applyBorder="1" applyAlignment="1">
      <alignment horizontal="left" vertical="top" wrapText="1"/>
    </xf>
    <xf numFmtId="0" fontId="6" fillId="25" borderId="50" xfId="0" applyFont="1" applyFill="1" applyBorder="1" applyAlignment="1">
      <alignment horizontal="left" vertical="top" wrapText="1"/>
    </xf>
    <xf numFmtId="0" fontId="0" fillId="0" borderId="51" xfId="0" applyBorder="1"/>
    <xf numFmtId="0" fontId="6" fillId="25" borderId="52" xfId="0" applyFont="1" applyFill="1" applyBorder="1" applyAlignment="1">
      <alignment horizontal="left" vertical="top" wrapText="1"/>
    </xf>
    <xf numFmtId="0" fontId="6" fillId="25" borderId="53" xfId="0" applyFont="1" applyFill="1" applyBorder="1" applyAlignment="1">
      <alignment horizontal="left" vertical="top" wrapText="1"/>
    </xf>
    <xf numFmtId="0" fontId="0" fillId="0" borderId="54" xfId="0" applyBorder="1"/>
    <xf numFmtId="0" fontId="6" fillId="26" borderId="55" xfId="0" applyFont="1" applyFill="1" applyBorder="1" applyAlignment="1">
      <alignment horizontal="left" vertical="top" wrapText="1"/>
    </xf>
    <xf numFmtId="0" fontId="87" fillId="22" borderId="56" xfId="0" applyFont="1" applyFill="1" applyBorder="1" applyAlignment="1">
      <alignment horizontal="center" vertical="center"/>
    </xf>
    <xf numFmtId="0" fontId="6" fillId="26" borderId="57" xfId="0" applyFont="1" applyFill="1" applyBorder="1" applyAlignment="1">
      <alignment horizontal="left" vertical="top" wrapText="1"/>
    </xf>
    <xf numFmtId="0" fontId="6" fillId="26" borderId="58" xfId="0" applyFont="1" applyFill="1" applyBorder="1" applyAlignment="1">
      <alignment horizontal="left" vertical="top" wrapText="1"/>
    </xf>
    <xf numFmtId="0" fontId="0" fillId="0" borderId="59" xfId="0" applyBorder="1"/>
    <xf numFmtId="0" fontId="6" fillId="27" borderId="60" xfId="0" applyFont="1" applyFill="1" applyBorder="1" applyAlignment="1">
      <alignment horizontal="left" vertical="top" wrapText="1"/>
    </xf>
    <xf numFmtId="0" fontId="88" fillId="23" borderId="61" xfId="0" applyFont="1" applyFill="1" applyBorder="1" applyAlignment="1">
      <alignment horizontal="center" vertical="center"/>
    </xf>
    <xf numFmtId="0" fontId="6" fillId="27" borderId="62" xfId="0" applyFont="1" applyFill="1" applyBorder="1" applyAlignment="1">
      <alignment horizontal="left" vertical="top" wrapText="1"/>
    </xf>
    <xf numFmtId="0" fontId="6" fillId="27" borderId="63" xfId="0" applyFont="1" applyFill="1" applyBorder="1" applyAlignment="1">
      <alignment horizontal="left" vertical="top" wrapText="1"/>
    </xf>
    <xf numFmtId="0" fontId="0" fillId="0" borderId="64" xfId="0" applyBorder="1"/>
    <xf numFmtId="0" fontId="6" fillId="27" borderId="65" xfId="0" applyFont="1" applyFill="1" applyBorder="1" applyAlignment="1">
      <alignment horizontal="left" vertical="top" wrapText="1"/>
    </xf>
    <xf numFmtId="0" fontId="6" fillId="27" borderId="66" xfId="0" applyFont="1" applyFill="1" applyBorder="1" applyAlignment="1">
      <alignment horizontal="left" vertical="top" wrapText="1"/>
    </xf>
    <xf numFmtId="0" fontId="6" fillId="26" borderId="67" xfId="0" applyFont="1" applyFill="1" applyBorder="1" applyAlignment="1">
      <alignment horizontal="left" vertical="top" wrapText="1"/>
    </xf>
    <xf numFmtId="0" fontId="6" fillId="26" borderId="65" xfId="0" applyFont="1" applyFill="1" applyBorder="1" applyAlignment="1">
      <alignment horizontal="left" vertical="top" wrapText="1"/>
    </xf>
    <xf numFmtId="0" fontId="6" fillId="24" borderId="68" xfId="0" applyFont="1" applyFill="1" applyBorder="1" applyAlignment="1">
      <alignment horizontal="left" vertical="top" wrapText="1"/>
    </xf>
    <xf numFmtId="168" fontId="10" fillId="0" borderId="35" xfId="0" applyNumberFormat="1" applyFont="1" applyBorder="1"/>
    <xf numFmtId="175" fontId="10" fillId="0" borderId="2" xfId="0" applyNumberFormat="1" applyFont="1" applyBorder="1"/>
    <xf numFmtId="166" fontId="1" fillId="0" borderId="0" xfId="1" applyNumberFormat="1" applyFont="1"/>
    <xf numFmtId="0" fontId="41" fillId="8" borderId="0" xfId="0" applyFont="1" applyFill="1" applyAlignment="1">
      <alignment horizontal="center"/>
    </xf>
    <xf numFmtId="0" fontId="77" fillId="13" borderId="0" xfId="0" applyFont="1" applyFill="1" applyAlignment="1">
      <alignment horizontal="left" vertical="center" wrapText="1"/>
    </xf>
    <xf numFmtId="0" fontId="89" fillId="0" borderId="0" xfId="0" applyFont="1"/>
    <xf numFmtId="0" fontId="66" fillId="0" borderId="2" xfId="0" applyFont="1" applyBorder="1" applyAlignment="1">
      <alignment horizontal="left" vertical="top" wrapText="1" indent="1"/>
    </xf>
    <xf numFmtId="0" fontId="9" fillId="0" borderId="2" xfId="0" applyFont="1" applyBorder="1" applyAlignment="1">
      <alignment vertical="top" wrapText="1"/>
    </xf>
    <xf numFmtId="0" fontId="5" fillId="0" borderId="2" xfId="0" applyFont="1" applyBorder="1" applyAlignment="1">
      <alignment horizontal="left" vertical="top" wrapText="1" indent="1"/>
    </xf>
    <xf numFmtId="0" fontId="40" fillId="0" borderId="2" xfId="0" applyFont="1" applyBorder="1" applyAlignment="1">
      <alignment horizontal="left" vertical="top" wrapText="1" indent="1"/>
    </xf>
    <xf numFmtId="0" fontId="6" fillId="0" borderId="2" xfId="0" applyFont="1" applyBorder="1" applyAlignment="1">
      <alignment horizontal="left" vertical="top" wrapText="1" indent="1"/>
    </xf>
  </cellXfs>
  <cellStyles count="3">
    <cellStyle name="Comma" xfId="1" builtinId="3"/>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t>Football Field — Implied Price by Method ($/sh)</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lotArea>
      <c:layout/>
      <c:barChart>
        <c:barDir val="bar"/>
        <c:grouping val="stacked"/>
        <c:varyColors val="0"/>
        <c:ser>
          <c:idx val="0"/>
          <c:order val="0"/>
          <c:tx>
            <c:strRef>
              <c:f>'FootballField Data'!$B$5</c:f>
              <c:strCache>
                <c:ptCount val="1"/>
                <c:pt idx="0">
                  <c:v>Low</c:v>
                </c:pt>
              </c:strCache>
            </c:strRef>
          </c:tx>
          <c:spPr>
            <a:solidFill>
              <a:srgbClr val="FFFFFF"/>
            </a:solidFill>
            <a:ln>
              <a:solidFill>
                <a:srgbClr val="FFFFFF"/>
              </a:solidFill>
              <a:prstDash val="solid"/>
            </a:ln>
            <a:effectLst/>
          </c:spPr>
          <c:invertIfNegative val="0"/>
          <c:cat>
            <c:strRef>
              <c:f>'FootballField Data'!$A$6:$A$10</c:f>
              <c:strCache>
                <c:ptCount val="5"/>
                <c:pt idx="0">
                  <c:v>DCF — Perpetuity Growth</c:v>
                </c:pt>
                <c:pt idx="1">
                  <c:v>DCF — Exit Multiple</c:v>
                </c:pt>
                <c:pt idx="2">
                  <c:v>Comps — EV/EBITDA</c:v>
                </c:pt>
                <c:pt idx="3">
                  <c:v>Comps — P/E</c:v>
                </c:pt>
                <c:pt idx="4">
                  <c:v>52-Week Trading Range</c:v>
                </c:pt>
              </c:strCache>
            </c:strRef>
          </c:cat>
          <c:val>
            <c:numRef>
              <c:f>'FootballField Data'!$B$6:$B$10</c:f>
              <c:numCache>
                <c:formatCode>"$"#,##0</c:formatCode>
                <c:ptCount val="5"/>
                <c:pt idx="0">
                  <c:v>49.300117088147502</c:v>
                </c:pt>
                <c:pt idx="1">
                  <c:v>89.857388091886236</c:v>
                </c:pt>
                <c:pt idx="2">
                  <c:v>125.81601031510473</c:v>
                </c:pt>
                <c:pt idx="3">
                  <c:v>113.94744993457849</c:v>
                </c:pt>
                <c:pt idx="4">
                  <c:v>100.3</c:v>
                </c:pt>
              </c:numCache>
            </c:numRef>
          </c:val>
          <c:extLst>
            <c:ext xmlns:c16="http://schemas.microsoft.com/office/drawing/2014/chart" uri="{C3380CC4-5D6E-409C-BE32-E72D297353CC}">
              <c16:uniqueId val="{00000000-F3E3-3942-A337-50894DB32172}"/>
            </c:ext>
          </c:extLst>
        </c:ser>
        <c:ser>
          <c:idx val="1"/>
          <c:order val="1"/>
          <c:tx>
            <c:strRef>
              <c:f>'FootballField Data'!$C$5</c:f>
              <c:strCache>
                <c:ptCount val="1"/>
                <c:pt idx="0">
                  <c:v>Width</c:v>
                </c:pt>
              </c:strCache>
            </c:strRef>
          </c:tx>
          <c:spPr>
            <a:solidFill>
              <a:schemeClr val="accent1">
                <a:lumMod val="20000"/>
                <a:lumOff val="80000"/>
              </a:schemeClr>
            </a:solidFill>
            <a:ln>
              <a:solidFill>
                <a:srgbClr val="2F5496"/>
              </a:solidFill>
              <a:prstDash val="solid"/>
            </a:ln>
            <a:effectLst/>
          </c:spPr>
          <c:invertIfNegative val="0"/>
          <c:dLbls>
            <c:dLbl>
              <c:idx val="0"/>
              <c:tx>
                <c:rich>
                  <a:bodyPr/>
                  <a:lstStyle/>
                  <a:p>
                    <a:r>
                      <a:rPr lang="en-US"/>
                      <a:t>$49 – $170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3E3-3942-A337-50894DB32172}"/>
                </c:ext>
              </c:extLst>
            </c:dLbl>
            <c:dLbl>
              <c:idx val="1"/>
              <c:tx>
                <c:rich>
                  <a:bodyPr/>
                  <a:lstStyle/>
                  <a:p>
                    <a:r>
                      <a:rPr lang="en-US"/>
                      <a:t>$90 – $244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3E3-3942-A337-50894DB32172}"/>
                </c:ext>
              </c:extLst>
            </c:dLbl>
            <c:dLbl>
              <c:idx val="2"/>
              <c:tx>
                <c:rich>
                  <a:bodyPr/>
                  <a:lstStyle/>
                  <a:p>
                    <a:r>
                      <a:rPr lang="en-US"/>
                      <a:t>$126 – $214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3E3-3942-A337-50894DB32172}"/>
                </c:ext>
              </c:extLst>
            </c:dLbl>
            <c:dLbl>
              <c:idx val="3"/>
              <c:tx>
                <c:rich>
                  <a:bodyPr/>
                  <a:lstStyle/>
                  <a:p>
                    <a:r>
                      <a:rPr lang="en-US"/>
                      <a:t>$114 – $199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3E3-3942-A337-50894DB32172}"/>
                </c:ext>
              </c:extLst>
            </c:dLbl>
            <c:dLbl>
              <c:idx val="4"/>
              <c:tx>
                <c:rich>
                  <a:bodyPr/>
                  <a:lstStyle/>
                  <a:p>
                    <a:r>
                      <a:rPr lang="en-US"/>
                      <a:t>$100 – $187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3E3-3942-A337-50894DB32172}"/>
                </c:ext>
              </c:extLst>
            </c:dLbl>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'FootballField Data'!$A$6:$A$10</c:f>
              <c:strCache>
                <c:ptCount val="5"/>
                <c:pt idx="0">
                  <c:v>DCF — Perpetuity Growth</c:v>
                </c:pt>
                <c:pt idx="1">
                  <c:v>DCF — Exit Multiple</c:v>
                </c:pt>
                <c:pt idx="2">
                  <c:v>Comps — EV/EBITDA</c:v>
                </c:pt>
                <c:pt idx="3">
                  <c:v>Comps — P/E</c:v>
                </c:pt>
                <c:pt idx="4">
                  <c:v>52-Week Trading Range</c:v>
                </c:pt>
              </c:strCache>
            </c:strRef>
          </c:cat>
          <c:val>
            <c:numRef>
              <c:f>'FootballField Data'!$C$6:$C$10</c:f>
              <c:numCache>
                <c:formatCode>"$"#,##0</c:formatCode>
                <c:ptCount val="5"/>
                <c:pt idx="0">
                  <c:v>120.39306112300851</c:v>
                </c:pt>
                <c:pt idx="1">
                  <c:v>154.59943406273905</c:v>
                </c:pt>
                <c:pt idx="2">
                  <c:v>88.613732482208206</c:v>
                </c:pt>
                <c:pt idx="3">
                  <c:v>84.817687778912017</c:v>
                </c:pt>
                <c:pt idx="4">
                  <c:v>86.820000000000007</c:v>
                </c:pt>
              </c:numCache>
            </c:numRef>
          </c:val>
          <c:extLst>
            <c:ext xmlns:c16="http://schemas.microsoft.com/office/drawing/2014/chart" uri="{C3380CC4-5D6E-409C-BE32-E72D297353CC}">
              <c16:uniqueId val="{00000001-F3E3-3942-A337-50894DB32172}"/>
            </c:ext>
          </c:extLst>
        </c:ser>
        <c:dLbls>
          <c:showLegendKey val="0"/>
          <c:showVal val="0"/>
          <c:showCatName val="0"/>
          <c:showSerName val="0"/>
          <c:showPercent val="0"/>
          <c:showBubbleSize val="0"/>
        </c:dLbls>
        <c:gapWidth val="60"/>
        <c:overlap val="100"/>
        <c:axId val="327593343"/>
        <c:axId val="327595135"/>
      </c:barChart>
      <c:scatterChart>
        <c:scatterStyle val="lineMarker"/>
        <c:varyColors val="0"/>
        <c:ser>
          <c:idx val="2"/>
          <c:order val="2"/>
          <c:tx>
            <c:v>Current Price</c:v>
          </c:tx>
          <c:spPr>
            <a:ln w="34925" cap="rnd" cmpd="sng">
              <a:solidFill>
                <a:srgbClr val="C00000"/>
              </a:solidFill>
              <a:prstDash val="dash"/>
              <a:round/>
            </a:ln>
            <a:effectLst/>
          </c:spPr>
          <c:marker>
            <c:symbol val="none"/>
          </c:marker>
          <c:xVal>
            <c:numRef>
              <c:f>'FootballField Data'!$G$7:$G$8</c:f>
              <c:numCache>
                <c:formatCode>"$"#,##0</c:formatCode>
                <c:ptCount val="2"/>
                <c:pt idx="0">
                  <c:v>168</c:v>
                </c:pt>
                <c:pt idx="1">
                  <c:v>168</c:v>
                </c:pt>
              </c:numCache>
            </c:numRef>
          </c:xVal>
          <c:yVal>
            <c:numRef>
              <c:f>'FootballField Data'!$H$7:$H$8</c:f>
              <c:numCache>
                <c:formatCode>General</c:formatCode>
                <c:ptCount val="2"/>
                <c:pt idx="0">
                  <c:v>0.5</c:v>
                </c:pt>
                <c:pt idx="1">
                  <c:v>5.5</c:v>
                </c:pt>
              </c:numCache>
            </c:numRef>
          </c:yVal>
          <c:smooth val="0"/>
          <c:extLst>
            <c:ext xmlns:c16="http://schemas.microsoft.com/office/drawing/2014/chart" uri="{C3380CC4-5D6E-409C-BE32-E72D297353CC}">
              <c16:uniqueId val="{00000009-F3E3-3942-A337-50894DB32172}"/>
            </c:ext>
          </c:extLst>
        </c:ser>
        <c:dLbls>
          <c:showLegendKey val="0"/>
          <c:showVal val="0"/>
          <c:showCatName val="0"/>
          <c:showSerName val="0"/>
          <c:showPercent val="0"/>
          <c:showBubbleSize val="0"/>
        </c:dLbls>
        <c:axId val="98697215"/>
        <c:axId val="327670335"/>
      </c:scatterChart>
      <c:catAx>
        <c:axId val="3275933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595135"/>
        <c:crosses val="autoZero"/>
        <c:auto val="1"/>
        <c:lblAlgn val="ctr"/>
        <c:lblOffset val="100"/>
        <c:noMultiLvlLbl val="0"/>
      </c:catAx>
      <c:valAx>
        <c:axId val="327595135"/>
        <c:scaling>
          <c:orientation val="minMax"/>
        </c:scaling>
        <c:delete val="0"/>
        <c:axPos val="b"/>
        <c:majorGridlines>
          <c:spPr>
            <a:ln w="9525" cap="flat" cmpd="sng" algn="ctr">
              <a:noFill/>
              <a:prstDash val="solid"/>
              <a:round/>
            </a:ln>
            <a:effectLst/>
          </c:spPr>
        </c:majorGridlines>
        <c:numFmt formatCode="&quot;$&quot;#,##0" sourceLinked="0"/>
        <c:majorTickMark val="none"/>
        <c:minorTickMark val="none"/>
        <c:tickLblPos val="nextTo"/>
        <c:spPr>
          <a:noFill/>
          <a:ln>
            <a:solidFill>
              <a:srgbClr val="D9D9D9"/>
            </a:solid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7593343"/>
        <c:crosses val="autoZero"/>
        <c:crossBetween val="between"/>
      </c:valAx>
      <c:valAx>
        <c:axId val="327670335"/>
        <c:scaling>
          <c:orientation val="minMax"/>
        </c:scaling>
        <c:delete val="1"/>
        <c:axPos val="r"/>
        <c:numFmt formatCode="General" sourceLinked="1"/>
        <c:majorTickMark val="out"/>
        <c:minorTickMark val="none"/>
        <c:tickLblPos val="nextTo"/>
        <c:crossAx val="98697215"/>
        <c:crosses val="max"/>
        <c:crossBetween val="midCat"/>
      </c:valAx>
      <c:valAx>
        <c:axId val="98697215"/>
        <c:scaling>
          <c:orientation val="minMax"/>
        </c:scaling>
        <c:delete val="1"/>
        <c:axPos val="b"/>
        <c:numFmt formatCode="&quot;$&quot;#,##0" sourceLinked="1"/>
        <c:majorTickMark val="out"/>
        <c:minorTickMark val="none"/>
        <c:tickLblPos val="nextTo"/>
        <c:crossAx val="32767033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787400</xdr:colOff>
      <xdr:row>5</xdr:row>
      <xdr:rowOff>69850</xdr:rowOff>
    </xdr:from>
    <xdr:to>
      <xdr:col>16</xdr:col>
      <xdr:colOff>723900</xdr:colOff>
      <xdr:row>23</xdr:row>
      <xdr:rowOff>139700</xdr:rowOff>
    </xdr:to>
    <xdr:graphicFrame macro="">
      <xdr:nvGraphicFramePr>
        <xdr:cNvPr id="6" name="FootballField">
          <a:extLst>
            <a:ext uri="{FF2B5EF4-FFF2-40B4-BE49-F238E27FC236}">
              <a16:creationId xmlns:a16="http://schemas.microsoft.com/office/drawing/2014/main" id="{34D5F457-68FB-DB30-6E12-DDD997029E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699D886-A710-CD46-BADD-A45A8021DDFE}">
  <we:reference id="wa200009404" version="1.0.0.8" store="en-US" storeType="OMEX"/>
  <we:alternateReferences>
    <we:reference id="wa200009404" version="1.0.0.8" store="wa200009404" storeType="OMEX"/>
  </we:alternateReferences>
  <we:properties>
    <we:property name="claude.fileId" value="&quot;8fc448d9-ca10-4f89-b21c-fb535e9dc5f4&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DBF3-98B2-7C4C-8881-C5D2FDBEE1ED}">
  <sheetPr>
    <tabColor theme="1"/>
  </sheetPr>
  <dimension ref="B2:Z101"/>
  <sheetViews>
    <sheetView showGridLines="0" tabSelected="1" workbookViewId="0"/>
  </sheetViews>
  <sheetFormatPr baseColWidth="10" defaultRowHeight="15" x14ac:dyDescent="0.2"/>
  <cols>
    <col min="1" max="1" width="2.5" customWidth="1"/>
    <col min="2" max="2" width="25" customWidth="1"/>
    <col min="3" max="3" width="100" customWidth="1"/>
    <col min="4" max="4" width="3.33203125" customWidth="1"/>
  </cols>
  <sheetData>
    <row r="2" spans="2:3" ht="27" customHeight="1" x14ac:dyDescent="0.35">
      <c r="B2" s="61" t="s">
        <v>254</v>
      </c>
    </row>
    <row r="3" spans="2:3" ht="15" customHeight="1" x14ac:dyDescent="0.25">
      <c r="B3" s="62" t="s">
        <v>255</v>
      </c>
    </row>
    <row r="4" spans="2:3" x14ac:dyDescent="0.2">
      <c r="B4" s="352" t="s">
        <v>256</v>
      </c>
    </row>
    <row r="6" spans="2:3" x14ac:dyDescent="0.2">
      <c r="B6" s="325" t="s">
        <v>43</v>
      </c>
      <c r="C6" s="26"/>
    </row>
    <row r="7" spans="2:3" s="16" customFormat="1" ht="16" customHeight="1" x14ac:dyDescent="0.2">
      <c r="B7" s="5" t="s">
        <v>44</v>
      </c>
      <c r="C7" s="5" t="s">
        <v>315</v>
      </c>
    </row>
    <row r="8" spans="2:3" s="16" customFormat="1" ht="14" customHeight="1" x14ac:dyDescent="0.2">
      <c r="B8" s="5" t="s">
        <v>257</v>
      </c>
      <c r="C8" s="5" t="s">
        <v>258</v>
      </c>
    </row>
    <row r="9" spans="2:3" s="16" customFormat="1" ht="14" customHeight="1" x14ac:dyDescent="0.2">
      <c r="B9" s="5" t="s">
        <v>259</v>
      </c>
      <c r="C9" s="5" t="s">
        <v>260</v>
      </c>
    </row>
    <row r="10" spans="2:3" s="16" customFormat="1" ht="14" customHeight="1" x14ac:dyDescent="0.2">
      <c r="B10" s="5" t="s">
        <v>45</v>
      </c>
      <c r="C10" s="5" t="s">
        <v>261</v>
      </c>
    </row>
    <row r="11" spans="2:3" s="16" customFormat="1" ht="14" customHeight="1" x14ac:dyDescent="0.2">
      <c r="B11" s="5" t="s">
        <v>46</v>
      </c>
      <c r="C11" s="5" t="s">
        <v>262</v>
      </c>
    </row>
    <row r="12" spans="2:3" s="16" customFormat="1" ht="14" customHeight="1" x14ac:dyDescent="0.2">
      <c r="B12" s="49"/>
      <c r="C12" s="29"/>
    </row>
    <row r="13" spans="2:3" x14ac:dyDescent="0.2">
      <c r="B13" s="325" t="s">
        <v>93</v>
      </c>
      <c r="C13" s="26"/>
    </row>
    <row r="14" spans="2:3" x14ac:dyDescent="0.2">
      <c r="B14" s="3" t="s">
        <v>38</v>
      </c>
      <c r="C14" s="517">
        <f>'DCF &amp; Sensitivity'!D55</f>
        <v>168</v>
      </c>
    </row>
    <row r="15" spans="2:3" x14ac:dyDescent="0.2">
      <c r="B15" s="51" t="s">
        <v>96</v>
      </c>
      <c r="C15" s="518">
        <f>'DCF &amp; Sensitivity'!D53</f>
        <v>103.57659054755071</v>
      </c>
    </row>
    <row r="16" spans="2:3" x14ac:dyDescent="0.2">
      <c r="B16" s="52" t="s">
        <v>263</v>
      </c>
      <c r="C16" s="519">
        <f>'DCF &amp; Sensitivity'!D54</f>
        <v>157.48606564168071</v>
      </c>
    </row>
    <row r="17" spans="2:3" x14ac:dyDescent="0.2">
      <c r="B17" s="52" t="s">
        <v>264</v>
      </c>
      <c r="C17" s="71">
        <f>AVERAGE(C15:C16)/C14-1</f>
        <v>-0.2230278089606208</v>
      </c>
    </row>
    <row r="18" spans="2:3" ht="17" customHeight="1" x14ac:dyDescent="0.2">
      <c r="B18" s="170"/>
      <c r="C18" s="3"/>
    </row>
    <row r="19" spans="2:3" x14ac:dyDescent="0.2">
      <c r="B19" s="325" t="s">
        <v>92</v>
      </c>
      <c r="C19" s="26"/>
    </row>
    <row r="20" spans="2:3" x14ac:dyDescent="0.2">
      <c r="B20" s="51" t="s">
        <v>11</v>
      </c>
      <c r="C20" s="520">
        <f>Assumptions!D87</f>
        <v>0.10509837015593605</v>
      </c>
    </row>
    <row r="21" spans="2:3" x14ac:dyDescent="0.2">
      <c r="B21" s="51" t="s">
        <v>19</v>
      </c>
      <c r="C21" s="520">
        <f>Assumptions!D88</f>
        <v>2.5000000000000001E-2</v>
      </c>
    </row>
    <row r="22" spans="2:3" x14ac:dyDescent="0.2">
      <c r="B22" s="51" t="s">
        <v>24</v>
      </c>
      <c r="C22" s="521">
        <f>Assumptions!D89</f>
        <v>11</v>
      </c>
    </row>
    <row r="23" spans="2:3" x14ac:dyDescent="0.2">
      <c r="B23" s="51" t="s">
        <v>265</v>
      </c>
      <c r="C23" s="522">
        <f>Assumptions!M39</f>
        <v>0.16499999999999998</v>
      </c>
    </row>
    <row r="24" spans="2:3" x14ac:dyDescent="0.2">
      <c r="B24" s="51" t="s">
        <v>94</v>
      </c>
      <c r="C24" s="523">
        <f>'DCF &amp; Sensitivity'!D48</f>
        <v>407.1</v>
      </c>
    </row>
    <row r="25" spans="2:3" x14ac:dyDescent="0.2">
      <c r="B25" s="52" t="s">
        <v>95</v>
      </c>
      <c r="C25" s="524">
        <f>'DCF &amp; Sensitivity'!D51</f>
        <v>45.5</v>
      </c>
    </row>
    <row r="26" spans="2:3" ht="26" customHeight="1" x14ac:dyDescent="0.2">
      <c r="B26" s="363"/>
      <c r="C26" s="363"/>
    </row>
    <row r="27" spans="2:3" x14ac:dyDescent="0.2">
      <c r="B27" s="325" t="s">
        <v>49</v>
      </c>
      <c r="C27" s="26"/>
    </row>
    <row r="28" spans="2:3" x14ac:dyDescent="0.2">
      <c r="B28" s="170" t="s">
        <v>566</v>
      </c>
    </row>
    <row r="29" spans="2:3" x14ac:dyDescent="0.2">
      <c r="B29" s="3" t="s">
        <v>567</v>
      </c>
    </row>
    <row r="30" spans="2:3" x14ac:dyDescent="0.2">
      <c r="B30" s="3" t="s">
        <v>568</v>
      </c>
    </row>
    <row r="31" spans="2:3" x14ac:dyDescent="0.2">
      <c r="B31" s="170" t="s">
        <v>569</v>
      </c>
    </row>
    <row r="32" spans="2:3" x14ac:dyDescent="0.2">
      <c r="B32" s="3" t="s">
        <v>570</v>
      </c>
    </row>
    <row r="33" spans="2:3" x14ac:dyDescent="0.2">
      <c r="B33" s="3" t="s">
        <v>571</v>
      </c>
    </row>
    <row r="34" spans="2:3" x14ac:dyDescent="0.2">
      <c r="B34" s="3" t="s">
        <v>572</v>
      </c>
    </row>
    <row r="35" spans="2:3" x14ac:dyDescent="0.2">
      <c r="B35" s="3" t="s">
        <v>573</v>
      </c>
    </row>
    <row r="36" spans="2:3" x14ac:dyDescent="0.2">
      <c r="B36" s="3" t="s">
        <v>574</v>
      </c>
    </row>
    <row r="37" spans="2:3" x14ac:dyDescent="0.2">
      <c r="B37" s="3" t="s">
        <v>575</v>
      </c>
    </row>
    <row r="38" spans="2:3" x14ac:dyDescent="0.2">
      <c r="B38" s="3" t="s">
        <v>576</v>
      </c>
    </row>
    <row r="39" spans="2:3" x14ac:dyDescent="0.2">
      <c r="B39" s="170" t="s">
        <v>577</v>
      </c>
    </row>
    <row r="40" spans="2:3" x14ac:dyDescent="0.2">
      <c r="B40" s="3" t="s">
        <v>578</v>
      </c>
    </row>
    <row r="41" spans="2:3" x14ac:dyDescent="0.2">
      <c r="B41" s="554" t="s">
        <v>655</v>
      </c>
    </row>
    <row r="42" spans="2:3" x14ac:dyDescent="0.2">
      <c r="B42" s="554" t="s">
        <v>656</v>
      </c>
    </row>
    <row r="43" spans="2:3" x14ac:dyDescent="0.2">
      <c r="B43" s="3"/>
    </row>
    <row r="44" spans="2:3" x14ac:dyDescent="0.2">
      <c r="B44" s="325" t="s">
        <v>585</v>
      </c>
      <c r="C44" s="26"/>
    </row>
    <row r="45" spans="2:3" x14ac:dyDescent="0.2">
      <c r="B45" s="170" t="s">
        <v>611</v>
      </c>
      <c r="C45" s="460"/>
    </row>
    <row r="46" spans="2:3" x14ac:dyDescent="0.2">
      <c r="B46" s="597" t="s">
        <v>586</v>
      </c>
      <c r="C46" s="598" t="s">
        <v>587</v>
      </c>
    </row>
    <row r="47" spans="2:3" x14ac:dyDescent="0.2">
      <c r="B47" s="599" t="s">
        <v>588</v>
      </c>
      <c r="C47" s="598" t="s">
        <v>589</v>
      </c>
    </row>
    <row r="48" spans="2:3" x14ac:dyDescent="0.2">
      <c r="B48" s="600" t="s">
        <v>590</v>
      </c>
      <c r="C48" s="598" t="s">
        <v>591</v>
      </c>
    </row>
    <row r="49" spans="2:3" x14ac:dyDescent="0.2">
      <c r="B49" s="170" t="s">
        <v>612</v>
      </c>
      <c r="C49" s="460"/>
    </row>
    <row r="50" spans="2:3" x14ac:dyDescent="0.2">
      <c r="B50" s="601" t="s">
        <v>592</v>
      </c>
      <c r="C50" s="598" t="s">
        <v>593</v>
      </c>
    </row>
    <row r="51" spans="2:3" x14ac:dyDescent="0.2">
      <c r="B51" s="601" t="s">
        <v>594</v>
      </c>
      <c r="C51" s="598" t="s">
        <v>615</v>
      </c>
    </row>
    <row r="52" spans="2:3" x14ac:dyDescent="0.2">
      <c r="B52" s="601" t="s">
        <v>595</v>
      </c>
      <c r="C52" s="598" t="s">
        <v>603</v>
      </c>
    </row>
    <row r="53" spans="2:3" x14ac:dyDescent="0.2">
      <c r="B53" s="601" t="s">
        <v>596</v>
      </c>
      <c r="C53" s="598" t="s">
        <v>597</v>
      </c>
    </row>
    <row r="54" spans="2:3" x14ac:dyDescent="0.2">
      <c r="B54" s="170" t="s">
        <v>613</v>
      </c>
      <c r="C54" s="461"/>
    </row>
    <row r="55" spans="2:3" x14ac:dyDescent="0.2">
      <c r="B55" s="601" t="s">
        <v>598</v>
      </c>
      <c r="C55" s="598" t="s">
        <v>651</v>
      </c>
    </row>
    <row r="56" spans="2:3" x14ac:dyDescent="0.2">
      <c r="B56" s="601" t="s">
        <v>599</v>
      </c>
      <c r="C56" s="598" t="s">
        <v>604</v>
      </c>
    </row>
    <row r="57" spans="2:3" x14ac:dyDescent="0.2">
      <c r="B57" s="170" t="s">
        <v>614</v>
      </c>
      <c r="C57" s="461"/>
    </row>
    <row r="58" spans="2:3" x14ac:dyDescent="0.2">
      <c r="B58" s="601" t="s">
        <v>607</v>
      </c>
      <c r="C58" s="598" t="s">
        <v>605</v>
      </c>
    </row>
    <row r="59" spans="2:3" x14ac:dyDescent="0.2">
      <c r="B59" s="601" t="s">
        <v>606</v>
      </c>
      <c r="C59" s="598" t="s">
        <v>610</v>
      </c>
    </row>
    <row r="60" spans="2:3" x14ac:dyDescent="0.2">
      <c r="B60" s="601" t="s">
        <v>608</v>
      </c>
      <c r="C60" s="598" t="s">
        <v>609</v>
      </c>
    </row>
    <row r="61" spans="2:3" x14ac:dyDescent="0.2">
      <c r="C61" s="461"/>
    </row>
    <row r="62" spans="2:3" x14ac:dyDescent="0.2">
      <c r="B62" s="325" t="s">
        <v>600</v>
      </c>
      <c r="C62" s="325"/>
    </row>
    <row r="63" spans="2:3" x14ac:dyDescent="0.2">
      <c r="B63" s="516" t="s">
        <v>601</v>
      </c>
      <c r="C63" s="525">
        <v>2021</v>
      </c>
    </row>
    <row r="64" spans="2:3" x14ac:dyDescent="0.2">
      <c r="B64" s="516" t="s">
        <v>602</v>
      </c>
      <c r="C64" s="525">
        <v>2026</v>
      </c>
    </row>
    <row r="65" spans="2:2" x14ac:dyDescent="0.2">
      <c r="B65" s="516"/>
    </row>
    <row r="100" spans="26:26" x14ac:dyDescent="0.2">
      <c r="Z100">
        <f>WACC</f>
        <v>0.10509837015593605</v>
      </c>
    </row>
    <row r="101" spans="26:26" x14ac:dyDescent="0.2">
      <c r="Z101" t="str">
        <f>CompanyName &amp; " (" &amp; Ticker &amp; ")"</f>
        <v>BRINKER INTERNATIONAL, INC. (NYSE: EAT)</v>
      </c>
    </row>
  </sheetData>
  <mergeCells count="1">
    <mergeCell ref="B26:C2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7F907-E2E8-2A44-8E3D-D44C59B4E128}">
  <dimension ref="B2:Q48"/>
  <sheetViews>
    <sheetView showGridLines="0" workbookViewId="0"/>
  </sheetViews>
  <sheetFormatPr baseColWidth="10" defaultRowHeight="15" x14ac:dyDescent="0.2"/>
  <cols>
    <col min="1" max="1" width="1.6640625" customWidth="1"/>
    <col min="2" max="2" width="38.33203125" customWidth="1"/>
    <col min="3" max="3" width="15.83203125" customWidth="1"/>
    <col min="4" max="4" width="13.83203125" customWidth="1"/>
    <col min="5" max="5" width="12.83203125" customWidth="1"/>
    <col min="6" max="6" width="13.33203125" customWidth="1"/>
    <col min="7" max="7" width="14.6640625" customWidth="1"/>
    <col min="8" max="8" width="3.33203125" customWidth="1"/>
  </cols>
  <sheetData>
    <row r="2" spans="2:17" ht="26" customHeight="1" x14ac:dyDescent="0.2">
      <c r="B2" s="64" t="s">
        <v>526</v>
      </c>
    </row>
    <row r="3" spans="2:17" x14ac:dyDescent="0.2">
      <c r="B3" s="4" t="s">
        <v>131</v>
      </c>
    </row>
    <row r="4" spans="2:17" x14ac:dyDescent="0.2">
      <c r="B4" s="312" t="s">
        <v>527</v>
      </c>
    </row>
    <row r="5" spans="2:17" x14ac:dyDescent="0.2">
      <c r="B5" s="337" t="s">
        <v>657</v>
      </c>
    </row>
    <row r="7" spans="2:17" ht="16" customHeight="1" thickBot="1" x14ac:dyDescent="0.25">
      <c r="B7" s="203" t="s">
        <v>477</v>
      </c>
      <c r="C7" s="203" t="s">
        <v>12</v>
      </c>
      <c r="D7" s="326" t="s">
        <v>47</v>
      </c>
      <c r="E7" s="327" t="s">
        <v>57</v>
      </c>
      <c r="F7" s="328" t="s">
        <v>48</v>
      </c>
      <c r="G7" s="347" t="s">
        <v>528</v>
      </c>
      <c r="I7" s="3"/>
      <c r="J7" s="3"/>
      <c r="K7" s="3"/>
      <c r="L7" s="3"/>
      <c r="M7" s="3"/>
    </row>
    <row r="8" spans="2:17" ht="15" customHeight="1" x14ac:dyDescent="0.2">
      <c r="B8" s="32" t="s">
        <v>522</v>
      </c>
      <c r="C8" s="32" t="s">
        <v>36</v>
      </c>
      <c r="D8" s="330">
        <f>'Shadow DCF'!D126</f>
        <v>49.300117088147502</v>
      </c>
      <c r="E8" s="330">
        <f>'Shadow DCF'!E126</f>
        <v>99.477410946965591</v>
      </c>
      <c r="F8" s="330">
        <f>'Shadow DCF'!F126</f>
        <v>169.69317821115601</v>
      </c>
      <c r="G8" s="379">
        <f>F8-D8</f>
        <v>120.39306112300851</v>
      </c>
      <c r="I8" s="3"/>
      <c r="J8" s="3"/>
      <c r="K8" s="3"/>
      <c r="L8" s="3"/>
      <c r="M8" s="3"/>
    </row>
    <row r="9" spans="2:17" ht="15" customHeight="1" x14ac:dyDescent="0.2">
      <c r="B9" s="5" t="s">
        <v>523</v>
      </c>
      <c r="C9" s="5" t="s">
        <v>36</v>
      </c>
      <c r="D9" s="331">
        <f>'Shadow DCF'!D127</f>
        <v>89.857388091886236</v>
      </c>
      <c r="E9" s="331">
        <f>'Shadow DCF'!E127</f>
        <v>152.74057451594871</v>
      </c>
      <c r="F9" s="331">
        <f>'Shadow DCF'!F127</f>
        <v>244.45682215462529</v>
      </c>
      <c r="G9" s="380">
        <f>F9-D9</f>
        <v>154.59943406273905</v>
      </c>
      <c r="I9" s="3"/>
      <c r="J9" s="3"/>
      <c r="K9" s="3"/>
      <c r="L9" s="3"/>
      <c r="M9" s="3"/>
    </row>
    <row r="10" spans="2:17" x14ac:dyDescent="0.2">
      <c r="B10" s="5" t="s">
        <v>529</v>
      </c>
      <c r="C10" s="5" t="s">
        <v>36</v>
      </c>
      <c r="D10" s="381">
        <f>'Shadow DCF'!D128</f>
        <v>69.578752590016876</v>
      </c>
      <c r="E10" s="381">
        <f>'Shadow DCF'!E128</f>
        <v>126.10899273145715</v>
      </c>
      <c r="F10" s="381">
        <f>'Shadow DCF'!F128</f>
        <v>207.07500018289065</v>
      </c>
      <c r="G10" s="382">
        <f>F10-D10</f>
        <v>137.49624759287377</v>
      </c>
      <c r="I10" s="3"/>
      <c r="J10" s="3"/>
      <c r="K10" s="3"/>
      <c r="L10" s="3"/>
      <c r="M10" s="3"/>
    </row>
    <row r="11" spans="2:17" x14ac:dyDescent="0.2">
      <c r="B11" s="5" t="s">
        <v>38</v>
      </c>
      <c r="C11" s="5" t="s">
        <v>36</v>
      </c>
      <c r="D11" s="331">
        <f>'DCF &amp; Sensitivity'!$D$55</f>
        <v>168</v>
      </c>
      <c r="E11" s="331">
        <f>'DCF &amp; Sensitivity'!$D$55</f>
        <v>168</v>
      </c>
      <c r="F11" s="331">
        <f>'DCF &amp; Sensitivity'!$D$55</f>
        <v>168</v>
      </c>
      <c r="G11" s="334" t="s">
        <v>530</v>
      </c>
      <c r="I11" s="3"/>
      <c r="J11" s="3"/>
      <c r="K11" s="3"/>
      <c r="L11" s="3"/>
      <c r="M11" s="3"/>
    </row>
    <row r="12" spans="2:17" x14ac:dyDescent="0.2">
      <c r="B12" s="5" t="s">
        <v>525</v>
      </c>
      <c r="C12" s="5" t="s">
        <v>2</v>
      </c>
      <c r="D12" s="383">
        <f>D10/D11-1</f>
        <v>-0.58584075839275673</v>
      </c>
      <c r="E12" s="383">
        <f>E10/E11-1</f>
        <v>-0.24935123374132651</v>
      </c>
      <c r="F12" s="383">
        <f>F10/F11-1</f>
        <v>0.23258928680292046</v>
      </c>
      <c r="G12" s="383">
        <f>F12-D12</f>
        <v>0.81843004519567719</v>
      </c>
      <c r="H12" s="465"/>
      <c r="I12" s="507"/>
      <c r="J12" s="507"/>
      <c r="K12" s="507"/>
      <c r="L12" s="507"/>
      <c r="M12" s="507"/>
      <c r="N12" s="465"/>
      <c r="O12" s="465"/>
      <c r="P12" s="465"/>
      <c r="Q12" s="465"/>
    </row>
    <row r="13" spans="2:17" x14ac:dyDescent="0.2">
      <c r="B13" s="355"/>
      <c r="C13" s="3"/>
      <c r="D13" s="3"/>
      <c r="E13" s="3"/>
      <c r="F13" s="3"/>
      <c r="G13" s="3"/>
      <c r="H13" s="3"/>
      <c r="I13" s="3"/>
      <c r="J13" s="3"/>
      <c r="K13" s="3"/>
      <c r="L13" s="3"/>
      <c r="M13" s="3"/>
    </row>
    <row r="14" spans="2:17" ht="16" thickBot="1" x14ac:dyDescent="0.25">
      <c r="B14" s="203" t="s">
        <v>531</v>
      </c>
      <c r="C14" s="203" t="s">
        <v>12</v>
      </c>
      <c r="D14" s="326" t="s">
        <v>47</v>
      </c>
      <c r="E14" s="327" t="s">
        <v>57</v>
      </c>
      <c r="F14" s="328" t="s">
        <v>48</v>
      </c>
      <c r="G14" s="347" t="str">
        <f>"FY"&amp;TEXT(MOD('Cover Page'!$C$64-1,100),"00")&amp;"A"</f>
        <v>FY25A</v>
      </c>
      <c r="H14" s="3"/>
      <c r="I14" s="3"/>
      <c r="J14" s="3"/>
      <c r="K14" s="3"/>
      <c r="L14" s="3"/>
      <c r="M14" s="3"/>
    </row>
    <row r="15" spans="2:17" x14ac:dyDescent="0.2">
      <c r="B15" s="348" t="s">
        <v>382</v>
      </c>
      <c r="C15" s="348" t="s">
        <v>2</v>
      </c>
      <c r="D15" s="512">
        <f>Assumptions!E11</f>
        <v>0.01</v>
      </c>
      <c r="E15" s="512">
        <f>Assumptions!F11</f>
        <v>2.5000000000000001E-2</v>
      </c>
      <c r="F15" s="512">
        <f>Assumptions!G11</f>
        <v>0.04</v>
      </c>
      <c r="G15" s="512">
        <f>'Revenue Build'!H22</f>
        <v>0.17</v>
      </c>
      <c r="H15" s="472"/>
      <c r="I15" s="507"/>
      <c r="J15" s="507"/>
      <c r="K15" s="507"/>
      <c r="L15" s="507"/>
      <c r="M15" s="507"/>
      <c r="N15" s="465"/>
      <c r="O15" s="465"/>
      <c r="P15" s="465"/>
      <c r="Q15" s="465"/>
    </row>
    <row r="16" spans="2:17" x14ac:dyDescent="0.2">
      <c r="B16" s="200" t="s">
        <v>384</v>
      </c>
      <c r="C16" s="200" t="s">
        <v>2</v>
      </c>
      <c r="D16" s="338">
        <f>Assumptions!E12</f>
        <v>-0.03</v>
      </c>
      <c r="E16" s="338">
        <f>Assumptions!F12</f>
        <v>0.01</v>
      </c>
      <c r="F16" s="338">
        <f>Assumptions!G12</f>
        <v>0.03</v>
      </c>
      <c r="G16" s="338">
        <f>'Revenue Build'!H29</f>
        <v>8.0000000000000002E-3</v>
      </c>
      <c r="H16" s="507"/>
      <c r="I16" s="507"/>
      <c r="J16" s="507"/>
      <c r="K16" s="507"/>
      <c r="L16" s="507"/>
      <c r="M16" s="507"/>
      <c r="N16" s="465"/>
      <c r="O16" s="465"/>
      <c r="P16" s="465"/>
      <c r="Q16" s="465"/>
    </row>
    <row r="17" spans="2:17" x14ac:dyDescent="0.2">
      <c r="B17" s="200" t="s">
        <v>532</v>
      </c>
      <c r="C17" s="200" t="s">
        <v>2</v>
      </c>
      <c r="D17" s="338">
        <f>Assumptions!E15</f>
        <v>0.27</v>
      </c>
      <c r="E17" s="338">
        <f>Assumptions!F15</f>
        <v>0.26</v>
      </c>
      <c r="F17" s="338">
        <f>Assumptions!G15</f>
        <v>0.245</v>
      </c>
      <c r="G17" s="338">
        <f>Assumptions!H36</f>
        <v>0.25314415309354671</v>
      </c>
      <c r="H17" s="507"/>
      <c r="I17" s="507"/>
      <c r="J17" s="507"/>
      <c r="K17" s="507"/>
      <c r="L17" s="507"/>
      <c r="M17" s="507"/>
      <c r="N17" s="465"/>
      <c r="O17" s="465"/>
      <c r="P17" s="465"/>
      <c r="Q17" s="465"/>
    </row>
    <row r="18" spans="2:17" x14ac:dyDescent="0.2">
      <c r="B18" s="200" t="s">
        <v>533</v>
      </c>
      <c r="C18" s="200" t="s">
        <v>2</v>
      </c>
      <c r="D18" s="338">
        <f>Assumptions!E16</f>
        <v>0.33500000000000002</v>
      </c>
      <c r="E18" s="338">
        <f>Assumptions!F16</f>
        <v>0.32500000000000001</v>
      </c>
      <c r="F18" s="338">
        <f>Assumptions!G16</f>
        <v>0.315</v>
      </c>
      <c r="G18" s="338">
        <f>Assumptions!H37</f>
        <v>0.32187505857215148</v>
      </c>
      <c r="H18" s="507"/>
      <c r="I18" s="507"/>
      <c r="J18" s="507"/>
      <c r="K18" s="507"/>
      <c r="L18" s="507"/>
      <c r="M18" s="507"/>
      <c r="N18" s="465"/>
      <c r="O18" s="465"/>
      <c r="P18" s="465"/>
      <c r="Q18" s="465"/>
    </row>
    <row r="19" spans="2:17" x14ac:dyDescent="0.2">
      <c r="B19" s="200" t="s">
        <v>534</v>
      </c>
      <c r="C19" s="200" t="s">
        <v>2</v>
      </c>
      <c r="D19" s="338">
        <f>Assumptions!E17</f>
        <v>0.26</v>
      </c>
      <c r="E19" s="338">
        <f>Assumptions!F17</f>
        <v>0.25</v>
      </c>
      <c r="F19" s="338">
        <f>Assumptions!G17</f>
        <v>0.23499999999999999</v>
      </c>
      <c r="G19" s="338">
        <f>Assumptions!H38</f>
        <v>0.25001405731636461</v>
      </c>
      <c r="H19" s="507"/>
      <c r="I19" s="507"/>
      <c r="J19" s="507"/>
      <c r="K19" s="507"/>
      <c r="L19" s="507"/>
      <c r="M19" s="507"/>
      <c r="N19" s="465"/>
      <c r="O19" s="465"/>
      <c r="P19" s="465"/>
      <c r="Q19" s="465"/>
    </row>
    <row r="20" spans="2:17" x14ac:dyDescent="0.2">
      <c r="B20" s="200" t="s">
        <v>321</v>
      </c>
      <c r="C20" s="200" t="s">
        <v>2</v>
      </c>
      <c r="D20" s="338">
        <f>Assumptions!E18</f>
        <v>4.4999999999999998E-2</v>
      </c>
      <c r="E20" s="338">
        <f>Assumptions!F18</f>
        <v>0.04</v>
      </c>
      <c r="F20" s="338">
        <f>Assumptions!G18</f>
        <v>3.7999999999999999E-2</v>
      </c>
      <c r="G20" s="338">
        <f>Assumptions!H41</f>
        <v>4.1231752163738346E-2</v>
      </c>
      <c r="H20" s="507"/>
      <c r="I20" s="507"/>
      <c r="J20" s="507"/>
      <c r="K20" s="507"/>
      <c r="L20" s="507"/>
      <c r="M20" s="507"/>
      <c r="N20" s="465"/>
      <c r="O20" s="465"/>
      <c r="P20" s="465"/>
      <c r="Q20" s="465"/>
    </row>
    <row r="21" spans="2:17" x14ac:dyDescent="0.2">
      <c r="B21" s="200" t="s">
        <v>536</v>
      </c>
      <c r="C21" s="200" t="s">
        <v>2</v>
      </c>
      <c r="D21" s="513">
        <f>1-D17-D18-D19-D20</f>
        <v>8.9999999999999955E-2</v>
      </c>
      <c r="E21" s="513">
        <f>1-E17-E18-E19-E20</f>
        <v>0.12499999999999997</v>
      </c>
      <c r="F21" s="513">
        <f>1-F17-F18-F19-F20</f>
        <v>0.16700000000000001</v>
      </c>
      <c r="G21" s="513">
        <f>1-G17-G18-G19-G20</f>
        <v>0.1337349788541988</v>
      </c>
      <c r="H21" s="507"/>
      <c r="I21" s="507"/>
      <c r="J21" s="507"/>
      <c r="K21" s="507"/>
      <c r="L21" s="507"/>
      <c r="M21" s="507"/>
      <c r="N21" s="465"/>
      <c r="O21" s="465"/>
      <c r="P21" s="465"/>
      <c r="Q21" s="465"/>
    </row>
    <row r="22" spans="2:17" x14ac:dyDescent="0.2">
      <c r="B22" s="200" t="s">
        <v>350</v>
      </c>
      <c r="C22" s="200" t="s">
        <v>2</v>
      </c>
      <c r="D22" s="338">
        <f>Assumptions!E19</f>
        <v>4.4999999999999998E-2</v>
      </c>
      <c r="E22" s="338">
        <f>Assumptions!F19</f>
        <v>0.04</v>
      </c>
      <c r="F22" s="338">
        <f>Assumptions!G19</f>
        <v>3.5000000000000003E-2</v>
      </c>
      <c r="G22" s="338">
        <f>Assumptions!H63</f>
        <v>4.9273801121800825E-2</v>
      </c>
      <c r="H22" s="507"/>
      <c r="I22" s="507"/>
      <c r="J22" s="507"/>
      <c r="K22" s="507"/>
      <c r="L22" s="507"/>
      <c r="M22" s="507"/>
      <c r="N22" s="465"/>
      <c r="O22" s="465"/>
      <c r="P22" s="465"/>
      <c r="Q22" s="465"/>
    </row>
    <row r="23" spans="2:17" x14ac:dyDescent="0.2">
      <c r="B23" s="200" t="s">
        <v>19</v>
      </c>
      <c r="C23" s="200" t="s">
        <v>2</v>
      </c>
      <c r="D23" s="338">
        <f>Assumptions!E23</f>
        <v>0.02</v>
      </c>
      <c r="E23" s="338">
        <f>Assumptions!F23</f>
        <v>2.5000000000000001E-2</v>
      </c>
      <c r="F23" s="338">
        <f>Assumptions!G23</f>
        <v>0.03</v>
      </c>
      <c r="G23" s="469" t="s">
        <v>530</v>
      </c>
      <c r="H23" s="507"/>
      <c r="I23" s="507"/>
      <c r="J23" s="507"/>
      <c r="K23" s="507"/>
      <c r="L23" s="507"/>
      <c r="M23" s="507"/>
      <c r="N23" s="465"/>
      <c r="O23" s="465"/>
      <c r="P23" s="465"/>
      <c r="Q23" s="465"/>
    </row>
    <row r="24" spans="2:17" x14ac:dyDescent="0.2">
      <c r="B24" s="5" t="s">
        <v>24</v>
      </c>
      <c r="C24" s="5" t="s">
        <v>4</v>
      </c>
      <c r="D24" s="335">
        <f>Assumptions!E24</f>
        <v>9</v>
      </c>
      <c r="E24" s="335">
        <f>Assumptions!F24</f>
        <v>11</v>
      </c>
      <c r="F24" s="335">
        <f>Assumptions!G24</f>
        <v>13</v>
      </c>
      <c r="G24" s="345" t="s">
        <v>530</v>
      </c>
      <c r="H24" s="3"/>
      <c r="I24" s="3"/>
      <c r="J24" s="3"/>
      <c r="K24" s="3"/>
      <c r="L24" s="3"/>
      <c r="M24" s="3"/>
    </row>
    <row r="25" spans="2:17" x14ac:dyDescent="0.2">
      <c r="B25" s="3"/>
      <c r="C25" s="3"/>
      <c r="D25" s="3"/>
      <c r="E25" s="3"/>
      <c r="F25" s="3"/>
      <c r="G25" s="346"/>
      <c r="H25" s="3"/>
      <c r="I25" s="3"/>
      <c r="J25" s="368" t="s">
        <v>684</v>
      </c>
      <c r="K25" s="368"/>
      <c r="L25" s="368"/>
      <c r="M25" s="368"/>
      <c r="N25" s="368"/>
      <c r="O25" s="368"/>
      <c r="P25" s="368"/>
      <c r="Q25" s="368"/>
    </row>
    <row r="26" spans="2:17" ht="16" customHeight="1" thickBot="1" x14ac:dyDescent="0.25">
      <c r="B26" s="203" t="s">
        <v>535</v>
      </c>
      <c r="C26" s="203" t="s">
        <v>12</v>
      </c>
      <c r="D26" s="326" t="s">
        <v>47</v>
      </c>
      <c r="E26" s="327" t="s">
        <v>57</v>
      </c>
      <c r="F26" s="328" t="s">
        <v>48</v>
      </c>
      <c r="G26" s="3"/>
      <c r="H26" s="3"/>
      <c r="I26" s="3"/>
      <c r="J26" s="368"/>
      <c r="K26" s="368"/>
      <c r="L26" s="368"/>
      <c r="M26" s="368"/>
      <c r="N26" s="368"/>
      <c r="O26" s="368"/>
      <c r="P26" s="368"/>
      <c r="Q26" s="368"/>
    </row>
    <row r="27" spans="2:17" x14ac:dyDescent="0.2">
      <c r="B27" s="32" t="s">
        <v>518</v>
      </c>
      <c r="C27" s="32" t="s">
        <v>14</v>
      </c>
      <c r="D27" s="336">
        <f>'Shadow DCF'!D120</f>
        <v>6030.3002379500003</v>
      </c>
      <c r="E27" s="336">
        <f>'Shadow DCF'!E120</f>
        <v>6396.5957011718729</v>
      </c>
      <c r="F27" s="336">
        <f>'Shadow DCF'!F120</f>
        <v>6779.3303552000007</v>
      </c>
      <c r="G27" s="3"/>
      <c r="H27" s="3"/>
      <c r="I27" s="3"/>
      <c r="J27" s="368"/>
      <c r="K27" s="368"/>
      <c r="L27" s="368"/>
      <c r="M27" s="368"/>
      <c r="N27" s="368"/>
      <c r="O27" s="368"/>
      <c r="P27" s="368"/>
      <c r="Q27" s="368"/>
    </row>
    <row r="28" spans="2:17" x14ac:dyDescent="0.2">
      <c r="B28" s="5" t="s">
        <v>519</v>
      </c>
      <c r="C28" s="5" t="s">
        <v>14</v>
      </c>
      <c r="D28" s="257">
        <f>'Shadow DCF'!D121</f>
        <v>610.39568574207181</v>
      </c>
      <c r="E28" s="257">
        <f>'Shadow DCF'!E121</f>
        <v>868.86404422164946</v>
      </c>
      <c r="F28" s="257">
        <f>'Shadow DCF'!F121</f>
        <v>1202.0657653409971</v>
      </c>
      <c r="G28" s="3"/>
      <c r="H28" s="3"/>
      <c r="I28" s="3"/>
      <c r="J28" s="368"/>
      <c r="K28" s="368"/>
      <c r="L28" s="368"/>
      <c r="M28" s="368"/>
      <c r="N28" s="368"/>
      <c r="O28" s="368"/>
      <c r="P28" s="368"/>
      <c r="Q28" s="368"/>
    </row>
    <row r="29" spans="2:17" x14ac:dyDescent="0.2">
      <c r="B29" s="200" t="s">
        <v>520</v>
      </c>
      <c r="C29" s="200" t="s">
        <v>2</v>
      </c>
      <c r="D29" s="338">
        <f>'Shadow DCF'!D122</f>
        <v>0.10122144199400189</v>
      </c>
      <c r="E29" s="338">
        <f>'Shadow DCF'!E122</f>
        <v>0.13583225903467236</v>
      </c>
      <c r="F29" s="338">
        <f>'Shadow DCF'!F122</f>
        <v>0.17731334842223281</v>
      </c>
      <c r="G29" s="507"/>
      <c r="H29" s="507"/>
      <c r="I29" s="507"/>
      <c r="J29" s="507"/>
      <c r="K29" s="507"/>
      <c r="L29" s="507"/>
      <c r="M29" s="507"/>
      <c r="N29" s="465"/>
      <c r="O29" s="465"/>
      <c r="P29" s="465"/>
      <c r="Q29" s="465"/>
    </row>
    <row r="30" spans="2:17" x14ac:dyDescent="0.2">
      <c r="B30" s="5" t="s">
        <v>521</v>
      </c>
      <c r="C30" s="5" t="s">
        <v>14</v>
      </c>
      <c r="D30" s="257">
        <f>'Shadow DCF'!D123</f>
        <v>204.5766682021482</v>
      </c>
      <c r="E30" s="257">
        <f>'Shadow DCF'!E123</f>
        <v>434.73353084805768</v>
      </c>
      <c r="F30" s="257">
        <f>'Shadow DCF'!F123</f>
        <v>730.58063255789648</v>
      </c>
      <c r="G30" s="3"/>
      <c r="H30" s="3"/>
      <c r="I30" s="3"/>
      <c r="J30" s="3"/>
      <c r="K30" s="3"/>
      <c r="L30" s="3"/>
      <c r="M30" s="3"/>
    </row>
    <row r="31" spans="2:17" x14ac:dyDescent="0.2">
      <c r="B31" s="5" t="s">
        <v>504</v>
      </c>
      <c r="C31" s="5" t="s">
        <v>14</v>
      </c>
      <c r="D31" s="257">
        <f>'Shadow DCF'!D124</f>
        <v>2650.2553275107111</v>
      </c>
      <c r="E31" s="257">
        <f>'Shadow DCF'!E124</f>
        <v>4933.3221980869348</v>
      </c>
      <c r="F31" s="257">
        <f>'Shadow DCF'!F124</f>
        <v>8128.1396086075993</v>
      </c>
      <c r="G31" s="3"/>
      <c r="H31" s="3"/>
      <c r="I31" s="3"/>
      <c r="J31" s="3"/>
      <c r="K31" s="3"/>
      <c r="L31" s="3"/>
      <c r="M31" s="3"/>
    </row>
    <row r="32" spans="2:17" x14ac:dyDescent="0.2">
      <c r="B32" s="5" t="s">
        <v>505</v>
      </c>
      <c r="C32" s="5" t="s">
        <v>14</v>
      </c>
      <c r="D32" s="257">
        <f>'Shadow DCF'!D125</f>
        <v>4495.6111581808236</v>
      </c>
      <c r="E32" s="257">
        <f>'Shadow DCF'!E125</f>
        <v>7356.796140475667</v>
      </c>
      <c r="F32" s="257">
        <f>'Shadow DCF'!F125</f>
        <v>11529.88540803545</v>
      </c>
      <c r="G32" s="3"/>
      <c r="H32" s="3"/>
      <c r="I32" s="3"/>
      <c r="J32" s="3"/>
      <c r="K32" s="3"/>
      <c r="L32" s="3"/>
      <c r="M32" s="3"/>
    </row>
    <row r="33" spans="2:13" x14ac:dyDescent="0.2">
      <c r="B33" s="3"/>
      <c r="C33" s="3"/>
      <c r="D33" s="3"/>
      <c r="E33" s="3"/>
      <c r="F33" s="3"/>
      <c r="G33" s="3"/>
      <c r="H33" s="3"/>
      <c r="I33" s="3"/>
      <c r="J33" s="3"/>
      <c r="K33" s="3"/>
      <c r="L33" s="3"/>
      <c r="M33" s="3"/>
    </row>
    <row r="34" spans="2:13" x14ac:dyDescent="0.2">
      <c r="B34" s="203" t="s">
        <v>539</v>
      </c>
      <c r="C34" s="203"/>
      <c r="D34" s="203"/>
      <c r="E34" s="203"/>
      <c r="F34" s="203"/>
      <c r="G34" s="203"/>
      <c r="H34" s="3"/>
      <c r="I34" s="3"/>
      <c r="J34" s="3"/>
      <c r="K34" s="3"/>
      <c r="L34" s="3"/>
      <c r="M34" s="3"/>
    </row>
    <row r="35" spans="2:13" ht="15" customHeight="1" x14ac:dyDescent="0.2">
      <c r="B35" s="364" t="s">
        <v>540</v>
      </c>
      <c r="C35" s="364"/>
      <c r="D35" s="364"/>
      <c r="E35" s="364"/>
      <c r="F35" s="364"/>
      <c r="G35" s="364"/>
    </row>
    <row r="36" spans="2:13" x14ac:dyDescent="0.2">
      <c r="B36" s="364"/>
      <c r="C36" s="364"/>
      <c r="D36" s="364"/>
      <c r="E36" s="364"/>
      <c r="F36" s="364"/>
      <c r="G36" s="364"/>
    </row>
    <row r="37" spans="2:13" x14ac:dyDescent="0.2">
      <c r="B37" s="364"/>
      <c r="C37" s="364"/>
      <c r="D37" s="364"/>
      <c r="E37" s="364"/>
      <c r="F37" s="364"/>
      <c r="G37" s="364"/>
    </row>
    <row r="38" spans="2:13" x14ac:dyDescent="0.2">
      <c r="B38" s="364"/>
      <c r="C38" s="364"/>
      <c r="D38" s="364"/>
      <c r="E38" s="364"/>
      <c r="F38" s="364"/>
      <c r="G38" s="364"/>
    </row>
    <row r="39" spans="2:13" x14ac:dyDescent="0.2">
      <c r="B39" s="364"/>
      <c r="C39" s="364"/>
      <c r="D39" s="364"/>
      <c r="E39" s="364"/>
      <c r="F39" s="364"/>
      <c r="G39" s="364"/>
    </row>
    <row r="40" spans="2:13" x14ac:dyDescent="0.2">
      <c r="B40" s="364"/>
      <c r="C40" s="364"/>
      <c r="D40" s="364"/>
      <c r="E40" s="364"/>
      <c r="F40" s="364"/>
      <c r="G40" s="364"/>
    </row>
    <row r="41" spans="2:13" x14ac:dyDescent="0.2">
      <c r="B41" s="365"/>
      <c r="C41" s="364"/>
      <c r="D41" s="364"/>
      <c r="E41" s="364"/>
      <c r="F41" s="364"/>
      <c r="G41" s="364"/>
    </row>
    <row r="42" spans="2:13" ht="30" customHeight="1" x14ac:dyDescent="0.2">
      <c r="B42" s="366"/>
      <c r="C42" s="367"/>
      <c r="D42" s="367"/>
      <c r="E42" s="367"/>
      <c r="F42" s="366"/>
      <c r="G42" s="364"/>
    </row>
    <row r="43" spans="2:13" x14ac:dyDescent="0.2">
      <c r="B43" s="550" t="s">
        <v>654</v>
      </c>
      <c r="C43" s="594" t="s">
        <v>12</v>
      </c>
      <c r="D43" s="551" t="s">
        <v>47</v>
      </c>
      <c r="E43" s="552" t="s">
        <v>57</v>
      </c>
      <c r="F43" s="553" t="s">
        <v>48</v>
      </c>
      <c r="H43" s="351"/>
      <c r="I43" s="351"/>
    </row>
    <row r="44" spans="2:13" x14ac:dyDescent="0.2">
      <c r="B44" s="200" t="s">
        <v>652</v>
      </c>
      <c r="C44" s="92" t="s">
        <v>36</v>
      </c>
      <c r="D44" s="549">
        <f>'Shadow DCF'!D128</f>
        <v>69.578752590016876</v>
      </c>
      <c r="E44" s="549">
        <f>'Shadow DCF'!E128</f>
        <v>126.10899273145715</v>
      </c>
      <c r="F44" s="549">
        <f>'Shadow DCF'!F128</f>
        <v>207.07500018289065</v>
      </c>
      <c r="H44" s="351"/>
      <c r="I44" s="351"/>
    </row>
    <row r="45" spans="2:13" x14ac:dyDescent="0.2">
      <c r="B45" s="200" t="s">
        <v>653</v>
      </c>
      <c r="C45" s="92" t="s">
        <v>36</v>
      </c>
      <c r="D45" s="549">
        <f>'Shadow DCF Rec'!D24</f>
        <v>76.59</v>
      </c>
      <c r="E45" s="549">
        <f>'Shadow DCF Rec'!E24</f>
        <v>130.535</v>
      </c>
      <c r="F45" s="549">
        <f>'Shadow DCF Rec'!F24</f>
        <v>203.88499999999999</v>
      </c>
      <c r="H45" s="351"/>
      <c r="I45" s="351"/>
    </row>
    <row r="46" spans="2:13" x14ac:dyDescent="0.2">
      <c r="B46" s="200" t="s">
        <v>650</v>
      </c>
      <c r="C46" s="92" t="s">
        <v>2</v>
      </c>
      <c r="D46" s="513">
        <f>IFERROR(D44/D45-1,"")</f>
        <v>-9.1542595769462443E-2</v>
      </c>
      <c r="E46" s="513">
        <f>IFERROR(E44/E45-1,"")</f>
        <v>-3.3906670766789326E-2</v>
      </c>
      <c r="F46" s="513">
        <f>IFERROR(F44/F45-1,"")</f>
        <v>1.564607589028455E-2</v>
      </c>
      <c r="H46" s="351"/>
      <c r="I46" s="351"/>
    </row>
    <row r="48" spans="2:13" x14ac:dyDescent="0.2">
      <c r="B48" s="4"/>
      <c r="C48" s="353"/>
      <c r="F48" s="352"/>
    </row>
  </sheetData>
  <mergeCells count="2">
    <mergeCell ref="B35:G42"/>
    <mergeCell ref="J25:Q2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35"/>
  <sheetViews>
    <sheetView showGridLines="0" workbookViewId="0">
      <selection activeCell="B3" sqref="B3"/>
    </sheetView>
  </sheetViews>
  <sheetFormatPr baseColWidth="10" defaultColWidth="8.83203125" defaultRowHeight="14" x14ac:dyDescent="0.2"/>
  <cols>
    <col min="1" max="1" width="2.5" style="16" customWidth="1"/>
    <col min="2" max="2" width="12.5" style="16" customWidth="1"/>
    <col min="3" max="12" width="14.6640625" style="16" customWidth="1"/>
    <col min="13" max="13" width="2.5" style="16" customWidth="1"/>
    <col min="14" max="16384" width="8.83203125" style="16"/>
  </cols>
  <sheetData>
    <row r="2" spans="1:14" ht="19" customHeight="1" x14ac:dyDescent="0.2">
      <c r="B2" s="31" t="s">
        <v>55</v>
      </c>
    </row>
    <row r="3" spans="1:14" x14ac:dyDescent="0.2">
      <c r="B3" s="596" t="s">
        <v>211</v>
      </c>
    </row>
    <row r="5" spans="1:14" ht="20" customHeight="1" x14ac:dyDescent="0.2">
      <c r="A5"/>
      <c r="B5"/>
      <c r="C5" s="559" t="s">
        <v>659</v>
      </c>
      <c r="D5" s="559"/>
      <c r="E5" s="559"/>
      <c r="F5" s="559"/>
      <c r="G5" s="559"/>
      <c r="H5" s="559" t="s">
        <v>660</v>
      </c>
      <c r="I5" s="559"/>
      <c r="J5" s="559"/>
      <c r="K5" s="559"/>
      <c r="L5" s="559"/>
      <c r="M5"/>
      <c r="N5"/>
    </row>
    <row r="6" spans="1:14" ht="32" customHeight="1" x14ac:dyDescent="0.2">
      <c r="A6"/>
      <c r="B6" s="556" t="s">
        <v>658</v>
      </c>
      <c r="C6" s="557" t="s">
        <v>661</v>
      </c>
      <c r="D6" s="563"/>
      <c r="E6" s="563"/>
      <c r="F6" s="563"/>
      <c r="G6" s="563"/>
      <c r="H6" s="558" t="s">
        <v>662</v>
      </c>
      <c r="I6" s="568"/>
      <c r="J6" s="568"/>
      <c r="K6" s="568"/>
      <c r="L6" s="572"/>
      <c r="M6"/>
      <c r="N6"/>
    </row>
    <row r="7" spans="1:14" ht="38" customHeight="1" x14ac:dyDescent="0.2">
      <c r="A7"/>
      <c r="B7" s="555"/>
      <c r="C7" s="565" t="s">
        <v>666</v>
      </c>
      <c r="D7" s="560"/>
      <c r="E7" s="560"/>
      <c r="F7" s="560"/>
      <c r="G7" s="560"/>
      <c r="H7" s="570" t="s">
        <v>672</v>
      </c>
      <c r="I7" s="567"/>
      <c r="J7" s="567"/>
      <c r="K7" s="567"/>
      <c r="L7" s="573"/>
      <c r="M7"/>
      <c r="N7"/>
    </row>
    <row r="8" spans="1:14" ht="38" customHeight="1" x14ac:dyDescent="0.2">
      <c r="A8"/>
      <c r="B8" s="555"/>
      <c r="C8" s="565" t="s">
        <v>667</v>
      </c>
      <c r="D8" s="560"/>
      <c r="E8" s="560"/>
      <c r="F8" s="560"/>
      <c r="G8" s="560"/>
      <c r="H8" s="570" t="s">
        <v>673</v>
      </c>
      <c r="I8" s="567"/>
      <c r="J8" s="567"/>
      <c r="K8" s="567"/>
      <c r="L8" s="573"/>
      <c r="M8"/>
      <c r="N8"/>
    </row>
    <row r="9" spans="1:14" ht="38" customHeight="1" x14ac:dyDescent="0.2">
      <c r="A9"/>
      <c r="B9" s="555"/>
      <c r="C9" s="565" t="s">
        <v>668</v>
      </c>
      <c r="D9" s="560"/>
      <c r="E9" s="560"/>
      <c r="F9" s="560"/>
      <c r="G9" s="560"/>
      <c r="H9" s="570" t="s">
        <v>674</v>
      </c>
      <c r="I9" s="567"/>
      <c r="J9" s="567"/>
      <c r="K9" s="567"/>
      <c r="L9" s="573"/>
      <c r="M9"/>
      <c r="N9"/>
    </row>
    <row r="10" spans="1:14" ht="38" customHeight="1" x14ac:dyDescent="0.2">
      <c r="A10"/>
      <c r="B10" s="555"/>
      <c r="C10" s="565" t="s">
        <v>669</v>
      </c>
      <c r="D10" s="560"/>
      <c r="E10" s="560"/>
      <c r="F10" s="560"/>
      <c r="G10" s="560"/>
      <c r="H10" s="570"/>
      <c r="I10" s="567"/>
      <c r="J10" s="567"/>
      <c r="K10" s="567"/>
      <c r="L10" s="573"/>
      <c r="M10"/>
      <c r="N10"/>
    </row>
    <row r="11" spans="1:14" ht="38" customHeight="1" x14ac:dyDescent="0.2">
      <c r="A11"/>
      <c r="B11" s="555"/>
      <c r="C11" s="565" t="s">
        <v>670</v>
      </c>
      <c r="D11" s="560"/>
      <c r="E11" s="560"/>
      <c r="F11" s="560"/>
      <c r="G11" s="560"/>
      <c r="H11" s="570"/>
      <c r="I11" s="567"/>
      <c r="J11" s="567"/>
      <c r="K11" s="567"/>
      <c r="L11" s="573"/>
      <c r="M11"/>
      <c r="N11"/>
    </row>
    <row r="12" spans="1:14" ht="38" customHeight="1" x14ac:dyDescent="0.2">
      <c r="A12"/>
      <c r="B12" s="555"/>
      <c r="C12" s="565" t="s">
        <v>671</v>
      </c>
      <c r="D12" s="560"/>
      <c r="E12" s="560"/>
      <c r="F12" s="560"/>
      <c r="G12" s="560"/>
      <c r="H12" s="570"/>
      <c r="I12" s="567"/>
      <c r="J12" s="567"/>
      <c r="K12" s="567"/>
      <c r="L12" s="573"/>
      <c r="M12"/>
      <c r="N12"/>
    </row>
    <row r="13" spans="1:14" ht="38" customHeight="1" x14ac:dyDescent="0.2">
      <c r="A13"/>
      <c r="B13" s="555"/>
      <c r="C13" s="566"/>
      <c r="D13" s="564"/>
      <c r="E13" s="564"/>
      <c r="F13" s="564"/>
      <c r="G13" s="590"/>
      <c r="H13" s="571"/>
      <c r="I13" s="569"/>
      <c r="J13" s="569"/>
      <c r="K13" s="569"/>
      <c r="L13" s="574"/>
      <c r="M13"/>
      <c r="N13"/>
    </row>
    <row r="14" spans="1:14" ht="18" customHeight="1" x14ac:dyDescent="0.2">
      <c r="A14"/>
      <c r="B14"/>
      <c r="C14"/>
      <c r="D14"/>
      <c r="E14"/>
      <c r="F14"/>
      <c r="G14"/>
      <c r="H14"/>
      <c r="I14"/>
      <c r="J14"/>
      <c r="K14"/>
      <c r="L14"/>
      <c r="M14"/>
      <c r="N14"/>
    </row>
    <row r="15" spans="1:14" ht="32" customHeight="1" x14ac:dyDescent="0.2">
      <c r="A15"/>
      <c r="B15" s="556" t="s">
        <v>665</v>
      </c>
      <c r="C15" s="577" t="s">
        <v>663</v>
      </c>
      <c r="D15" s="575"/>
      <c r="E15" s="575"/>
      <c r="F15" s="575"/>
      <c r="G15" s="575"/>
      <c r="H15" s="582" t="s">
        <v>664</v>
      </c>
      <c r="I15" s="580"/>
      <c r="J15" s="580"/>
      <c r="K15" s="580"/>
      <c r="L15" s="585"/>
      <c r="M15"/>
      <c r="N15"/>
    </row>
    <row r="16" spans="1:14" ht="38" customHeight="1" x14ac:dyDescent="0.2">
      <c r="A16"/>
      <c r="B16" s="555"/>
      <c r="C16" s="578" t="s">
        <v>675</v>
      </c>
      <c r="D16" s="561"/>
      <c r="E16" s="561"/>
      <c r="F16" s="561"/>
      <c r="G16" s="561"/>
      <c r="H16" s="583" t="s">
        <v>679</v>
      </c>
      <c r="I16" s="562"/>
      <c r="J16" s="562"/>
      <c r="K16" s="562"/>
      <c r="L16" s="586"/>
      <c r="M16"/>
      <c r="N16"/>
    </row>
    <row r="17" spans="1:14" ht="38" customHeight="1" x14ac:dyDescent="0.2">
      <c r="A17"/>
      <c r="B17" s="555"/>
      <c r="C17" s="578" t="s">
        <v>676</v>
      </c>
      <c r="D17" s="561"/>
      <c r="E17" s="561"/>
      <c r="F17" s="561"/>
      <c r="G17" s="561"/>
      <c r="H17" s="583" t="s">
        <v>680</v>
      </c>
      <c r="I17" s="562"/>
      <c r="J17" s="562"/>
      <c r="K17" s="562"/>
      <c r="L17" s="586"/>
      <c r="M17"/>
      <c r="N17"/>
    </row>
    <row r="18" spans="1:14" ht="38" customHeight="1" x14ac:dyDescent="0.2">
      <c r="A18"/>
      <c r="B18" s="555"/>
      <c r="C18" s="578" t="s">
        <v>677</v>
      </c>
      <c r="D18" s="561"/>
      <c r="E18" s="561"/>
      <c r="F18" s="561"/>
      <c r="G18" s="561"/>
      <c r="H18" s="583" t="s">
        <v>681</v>
      </c>
      <c r="I18" s="562"/>
      <c r="J18" s="562"/>
      <c r="K18" s="562"/>
      <c r="L18" s="586"/>
      <c r="M18"/>
      <c r="N18"/>
    </row>
    <row r="19" spans="1:14" ht="38" customHeight="1" x14ac:dyDescent="0.2">
      <c r="A19"/>
      <c r="B19" s="555"/>
      <c r="C19" s="578" t="s">
        <v>678</v>
      </c>
      <c r="D19" s="561"/>
      <c r="E19" s="561"/>
      <c r="F19" s="561"/>
      <c r="G19" s="561"/>
      <c r="H19" s="583" t="s">
        <v>682</v>
      </c>
      <c r="I19" s="562"/>
      <c r="J19" s="562"/>
      <c r="K19" s="562"/>
      <c r="L19" s="586"/>
      <c r="M19"/>
      <c r="N19"/>
    </row>
    <row r="20" spans="1:14" ht="38" customHeight="1" x14ac:dyDescent="0.2">
      <c r="A20"/>
      <c r="B20" s="555"/>
      <c r="C20" s="578"/>
      <c r="D20" s="561"/>
      <c r="E20" s="561"/>
      <c r="F20" s="561"/>
      <c r="G20" s="561"/>
      <c r="H20" s="583" t="s">
        <v>683</v>
      </c>
      <c r="I20" s="562"/>
      <c r="J20" s="562"/>
      <c r="K20" s="562"/>
      <c r="L20" s="586"/>
      <c r="M20"/>
      <c r="N20"/>
    </row>
    <row r="21" spans="1:14" ht="38" customHeight="1" x14ac:dyDescent="0.2">
      <c r="A21"/>
      <c r="B21" s="555"/>
      <c r="C21" s="578"/>
      <c r="D21" s="561"/>
      <c r="E21" s="561"/>
      <c r="F21" s="561"/>
      <c r="G21" s="589"/>
      <c r="H21" s="583"/>
      <c r="I21" s="562"/>
      <c r="J21" s="562"/>
      <c r="K21" s="562"/>
      <c r="L21" s="586"/>
      <c r="M21"/>
      <c r="N21"/>
    </row>
    <row r="22" spans="1:14" ht="38" customHeight="1" x14ac:dyDescent="0.2">
      <c r="A22"/>
      <c r="B22" s="555"/>
      <c r="C22" s="579"/>
      <c r="D22" s="576"/>
      <c r="E22" s="576"/>
      <c r="F22" s="576"/>
      <c r="G22" s="588"/>
      <c r="H22" s="584"/>
      <c r="I22" s="581"/>
      <c r="J22" s="581"/>
      <c r="K22" s="581"/>
      <c r="L22" s="587"/>
      <c r="M22"/>
      <c r="N22"/>
    </row>
    <row r="23" spans="1:14" ht="18" customHeight="1" x14ac:dyDescent="0.2">
      <c r="A23"/>
      <c r="B23"/>
      <c r="C23"/>
      <c r="D23"/>
      <c r="E23"/>
      <c r="F23"/>
      <c r="G23"/>
      <c r="H23"/>
      <c r="I23"/>
      <c r="J23"/>
      <c r="K23"/>
      <c r="L23"/>
      <c r="M23"/>
      <c r="N23"/>
    </row>
    <row r="24" spans="1:14" ht="18" customHeight="1" x14ac:dyDescent="0.2">
      <c r="A24"/>
      <c r="B24"/>
      <c r="C24"/>
      <c r="D24"/>
      <c r="E24"/>
      <c r="F24"/>
      <c r="G24"/>
      <c r="H24"/>
      <c r="I24"/>
      <c r="J24"/>
      <c r="K24"/>
      <c r="L24"/>
      <c r="M24"/>
      <c r="N24"/>
    </row>
    <row r="25" spans="1:14" ht="18" customHeight="1" x14ac:dyDescent="0.2">
      <c r="A25"/>
      <c r="B25"/>
      <c r="C25"/>
      <c r="D25"/>
      <c r="E25"/>
      <c r="F25"/>
      <c r="G25"/>
      <c r="H25"/>
      <c r="I25"/>
      <c r="J25"/>
      <c r="K25"/>
      <c r="L25"/>
      <c r="M25"/>
      <c r="N25"/>
    </row>
    <row r="26" spans="1:14" ht="18" customHeight="1" x14ac:dyDescent="0.2">
      <c r="A26"/>
      <c r="B26"/>
      <c r="C26"/>
      <c r="D26"/>
      <c r="E26"/>
      <c r="F26"/>
      <c r="G26"/>
      <c r="H26"/>
      <c r="I26"/>
      <c r="J26"/>
      <c r="K26"/>
      <c r="L26"/>
      <c r="M26"/>
      <c r="N26"/>
    </row>
    <row r="27" spans="1:14" ht="18" customHeight="1" x14ac:dyDescent="0.2">
      <c r="A27"/>
      <c r="B27"/>
      <c r="C27"/>
      <c r="D27"/>
      <c r="E27"/>
      <c r="F27"/>
      <c r="G27"/>
      <c r="H27"/>
      <c r="I27"/>
      <c r="J27"/>
      <c r="K27"/>
      <c r="L27"/>
      <c r="M27"/>
      <c r="N27"/>
    </row>
    <row r="28" spans="1:14" ht="18" customHeight="1" x14ac:dyDescent="0.2">
      <c r="A28"/>
      <c r="B28"/>
      <c r="C28"/>
      <c r="D28"/>
      <c r="E28"/>
      <c r="F28"/>
      <c r="G28"/>
      <c r="H28"/>
      <c r="I28"/>
      <c r="J28"/>
      <c r="K28"/>
      <c r="L28"/>
      <c r="M28"/>
      <c r="N28"/>
    </row>
    <row r="29" spans="1:14" ht="18" customHeight="1" x14ac:dyDescent="0.2">
      <c r="A29"/>
      <c r="B29"/>
      <c r="C29"/>
      <c r="D29"/>
      <c r="E29"/>
      <c r="F29"/>
      <c r="G29"/>
      <c r="H29"/>
      <c r="I29"/>
      <c r="J29"/>
      <c r="K29"/>
      <c r="L29"/>
      <c r="M29"/>
      <c r="N29"/>
    </row>
    <row r="30" spans="1:14" ht="18" customHeight="1" x14ac:dyDescent="0.2">
      <c r="A30"/>
      <c r="B30"/>
      <c r="C30"/>
      <c r="D30"/>
      <c r="E30"/>
      <c r="F30"/>
      <c r="G30"/>
      <c r="H30"/>
      <c r="I30"/>
      <c r="J30"/>
      <c r="K30"/>
      <c r="L30"/>
      <c r="M30"/>
      <c r="N30"/>
    </row>
    <row r="31" spans="1:14" ht="15" x14ac:dyDescent="0.2">
      <c r="A31"/>
      <c r="B31"/>
      <c r="C31"/>
      <c r="D31"/>
      <c r="E31"/>
      <c r="F31"/>
      <c r="G31"/>
      <c r="H31"/>
      <c r="I31"/>
      <c r="J31"/>
      <c r="K31"/>
      <c r="L31"/>
      <c r="M31"/>
      <c r="N31"/>
    </row>
    <row r="32" spans="1:14" ht="15" x14ac:dyDescent="0.2">
      <c r="A32"/>
      <c r="B32"/>
      <c r="C32"/>
      <c r="D32"/>
      <c r="E32"/>
      <c r="F32"/>
      <c r="G32"/>
      <c r="H32"/>
      <c r="I32"/>
      <c r="J32"/>
      <c r="K32"/>
      <c r="L32"/>
      <c r="M32"/>
      <c r="N32"/>
    </row>
    <row r="33" spans="1:14" ht="15" x14ac:dyDescent="0.2">
      <c r="A33"/>
      <c r="B33"/>
      <c r="C33"/>
      <c r="D33"/>
      <c r="E33"/>
      <c r="F33"/>
      <c r="G33"/>
      <c r="H33"/>
      <c r="I33"/>
      <c r="J33"/>
      <c r="K33"/>
      <c r="L33"/>
      <c r="M33"/>
      <c r="N33"/>
    </row>
    <row r="34" spans="1:14" ht="15" x14ac:dyDescent="0.2">
      <c r="A34"/>
      <c r="B34"/>
      <c r="C34"/>
      <c r="D34"/>
      <c r="E34"/>
      <c r="F34"/>
      <c r="G34"/>
      <c r="H34"/>
      <c r="I34"/>
      <c r="J34"/>
      <c r="K34"/>
      <c r="L34"/>
      <c r="M34"/>
      <c r="N34"/>
    </row>
    <row r="35" spans="1:14" ht="15" x14ac:dyDescent="0.2">
      <c r="A35"/>
      <c r="B35"/>
      <c r="C35"/>
      <c r="D35"/>
      <c r="E35"/>
      <c r="F35"/>
      <c r="G35"/>
      <c r="H35"/>
      <c r="I35"/>
      <c r="J35"/>
      <c r="K35"/>
      <c r="L35"/>
      <c r="M35"/>
      <c r="N35"/>
    </row>
  </sheetData>
  <mergeCells count="36">
    <mergeCell ref="H21:L21"/>
    <mergeCell ref="H22:L22"/>
    <mergeCell ref="H16:L16"/>
    <mergeCell ref="H17:L17"/>
    <mergeCell ref="H18:L18"/>
    <mergeCell ref="H19:L19"/>
    <mergeCell ref="H20:L20"/>
    <mergeCell ref="C21:G21"/>
    <mergeCell ref="C22:G22"/>
    <mergeCell ref="C16:G16"/>
    <mergeCell ref="C17:G17"/>
    <mergeCell ref="C18:G18"/>
    <mergeCell ref="C19:G19"/>
    <mergeCell ref="C20:G20"/>
    <mergeCell ref="H15:L15"/>
    <mergeCell ref="C15:G15"/>
    <mergeCell ref="B6:B13"/>
    <mergeCell ref="B15:B22"/>
    <mergeCell ref="H10:L10"/>
    <mergeCell ref="H11:L11"/>
    <mergeCell ref="H12:L12"/>
    <mergeCell ref="C13:G13"/>
    <mergeCell ref="H13:L13"/>
    <mergeCell ref="C7:G7"/>
    <mergeCell ref="C8:G8"/>
    <mergeCell ref="C9:G9"/>
    <mergeCell ref="C10:G10"/>
    <mergeCell ref="C11:G11"/>
    <mergeCell ref="C12:G12"/>
    <mergeCell ref="C5:G5"/>
    <mergeCell ref="H5:L5"/>
    <mergeCell ref="C6:G6"/>
    <mergeCell ref="H6:L6"/>
    <mergeCell ref="H7:L7"/>
    <mergeCell ref="H8:L8"/>
    <mergeCell ref="H9:L9"/>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788D-0656-B549-BA4E-954FC7F52D9D}">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48" t="s">
        <v>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02"/>
  <sheetViews>
    <sheetView showGridLines="0" workbookViewId="0">
      <selection activeCell="A2" sqref="A2"/>
    </sheetView>
  </sheetViews>
  <sheetFormatPr baseColWidth="10" defaultColWidth="8.83203125" defaultRowHeight="14" outlineLevelRow="1" x14ac:dyDescent="0.2"/>
  <cols>
    <col min="1" max="1" width="2.6640625" style="16" customWidth="1"/>
    <col min="2" max="2" width="29.5" style="16" customWidth="1"/>
    <col min="3" max="3" width="8" style="16" customWidth="1"/>
    <col min="4" max="13" width="12" style="16" customWidth="1"/>
    <col min="14" max="14" width="4" style="16" customWidth="1"/>
    <col min="15" max="15" width="79.5" style="16" customWidth="1"/>
    <col min="16" max="20" width="8.83203125" style="16" customWidth="1"/>
    <col min="21" max="16384" width="8.83203125" style="16"/>
  </cols>
  <sheetData>
    <row r="1" spans="1:15" ht="15" x14ac:dyDescent="0.2">
      <c r="O1"/>
    </row>
    <row r="2" spans="1:15" ht="19" customHeight="1" x14ac:dyDescent="0.2">
      <c r="B2" s="21" t="s">
        <v>50</v>
      </c>
      <c r="O2"/>
    </row>
    <row r="3" spans="1:15" ht="15" x14ac:dyDescent="0.2">
      <c r="B3" s="14" t="s">
        <v>99</v>
      </c>
      <c r="O3"/>
    </row>
    <row r="4" spans="1:15" ht="15" x14ac:dyDescent="0.2">
      <c r="B4" s="14" t="s">
        <v>100</v>
      </c>
      <c r="O4"/>
    </row>
    <row r="5" spans="1:15" ht="15" x14ac:dyDescent="0.2">
      <c r="B5" s="14"/>
      <c r="O5"/>
    </row>
    <row r="6" spans="1:15" ht="15" x14ac:dyDescent="0.2">
      <c r="B6" s="14"/>
      <c r="O6"/>
    </row>
    <row r="7" spans="1:15" ht="15" customHeight="1" x14ac:dyDescent="0.2">
      <c r="B7" s="38" t="s">
        <v>81</v>
      </c>
      <c r="C7"/>
      <c r="D7"/>
      <c r="E7"/>
      <c r="F7"/>
      <c r="G7"/>
      <c r="H7"/>
      <c r="O7"/>
    </row>
    <row r="8" spans="1:15" ht="15" customHeight="1" x14ac:dyDescent="0.2">
      <c r="B8" s="70" t="s">
        <v>101</v>
      </c>
      <c r="C8"/>
      <c r="D8"/>
      <c r="E8"/>
      <c r="F8"/>
      <c r="G8"/>
      <c r="H8"/>
      <c r="O8"/>
    </row>
    <row r="9" spans="1:15" ht="15" customHeight="1" x14ac:dyDescent="0.2">
      <c r="B9" s="85" t="s">
        <v>56</v>
      </c>
      <c r="C9" s="86" t="s">
        <v>12</v>
      </c>
      <c r="D9" s="89" t="s">
        <v>102</v>
      </c>
      <c r="E9" s="89" t="s">
        <v>47</v>
      </c>
      <c r="F9" s="89" t="s">
        <v>57</v>
      </c>
      <c r="G9" s="89" t="s">
        <v>48</v>
      </c>
      <c r="H9" s="40" t="s">
        <v>58</v>
      </c>
      <c r="O9"/>
    </row>
    <row r="10" spans="1:15" ht="15" customHeight="1" x14ac:dyDescent="0.2">
      <c r="B10" s="84" t="s">
        <v>66</v>
      </c>
      <c r="C10" s="83"/>
      <c r="D10" s="83"/>
      <c r="E10" s="83"/>
      <c r="F10" s="83"/>
      <c r="G10" s="83"/>
      <c r="H10" s="90"/>
      <c r="O10"/>
    </row>
    <row r="11" spans="1:15" ht="15" customHeight="1" outlineLevel="1" x14ac:dyDescent="0.2">
      <c r="A11" s="77"/>
      <c r="B11" s="91" t="s">
        <v>316</v>
      </c>
      <c r="C11" s="92" t="s">
        <v>2</v>
      </c>
      <c r="D11" s="462">
        <v>8.5999999999999993E-2</v>
      </c>
      <c r="E11" s="462">
        <v>0.01</v>
      </c>
      <c r="F11" s="462">
        <v>2.5000000000000001E-2</v>
      </c>
      <c r="G11" s="462">
        <v>0.04</v>
      </c>
      <c r="H11" s="463" t="s">
        <v>57</v>
      </c>
      <c r="I11" s="464"/>
      <c r="J11" s="464"/>
      <c r="K11" s="464"/>
      <c r="L11" s="464"/>
      <c r="M11" s="464"/>
      <c r="N11" s="464"/>
      <c r="O11" s="465"/>
    </row>
    <row r="12" spans="1:15" ht="15" customHeight="1" outlineLevel="1" x14ac:dyDescent="0.2">
      <c r="B12" s="91" t="s">
        <v>318</v>
      </c>
      <c r="C12" s="92" t="s">
        <v>2</v>
      </c>
      <c r="D12" s="462">
        <v>-2.4E-2</v>
      </c>
      <c r="E12" s="462">
        <v>-0.03</v>
      </c>
      <c r="F12" s="462">
        <v>0.01</v>
      </c>
      <c r="G12" s="462">
        <v>0.03</v>
      </c>
      <c r="H12" s="463" t="s">
        <v>57</v>
      </c>
      <c r="I12" s="464"/>
      <c r="J12" s="464"/>
      <c r="K12" s="464"/>
      <c r="L12" s="464"/>
      <c r="M12" s="464"/>
      <c r="N12" s="464"/>
      <c r="O12" s="465"/>
    </row>
    <row r="13" spans="1:15" ht="15" customHeight="1" outlineLevel="1" x14ac:dyDescent="0.2">
      <c r="B13" s="91" t="s">
        <v>319</v>
      </c>
      <c r="C13" s="92" t="s">
        <v>2</v>
      </c>
      <c r="D13" s="462">
        <v>4.4999999999999998E-2</v>
      </c>
      <c r="E13" s="462">
        <v>4.4999999999999998E-2</v>
      </c>
      <c r="F13" s="462">
        <v>4.5999999999999999E-2</v>
      </c>
      <c r="G13" s="462">
        <v>4.7E-2</v>
      </c>
      <c r="H13" s="463" t="s">
        <v>57</v>
      </c>
      <c r="I13" s="464"/>
      <c r="J13" s="464"/>
      <c r="K13" s="464"/>
      <c r="L13" s="464"/>
      <c r="M13" s="464"/>
      <c r="N13" s="464"/>
      <c r="O13" s="465"/>
    </row>
    <row r="14" spans="1:15" ht="15" customHeight="1" x14ac:dyDescent="0.2">
      <c r="B14" s="84" t="s">
        <v>320</v>
      </c>
      <c r="C14" s="55"/>
      <c r="D14" s="78"/>
      <c r="E14" s="78"/>
      <c r="F14" s="78"/>
      <c r="G14" s="78"/>
      <c r="H14" s="88"/>
      <c r="O14"/>
    </row>
    <row r="15" spans="1:15" ht="15" outlineLevel="1" x14ac:dyDescent="0.2">
      <c r="A15" s="77"/>
      <c r="B15" s="91" t="s">
        <v>580</v>
      </c>
      <c r="C15" s="92" t="s">
        <v>2</v>
      </c>
      <c r="D15" s="462">
        <v>0.255</v>
      </c>
      <c r="E15" s="462">
        <v>0.27</v>
      </c>
      <c r="F15" s="462">
        <v>0.26</v>
      </c>
      <c r="G15" s="462">
        <v>0.245</v>
      </c>
      <c r="H15" s="463" t="s">
        <v>57</v>
      </c>
      <c r="I15" s="464"/>
      <c r="J15" s="464"/>
      <c r="K15" s="464"/>
      <c r="L15" s="464"/>
      <c r="M15" s="464"/>
      <c r="N15" s="464"/>
      <c r="O15" s="465"/>
    </row>
    <row r="16" spans="1:15" ht="15" outlineLevel="1" x14ac:dyDescent="0.2">
      <c r="B16" s="91" t="s">
        <v>581</v>
      </c>
      <c r="C16" s="92" t="s">
        <v>2</v>
      </c>
      <c r="D16" s="462">
        <v>0.32200000000000001</v>
      </c>
      <c r="E16" s="462">
        <v>0.33500000000000002</v>
      </c>
      <c r="F16" s="462">
        <v>0.32500000000000001</v>
      </c>
      <c r="G16" s="462">
        <v>0.315</v>
      </c>
      <c r="H16" s="463" t="s">
        <v>57</v>
      </c>
      <c r="I16" s="464"/>
      <c r="J16" s="464"/>
      <c r="K16" s="464"/>
      <c r="L16" s="464"/>
      <c r="M16" s="464"/>
      <c r="N16" s="464"/>
      <c r="O16" s="465"/>
    </row>
    <row r="17" spans="1:15" ht="15" outlineLevel="1" x14ac:dyDescent="0.2">
      <c r="B17" s="91" t="s">
        <v>582</v>
      </c>
      <c r="C17" s="92" t="s">
        <v>2</v>
      </c>
      <c r="D17" s="462">
        <v>0.245</v>
      </c>
      <c r="E17" s="462">
        <v>0.26</v>
      </c>
      <c r="F17" s="462">
        <v>0.25</v>
      </c>
      <c r="G17" s="462">
        <v>0.23499999999999999</v>
      </c>
      <c r="H17" s="463" t="s">
        <v>57</v>
      </c>
      <c r="I17" s="464"/>
      <c r="J17" s="464"/>
      <c r="K17" s="464"/>
      <c r="L17" s="464"/>
      <c r="M17" s="464"/>
      <c r="N17" s="464"/>
      <c r="O17" s="465"/>
    </row>
    <row r="18" spans="1:15" ht="15" outlineLevel="1" x14ac:dyDescent="0.2">
      <c r="B18" s="91" t="s">
        <v>114</v>
      </c>
      <c r="C18" s="92" t="s">
        <v>2</v>
      </c>
      <c r="D18" s="462">
        <v>4.1000000000000002E-2</v>
      </c>
      <c r="E18" s="462">
        <v>4.4999999999999998E-2</v>
      </c>
      <c r="F18" s="462">
        <v>0.04</v>
      </c>
      <c r="G18" s="462">
        <v>3.7999999999999999E-2</v>
      </c>
      <c r="H18" s="463" t="s">
        <v>57</v>
      </c>
      <c r="I18" s="464"/>
      <c r="J18" s="464"/>
      <c r="K18" s="464"/>
      <c r="L18" s="464"/>
      <c r="M18" s="464"/>
      <c r="N18" s="464"/>
      <c r="O18" s="465"/>
    </row>
    <row r="19" spans="1:15" ht="15" outlineLevel="1" x14ac:dyDescent="0.2">
      <c r="B19" s="91" t="s">
        <v>118</v>
      </c>
      <c r="C19" s="92" t="s">
        <v>2</v>
      </c>
      <c r="D19" s="462">
        <v>4.4999999999999998E-2</v>
      </c>
      <c r="E19" s="462">
        <v>4.4999999999999998E-2</v>
      </c>
      <c r="F19" s="462">
        <v>0.04</v>
      </c>
      <c r="G19" s="462">
        <v>3.5000000000000003E-2</v>
      </c>
      <c r="H19" s="463" t="s">
        <v>57</v>
      </c>
      <c r="I19" s="464"/>
      <c r="J19" s="464"/>
      <c r="K19" s="464"/>
      <c r="L19" s="464"/>
      <c r="M19" s="464"/>
      <c r="N19" s="464"/>
      <c r="O19" s="465"/>
    </row>
    <row r="20" spans="1:15" ht="15" x14ac:dyDescent="0.2">
      <c r="B20" s="84" t="s">
        <v>63</v>
      </c>
      <c r="C20" s="55"/>
      <c r="D20" s="78"/>
      <c r="E20" s="78"/>
      <c r="F20" s="78"/>
      <c r="G20" s="78"/>
      <c r="H20" s="88"/>
      <c r="O20"/>
    </row>
    <row r="21" spans="1:15" ht="15" outlineLevel="1" x14ac:dyDescent="0.2">
      <c r="B21" s="91" t="s">
        <v>583</v>
      </c>
      <c r="C21" s="92" t="s">
        <v>2</v>
      </c>
      <c r="D21" s="462">
        <v>0.6</v>
      </c>
      <c r="E21" s="462">
        <v>0.3</v>
      </c>
      <c r="F21" s="462">
        <v>0.5</v>
      </c>
      <c r="G21" s="462">
        <v>0.7</v>
      </c>
      <c r="H21" s="463" t="s">
        <v>57</v>
      </c>
      <c r="I21" s="464"/>
      <c r="J21" s="464"/>
      <c r="K21" s="464"/>
      <c r="L21" s="464"/>
      <c r="M21" s="464"/>
      <c r="N21" s="464"/>
      <c r="O21" s="465"/>
    </row>
    <row r="22" spans="1:15" ht="15" x14ac:dyDescent="0.2">
      <c r="B22" s="84" t="s">
        <v>322</v>
      </c>
      <c r="C22" s="55"/>
      <c r="D22" s="78"/>
      <c r="E22" s="78"/>
      <c r="F22" s="78"/>
      <c r="G22" s="78"/>
      <c r="H22" s="87"/>
      <c r="O22"/>
    </row>
    <row r="23" spans="1:15" ht="15" outlineLevel="1" x14ac:dyDescent="0.2">
      <c r="A23" s="77"/>
      <c r="B23" s="91" t="s">
        <v>19</v>
      </c>
      <c r="C23" s="92" t="s">
        <v>2</v>
      </c>
      <c r="D23" s="462">
        <v>2.5000000000000001E-2</v>
      </c>
      <c r="E23" s="462">
        <v>0.02</v>
      </c>
      <c r="F23" s="462">
        <v>2.5000000000000001E-2</v>
      </c>
      <c r="G23" s="462">
        <v>0.03</v>
      </c>
      <c r="H23" s="463" t="s">
        <v>57</v>
      </c>
      <c r="I23" s="464"/>
      <c r="J23" s="464"/>
      <c r="K23" s="464"/>
      <c r="L23" s="464"/>
      <c r="M23" s="464"/>
      <c r="N23" s="464"/>
      <c r="O23" s="465"/>
    </row>
    <row r="24" spans="1:15" outlineLevel="1" x14ac:dyDescent="0.2">
      <c r="B24" s="93" t="s">
        <v>323</v>
      </c>
      <c r="C24" s="94" t="s">
        <v>4</v>
      </c>
      <c r="D24" s="95">
        <v>11</v>
      </c>
      <c r="E24" s="95">
        <v>9</v>
      </c>
      <c r="F24" s="95">
        <v>11</v>
      </c>
      <c r="G24" s="95">
        <v>13</v>
      </c>
      <c r="H24" s="39" t="s">
        <v>57</v>
      </c>
      <c r="I24" s="81"/>
      <c r="J24" s="81"/>
      <c r="K24" s="81"/>
      <c r="L24" s="81"/>
      <c r="M24" s="81"/>
      <c r="O24" s="82"/>
    </row>
    <row r="25" spans="1:15" ht="15" x14ac:dyDescent="0.2">
      <c r="B25" s="69"/>
      <c r="C25" s="79"/>
      <c r="D25" s="80"/>
      <c r="E25" s="80"/>
      <c r="F25" s="80"/>
      <c r="G25" s="80"/>
      <c r="H25" s="80"/>
      <c r="O25"/>
    </row>
    <row r="26" spans="1:15" ht="15" x14ac:dyDescent="0.2">
      <c r="B26" s="69"/>
      <c r="C26" s="79"/>
      <c r="O26"/>
    </row>
    <row r="27" spans="1:15" ht="15" customHeight="1" thickBot="1" x14ac:dyDescent="0.25">
      <c r="B27" s="134" t="s">
        <v>79</v>
      </c>
      <c r="C27" s="240" t="s">
        <v>12</v>
      </c>
      <c r="D27" s="241" t="str">
        <f>IF('Cover Page'!$C$63+0&lt;'Cover Page'!$C$64,"FY"&amp;TEXT(MOD('Cover Page'!$C$63+0,100),"00")&amp;"A","FY"&amp;TEXT(MOD('Cover Page'!$C$63+0,100),"00")&amp;"E")</f>
        <v>FY21A</v>
      </c>
      <c r="E27" s="241" t="str">
        <f>IF('Cover Page'!$C$63+1&lt;'Cover Page'!$C$64,"FY"&amp;TEXT(MOD('Cover Page'!$C$63+1,100),"00")&amp;"A","FY"&amp;TEXT(MOD('Cover Page'!$C$63+1,100),"00")&amp;"E")</f>
        <v>FY22A</v>
      </c>
      <c r="F27" s="241" t="str">
        <f>IF('Cover Page'!$C$63+2&lt;'Cover Page'!$C$64,"FY"&amp;TEXT(MOD('Cover Page'!$C$63+2,100),"00")&amp;"A","FY"&amp;TEXT(MOD('Cover Page'!$C$63+2,100),"00")&amp;"E")</f>
        <v>FY23A</v>
      </c>
      <c r="G27" s="241" t="str">
        <f>IF('Cover Page'!$C$63+3&lt;'Cover Page'!$C$64,"FY"&amp;TEXT(MOD('Cover Page'!$C$63+3,100),"00")&amp;"A","FY"&amp;TEXT(MOD('Cover Page'!$C$63+3,100),"00")&amp;"E")</f>
        <v>FY24A</v>
      </c>
      <c r="H27" s="241" t="str">
        <f>IF('Cover Page'!$C$63+4&lt;'Cover Page'!$C$64,"FY"&amp;TEXT(MOD('Cover Page'!$C$63+4,100),"00")&amp;"A","FY"&amp;TEXT(MOD('Cover Page'!$C$63+4,100),"00")&amp;"E")</f>
        <v>FY25A</v>
      </c>
      <c r="I27" s="242" t="str">
        <f>IF('Cover Page'!$C$63+5&lt;'Cover Page'!$C$64,"FY"&amp;TEXT(MOD('Cover Page'!$C$63+5,100),"00")&amp;"A","FY"&amp;TEXT(MOD('Cover Page'!$C$63+5,100),"00")&amp;"E")</f>
        <v>FY26E</v>
      </c>
      <c r="J27" s="242" t="str">
        <f>IF('Cover Page'!$C$63+6&lt;'Cover Page'!$C$64,"FY"&amp;TEXT(MOD('Cover Page'!$C$63+6,100),"00")&amp;"A","FY"&amp;TEXT(MOD('Cover Page'!$C$63+6,100),"00")&amp;"E")</f>
        <v>FY27E</v>
      </c>
      <c r="K27" s="242" t="str">
        <f>IF('Cover Page'!$C$63+7&lt;'Cover Page'!$C$64,"FY"&amp;TEXT(MOD('Cover Page'!$C$63+7,100),"00")&amp;"A","FY"&amp;TEXT(MOD('Cover Page'!$C$63+7,100),"00")&amp;"E")</f>
        <v>FY28E</v>
      </c>
      <c r="L27" s="242" t="str">
        <f>IF('Cover Page'!$C$63+8&lt;'Cover Page'!$C$64,"FY"&amp;TEXT(MOD('Cover Page'!$C$63+8,100),"00")&amp;"A","FY"&amp;TEXT(MOD('Cover Page'!$C$63+8,100),"00")&amp;"E")</f>
        <v>FY29E</v>
      </c>
      <c r="M27" s="242" t="str">
        <f>IF('Cover Page'!$C$63+9&lt;'Cover Page'!$C$64,"FY"&amp;TEXT(MOD('Cover Page'!$C$63+9,100),"00")&amp;"A","FY"&amp;TEXT(MOD('Cover Page'!$C$63+9,100),"00")&amp;"E")</f>
        <v>FY30E</v>
      </c>
      <c r="O27" s="13" t="s">
        <v>60</v>
      </c>
    </row>
    <row r="28" spans="1:15" ht="15" customHeight="1" x14ac:dyDescent="0.2">
      <c r="B28" s="233" t="s">
        <v>382</v>
      </c>
      <c r="C28" s="141" t="s">
        <v>2</v>
      </c>
      <c r="D28" s="466">
        <f>'Revenue Build'!D22</f>
        <v>0.215</v>
      </c>
      <c r="E28" s="466">
        <f>'Revenue Build'!E22</f>
        <v>0.03</v>
      </c>
      <c r="F28" s="466">
        <f>'Revenue Build'!F22</f>
        <v>7.3999999999999996E-2</v>
      </c>
      <c r="G28" s="466">
        <f>'Revenue Build'!G22</f>
        <v>3.7999999999999999E-2</v>
      </c>
      <c r="H28" s="466">
        <f>'Revenue Build'!H22</f>
        <v>0.17</v>
      </c>
      <c r="I28" s="466">
        <f>'Revenue Build'!I22</f>
        <v>8.5999999999999993E-2</v>
      </c>
      <c r="J28" s="466">
        <f>'Revenue Build'!J22</f>
        <v>4.7300000000000002E-2</v>
      </c>
      <c r="K28" s="466">
        <f>'Revenue Build'!K22</f>
        <v>3.0099999999999995E-2</v>
      </c>
      <c r="L28" s="466">
        <f>'Revenue Build'!L22</f>
        <v>2.1100000000000001E-2</v>
      </c>
      <c r="M28" s="466">
        <f>'Revenue Build'!M22</f>
        <v>2.5000000000000001E-2</v>
      </c>
      <c r="N28" s="464"/>
      <c r="O28" s="467" t="s">
        <v>389</v>
      </c>
    </row>
    <row r="29" spans="1:15" ht="15" customHeight="1" x14ac:dyDescent="0.2">
      <c r="A29" s="27"/>
      <c r="B29" s="19" t="s">
        <v>383</v>
      </c>
      <c r="C29" s="237" t="s">
        <v>14</v>
      </c>
      <c r="D29" s="137">
        <f>'Income Statement'!D11-'Revenue Build'!D31</f>
        <v>3008.7</v>
      </c>
      <c r="E29" s="137">
        <f>'Income Statement'!E11-'Revenue Build'!E31</f>
        <v>3290.9</v>
      </c>
      <c r="F29" s="137">
        <f>'Income Statement'!F11-'Revenue Build'!F31</f>
        <v>3487.9</v>
      </c>
      <c r="G29" s="137">
        <f>'Income Statement'!G11-'Revenue Build'!G31</f>
        <v>3881.1000000000004</v>
      </c>
      <c r="H29" s="137">
        <f>'Income Statement'!H11-'Revenue Build'!H31</f>
        <v>4850.2</v>
      </c>
      <c r="I29" s="137">
        <f>'Income Statement'!H9*(1+I28)</f>
        <v>5250.5928000000004</v>
      </c>
      <c r="J29" s="238">
        <f>I29*(1+J28)</f>
        <v>5498.9458394399999</v>
      </c>
      <c r="K29" s="238">
        <f>J29*(1+K28)</f>
        <v>5664.4641092071442</v>
      </c>
      <c r="L29" s="238">
        <f>K29*(1+L28)</f>
        <v>5783.9843019114141</v>
      </c>
      <c r="M29" s="238">
        <f>L29*(1+M28)</f>
        <v>5928.5839094591993</v>
      </c>
      <c r="N29" s="27"/>
      <c r="O29" s="372"/>
    </row>
    <row r="30" spans="1:15" ht="15" customHeight="1" x14ac:dyDescent="0.2">
      <c r="B30" s="18" t="s">
        <v>384</v>
      </c>
      <c r="C30" s="239" t="s">
        <v>2</v>
      </c>
      <c r="D30" s="468">
        <f>'Revenue Build'!D29</f>
        <v>0.15</v>
      </c>
      <c r="E30" s="468">
        <f>'Revenue Build'!E29</f>
        <v>0.08</v>
      </c>
      <c r="F30" s="468">
        <f>'Revenue Build'!F29</f>
        <v>6.9000000000000006E-2</v>
      </c>
      <c r="G30" s="468">
        <f>'Revenue Build'!G29</f>
        <v>2.4E-2</v>
      </c>
      <c r="H30" s="468">
        <f>'Revenue Build'!H29</f>
        <v>8.0000000000000002E-3</v>
      </c>
      <c r="I30" s="469">
        <f>'Revenue Build'!I29</f>
        <v>-2.4E-2</v>
      </c>
      <c r="J30" s="469">
        <f>'Revenue Build'!J29</f>
        <v>-7.0000000000000001E-3</v>
      </c>
      <c r="K30" s="469">
        <f>'Revenue Build'!K29</f>
        <v>0.01</v>
      </c>
      <c r="L30" s="469">
        <f>'Revenue Build'!L29</f>
        <v>0.01</v>
      </c>
      <c r="M30" s="469">
        <f>'Revenue Build'!M29</f>
        <v>0.01</v>
      </c>
      <c r="N30" s="464"/>
      <c r="O30" s="467"/>
    </row>
    <row r="31" spans="1:15" ht="14" customHeight="1" x14ac:dyDescent="0.2">
      <c r="B31" s="19" t="s">
        <v>385</v>
      </c>
      <c r="C31" s="237" t="s">
        <v>14</v>
      </c>
      <c r="D31" s="137">
        <f>'Revenue Build'!D31</f>
        <v>270.3</v>
      </c>
      <c r="E31" s="137">
        <f>'Revenue Build'!E31</f>
        <v>421.2</v>
      </c>
      <c r="F31" s="137">
        <f>'Revenue Build'!F31</f>
        <v>475</v>
      </c>
      <c r="G31" s="137">
        <f>'Revenue Build'!G31</f>
        <v>490.00000000000006</v>
      </c>
      <c r="H31" s="137">
        <f>'Revenue Build'!H31</f>
        <v>485.1</v>
      </c>
      <c r="I31" s="137">
        <f>'Income Statement'!H10*(1+I30)</f>
        <v>488.488</v>
      </c>
      <c r="J31" s="238">
        <f>I31*(1+J30)</f>
        <v>485.06858399999999</v>
      </c>
      <c r="K31" s="238">
        <f>J31*(1+K30)</f>
        <v>489.91926983999997</v>
      </c>
      <c r="L31" s="238">
        <f>K31*(1+L30)</f>
        <v>494.81846253839996</v>
      </c>
      <c r="M31" s="238">
        <f>L31*(1+M30)</f>
        <v>499.76664716378394</v>
      </c>
      <c r="O31" s="372"/>
    </row>
    <row r="32" spans="1:15" ht="14" customHeight="1" x14ac:dyDescent="0.2">
      <c r="B32" s="96" t="s">
        <v>386</v>
      </c>
      <c r="C32" s="232" t="s">
        <v>14</v>
      </c>
      <c r="D32" s="243">
        <f>'Revenue Build'!D39</f>
        <v>58.8</v>
      </c>
      <c r="E32" s="243">
        <f>'Revenue Build'!E39</f>
        <v>92</v>
      </c>
      <c r="F32" s="243">
        <f>'Revenue Build'!F39</f>
        <v>91.2</v>
      </c>
      <c r="G32" s="243">
        <f>'Revenue Build'!G39</f>
        <v>44</v>
      </c>
      <c r="H32" s="243">
        <f>'Revenue Build'!H39</f>
        <v>48.9</v>
      </c>
      <c r="I32" s="244">
        <f>'Revenue Build'!I39</f>
        <v>65.433269546436279</v>
      </c>
      <c r="J32" s="244">
        <f>'Revenue Build'!J39</f>
        <v>71.325917200334757</v>
      </c>
      <c r="K32" s="244">
        <f>'Revenue Build'!K39</f>
        <v>76.605997468073383</v>
      </c>
      <c r="L32" s="244">
        <f>'Revenue Build'!L39</f>
        <v>80.573953628764073</v>
      </c>
      <c r="M32" s="244">
        <f>'Revenue Build'!M39</f>
        <v>84.489546161391843</v>
      </c>
      <c r="O32" s="372"/>
    </row>
    <row r="33" spans="2:15" ht="15" customHeight="1" x14ac:dyDescent="0.2">
      <c r="B33" s="245" t="s">
        <v>61</v>
      </c>
      <c r="C33" s="246" t="s">
        <v>14</v>
      </c>
      <c r="D33" s="384">
        <f t="shared" ref="D33:M33" si="0">D29+D31+D32</f>
        <v>3337.8</v>
      </c>
      <c r="E33" s="384">
        <f t="shared" si="0"/>
        <v>3804.1</v>
      </c>
      <c r="F33" s="384">
        <f t="shared" si="0"/>
        <v>4054.1</v>
      </c>
      <c r="G33" s="384">
        <f t="shared" si="0"/>
        <v>4415.1000000000004</v>
      </c>
      <c r="H33" s="384">
        <f t="shared" si="0"/>
        <v>5384.2</v>
      </c>
      <c r="I33" s="384">
        <f t="shared" si="0"/>
        <v>5804.514069546437</v>
      </c>
      <c r="J33" s="384">
        <f t="shared" si="0"/>
        <v>6055.340340640334</v>
      </c>
      <c r="K33" s="384">
        <f t="shared" si="0"/>
        <v>6230.9893765152174</v>
      </c>
      <c r="L33" s="384">
        <f t="shared" si="0"/>
        <v>6359.3767180785781</v>
      </c>
      <c r="M33" s="384">
        <f t="shared" si="0"/>
        <v>6512.8401027843747</v>
      </c>
      <c r="O33" s="372"/>
    </row>
    <row r="34" spans="2:15" ht="15" x14ac:dyDescent="0.2">
      <c r="B34" s="234"/>
      <c r="C34" s="82"/>
      <c r="D34" s="252"/>
      <c r="E34" s="252"/>
      <c r="F34" s="252"/>
      <c r="G34" s="252"/>
      <c r="H34" s="252"/>
      <c r="I34" s="252"/>
      <c r="J34" s="252"/>
      <c r="K34" s="252"/>
      <c r="L34" s="252"/>
      <c r="M34" s="252"/>
      <c r="O34"/>
    </row>
    <row r="35" spans="2:15" ht="16" thickBot="1" x14ac:dyDescent="0.25">
      <c r="B35" s="97" t="s">
        <v>341</v>
      </c>
      <c r="C35" s="253"/>
      <c r="D35" s="254"/>
      <c r="E35" s="254"/>
      <c r="F35" s="254"/>
      <c r="G35" s="254"/>
      <c r="H35" s="254"/>
      <c r="I35" s="254"/>
      <c r="J35" s="254"/>
      <c r="K35" s="254"/>
      <c r="L35" s="254"/>
      <c r="M35" s="254"/>
      <c r="O35"/>
    </row>
    <row r="36" spans="2:15" x14ac:dyDescent="0.2">
      <c r="B36" s="75" t="s">
        <v>327</v>
      </c>
      <c r="C36" s="255" t="s">
        <v>2</v>
      </c>
      <c r="D36" s="470">
        <f>'Income Statement'!D18</f>
        <v>0.26465385788350104</v>
      </c>
      <c r="E36" s="470">
        <f>'Income Statement'!E18</f>
        <v>0.28245467525120554</v>
      </c>
      <c r="F36" s="470">
        <f>'Income Statement'!F18</f>
        <v>0.2752025032173408</v>
      </c>
      <c r="G36" s="470">
        <f>'Income Statement'!G18</f>
        <v>0.25339159479307266</v>
      </c>
      <c r="H36" s="470">
        <f>'Income Statement'!H18</f>
        <v>0.25314415309354671</v>
      </c>
      <c r="I36" s="471">
        <f>D15</f>
        <v>0.255</v>
      </c>
      <c r="J36" s="471">
        <f>I36+(INDEX($E$15:$G$15,MATCH($H$15,$E$9:$G$9,0))-I36)*1/4</f>
        <v>0.25624999999999998</v>
      </c>
      <c r="K36" s="471">
        <f>I36+(INDEX($E$15:$G$15,MATCH($H$15,$E$9:$G$9,0))-I36)*2/4</f>
        <v>0.25750000000000001</v>
      </c>
      <c r="L36" s="471">
        <f>I36+(INDEX($E$15:$G$15,MATCH($H$15,$E$9:$G$9,0))-I36)*3/4</f>
        <v>0.25875000000000004</v>
      </c>
      <c r="M36" s="471">
        <f>INDEX($E$15:$G$15,MATCH($H$15,$E$9:$G$9,0))</f>
        <v>0.26</v>
      </c>
      <c r="N36" s="464"/>
      <c r="O36" s="472" t="s">
        <v>317</v>
      </c>
    </row>
    <row r="37" spans="2:15" x14ac:dyDescent="0.2">
      <c r="B37" s="75" t="s">
        <v>328</v>
      </c>
      <c r="C37" s="255" t="s">
        <v>2</v>
      </c>
      <c r="D37" s="470">
        <f>'Income Statement'!D20</f>
        <v>0.3379688929551693</v>
      </c>
      <c r="E37" s="470">
        <f>'Income Statement'!E20</f>
        <v>0.34700035020608277</v>
      </c>
      <c r="F37" s="470">
        <f>'Income Statement'!F20</f>
        <v>0.34346059703752302</v>
      </c>
      <c r="G37" s="470">
        <f>'Income Statement'!G20</f>
        <v>0.33568209375214475</v>
      </c>
      <c r="H37" s="470">
        <f>'Income Statement'!H20</f>
        <v>0.32187505857215148</v>
      </c>
      <c r="I37" s="471">
        <f>D16</f>
        <v>0.32200000000000001</v>
      </c>
      <c r="J37" s="471">
        <f>I37+(INDEX($E$16:$G$16,MATCH($H$16,$E$9:$G$9,0))-I37)*1/4</f>
        <v>0.32274999999999998</v>
      </c>
      <c r="K37" s="471">
        <f>I37+(INDEX($E$16:$G$16,MATCH($H$16,$E$9:$G$9,0))-I37)*2/4</f>
        <v>0.32350000000000001</v>
      </c>
      <c r="L37" s="471">
        <f>I37+(INDEX($E$16:$G$16,MATCH($H$16,$E$9:$G$9,0))-I37)*3/4</f>
        <v>0.32425000000000004</v>
      </c>
      <c r="M37" s="471">
        <f>INDEX($E$16:$G$16,MATCH($H$16,$E$9:$G$9,0))</f>
        <v>0.32500000000000001</v>
      </c>
      <c r="N37" s="464"/>
      <c r="O37" s="472" t="s">
        <v>325</v>
      </c>
    </row>
    <row r="38" spans="2:15" x14ac:dyDescent="0.2">
      <c r="B38" s="14" t="s">
        <v>329</v>
      </c>
      <c r="C38" s="141" t="s">
        <v>2</v>
      </c>
      <c r="D38" s="473">
        <f>'Income Statement'!D22</f>
        <v>0.26181762732540409</v>
      </c>
      <c r="E38" s="473">
        <f>'Income Statement'!E22</f>
        <v>0.26084965383475661</v>
      </c>
      <c r="F38" s="473">
        <f>'Income Statement'!F22</f>
        <v>0.26657245956244169</v>
      </c>
      <c r="G38" s="473">
        <f>'Income Statement'!G22</f>
        <v>0.27748164077692111</v>
      </c>
      <c r="H38" s="473">
        <f>'Income Statement'!H22</f>
        <v>0.25001405731636461</v>
      </c>
      <c r="I38" s="474">
        <f>D17</f>
        <v>0.245</v>
      </c>
      <c r="J38" s="474">
        <f>I38+(INDEX($E$17:$G$17,MATCH($H$17,$E$9:$G$9,0))-I38)*1/4</f>
        <v>0.24625</v>
      </c>
      <c r="K38" s="474">
        <f>I38+(INDEX($E$17:$G$17,MATCH($H$17,$E$9:$G$9,0))-I38)*2/4</f>
        <v>0.2475</v>
      </c>
      <c r="L38" s="474">
        <f>I38+(INDEX($E$17:$G$17,MATCH($H$17,$E$9:$G$9,0))-I38)*3/4</f>
        <v>0.24875</v>
      </c>
      <c r="M38" s="474">
        <f>INDEX($E$17:$G$17,MATCH($H$17,$E$9:$G$9,0))</f>
        <v>0.25</v>
      </c>
      <c r="N38" s="464"/>
      <c r="O38" s="472" t="s">
        <v>324</v>
      </c>
    </row>
    <row r="39" spans="2:15" ht="15" x14ac:dyDescent="0.2">
      <c r="B39" s="247" t="s">
        <v>395</v>
      </c>
      <c r="C39" s="248" t="s">
        <v>2</v>
      </c>
      <c r="D39" s="475">
        <f>1-D36-D37-D38</f>
        <v>0.13555962183592557</v>
      </c>
      <c r="E39" s="475">
        <f>1-E36-E37-E38</f>
        <v>0.10969532070795501</v>
      </c>
      <c r="F39" s="475">
        <f>1-F36-F37-F38</f>
        <v>0.11476444018269444</v>
      </c>
      <c r="G39" s="475">
        <f>1-G36-G37-G38</f>
        <v>0.13344467067786142</v>
      </c>
      <c r="H39" s="475">
        <f>1-H36-H37-H38</f>
        <v>0.17496673101793714</v>
      </c>
      <c r="I39" s="475">
        <f>1-I36-I37-I38</f>
        <v>0.17799999999999999</v>
      </c>
      <c r="J39" s="475">
        <f>1-J36-J37-J38</f>
        <v>0.17475000000000004</v>
      </c>
      <c r="K39" s="475">
        <f>1-K36-K37-K38</f>
        <v>0.17149999999999993</v>
      </c>
      <c r="L39" s="475">
        <f>1-L36-L37-L38</f>
        <v>0.16824999999999993</v>
      </c>
      <c r="M39" s="475">
        <f>1-M36-M37-M38</f>
        <v>0.16499999999999998</v>
      </c>
      <c r="N39" s="464"/>
      <c r="O39" s="465"/>
    </row>
    <row r="40" spans="2:15" x14ac:dyDescent="0.2">
      <c r="B40" s="75" t="s">
        <v>113</v>
      </c>
      <c r="C40" s="255" t="s">
        <v>2</v>
      </c>
      <c r="D40" s="470">
        <f>'Income Statement'!D26/'Income Statement'!D13</f>
        <v>4.4999700401462034E-2</v>
      </c>
      <c r="E40" s="470">
        <f>'Income Statement'!E26/'Income Statement'!E13</f>
        <v>4.3216529533923929E-2</v>
      </c>
      <c r="F40" s="470">
        <f>'Income Statement'!F26/'Income Statement'!F13</f>
        <v>4.1562862287560745E-2</v>
      </c>
      <c r="G40" s="470">
        <f>'Income Statement'!G26/'Income Statement'!G13</f>
        <v>3.8685420488777149E-2</v>
      </c>
      <c r="H40" s="470">
        <f>'Income Statement'!H26/'Income Statement'!H13</f>
        <v>3.8371531518145686E-2</v>
      </c>
      <c r="I40" s="476">
        <v>3.9E-2</v>
      </c>
      <c r="J40" s="476">
        <v>0.04</v>
      </c>
      <c r="K40" s="476">
        <v>0.04</v>
      </c>
      <c r="L40" s="476">
        <v>4.1000000000000002E-2</v>
      </c>
      <c r="M40" s="476">
        <v>4.1000000000000002E-2</v>
      </c>
      <c r="N40" s="464"/>
      <c r="O40" s="472" t="s">
        <v>326</v>
      </c>
    </row>
    <row r="41" spans="2:15" x14ac:dyDescent="0.2">
      <c r="B41" s="24" t="s">
        <v>114</v>
      </c>
      <c r="C41" s="239" t="s">
        <v>2</v>
      </c>
      <c r="D41" s="468">
        <f>'Income Statement'!D27/'Income Statement'!D13</f>
        <v>4.0385882916891366E-2</v>
      </c>
      <c r="E41" s="468">
        <f>'Income Statement'!E27/'Income Statement'!E13</f>
        <v>3.7880181908992928E-2</v>
      </c>
      <c r="F41" s="468">
        <f>'Income Statement'!F27/'Income Statement'!F13</f>
        <v>4.2623516933474756E-2</v>
      </c>
      <c r="G41" s="468">
        <f>'Income Statement'!G27/'Income Statement'!G13</f>
        <v>4.160721161468596E-2</v>
      </c>
      <c r="H41" s="468">
        <f>'Income Statement'!H27/'Income Statement'!H13</f>
        <v>4.1231752163738346E-2</v>
      </c>
      <c r="I41" s="477">
        <f>D18</f>
        <v>4.1000000000000002E-2</v>
      </c>
      <c r="J41" s="478">
        <f>I41+(INDEX($E$18:$G$18,MATCH($H$18,$E$9:$G$9,0))-I41)*1/4</f>
        <v>4.0750000000000001E-2</v>
      </c>
      <c r="K41" s="478">
        <f>I41+(INDEX($E$18:$G$18,MATCH($H$18,$E$9:$G$9,0))-I41)*2/4</f>
        <v>4.0500000000000001E-2</v>
      </c>
      <c r="L41" s="478">
        <f>I41+(INDEX($E$18:$G$18,MATCH($H$18,$E$9:$G$9,0))-I41)*3/4</f>
        <v>4.0250000000000001E-2</v>
      </c>
      <c r="M41" s="478">
        <f>INDEX($E$18:$G$18,MATCH($H$18,$E$9:$G$9,0))</f>
        <v>0.04</v>
      </c>
      <c r="N41" s="464"/>
      <c r="O41" s="472" t="s">
        <v>330</v>
      </c>
    </row>
    <row r="42" spans="2:15" ht="15" customHeight="1" x14ac:dyDescent="0.2">
      <c r="B42" s="18" t="s">
        <v>115</v>
      </c>
      <c r="C42" s="239" t="s">
        <v>2</v>
      </c>
      <c r="D42" s="479">
        <v>6.0000000000000001E-3</v>
      </c>
      <c r="E42" s="479">
        <v>8.0000000000000002E-3</v>
      </c>
      <c r="F42" s="479">
        <v>6.0000000000000001E-3</v>
      </c>
      <c r="G42" s="479">
        <v>0.01</v>
      </c>
      <c r="H42" s="479">
        <v>8.0000000000000002E-3</v>
      </c>
      <c r="I42" s="479">
        <v>5.0000000000000001E-3</v>
      </c>
      <c r="J42" s="479">
        <v>5.0000000000000001E-3</v>
      </c>
      <c r="K42" s="479">
        <v>5.0000000000000001E-3</v>
      </c>
      <c r="L42" s="479">
        <v>5.0000000000000001E-3</v>
      </c>
      <c r="M42" s="479">
        <v>5.0000000000000001E-3</v>
      </c>
      <c r="N42" s="464"/>
      <c r="O42" s="465"/>
    </row>
    <row r="43" spans="2:15" ht="15" x14ac:dyDescent="0.2">
      <c r="B43" s="27"/>
      <c r="C43" s="27"/>
      <c r="D43" s="76"/>
      <c r="E43" s="76"/>
      <c r="F43" s="76"/>
      <c r="G43" s="76"/>
      <c r="H43" s="76"/>
      <c r="I43" s="76"/>
      <c r="J43" s="76"/>
      <c r="K43" s="76"/>
      <c r="L43" s="76"/>
      <c r="M43" s="76"/>
      <c r="O43"/>
    </row>
    <row r="44" spans="2:15" ht="16" thickBot="1" x14ac:dyDescent="0.25">
      <c r="B44" s="134" t="s">
        <v>342</v>
      </c>
      <c r="C44" s="28"/>
      <c r="D44" s="135"/>
      <c r="E44" s="135"/>
      <c r="F44" s="135"/>
      <c r="G44" s="135"/>
      <c r="H44" s="135"/>
      <c r="I44" s="135"/>
      <c r="J44" s="135"/>
      <c r="K44" s="135"/>
      <c r="L44" s="135"/>
      <c r="M44" s="135"/>
      <c r="O44"/>
    </row>
    <row r="45" spans="2:15" ht="15" x14ac:dyDescent="0.2">
      <c r="B45" s="131" t="s">
        <v>332</v>
      </c>
      <c r="C45" s="131" t="s">
        <v>333</v>
      </c>
      <c r="D45" s="129" t="str">
        <f>IF('Cover Page'!$C$63+0&lt;'Cover Page'!$C$64,"FY"&amp;TEXT(MOD('Cover Page'!$C$63+0,100),"00")&amp;"A","FY"&amp;TEXT(MOD('Cover Page'!$C$63+0,100),"00")&amp;"E")</f>
        <v>FY21A</v>
      </c>
      <c r="E45" s="129" t="str">
        <f>IF('Cover Page'!$C$63+1&lt;'Cover Page'!$C$64,"FY"&amp;TEXT(MOD('Cover Page'!$C$63+1,100),"00")&amp;"A","FY"&amp;TEXT(MOD('Cover Page'!$C$63+1,100),"00")&amp;"E")</f>
        <v>FY22A</v>
      </c>
      <c r="F45" s="129" t="str">
        <f>IF('Cover Page'!$C$63+2&lt;'Cover Page'!$C$64,"FY"&amp;TEXT(MOD('Cover Page'!$C$63+2,100),"00")&amp;"A","FY"&amp;TEXT(MOD('Cover Page'!$C$63+2,100),"00")&amp;"E")</f>
        <v>FY23A</v>
      </c>
      <c r="G45" s="129" t="str">
        <f>IF('Cover Page'!$C$63+3&lt;'Cover Page'!$C$64,"FY"&amp;TEXT(MOD('Cover Page'!$C$63+3,100),"00")&amp;"A","FY"&amp;TEXT(MOD('Cover Page'!$C$63+3,100),"00")&amp;"E")</f>
        <v>FY24A</v>
      </c>
      <c r="H45" s="129" t="str">
        <f>IF('Cover Page'!$C$63+4&lt;'Cover Page'!$C$64,"FY"&amp;TEXT(MOD('Cover Page'!$C$63+4,100),"00")&amp;"A","FY"&amp;TEXT(MOD('Cover Page'!$C$63+4,100),"00")&amp;"E")</f>
        <v>FY25A</v>
      </c>
      <c r="I45" s="130" t="str">
        <f>IF('Cover Page'!$C$63+5&lt;'Cover Page'!$C$64,"FY"&amp;TEXT(MOD('Cover Page'!$C$63+5,100),"00")&amp;"A","FY"&amp;TEXT(MOD('Cover Page'!$C$63+5,100),"00")&amp;"E")</f>
        <v>FY26E</v>
      </c>
      <c r="J45" s="130" t="str">
        <f>IF('Cover Page'!$C$63+6&lt;'Cover Page'!$C$64,"FY"&amp;TEXT(MOD('Cover Page'!$C$63+6,100),"00")&amp;"A","FY"&amp;TEXT(MOD('Cover Page'!$C$63+6,100),"00")&amp;"E")</f>
        <v>FY27E</v>
      </c>
      <c r="K45" s="130" t="str">
        <f>IF('Cover Page'!$C$63+7&lt;'Cover Page'!$C$64,"FY"&amp;TEXT(MOD('Cover Page'!$C$63+7,100),"00")&amp;"A","FY"&amp;TEXT(MOD('Cover Page'!$C$63+7,100),"00")&amp;"E")</f>
        <v>FY28E</v>
      </c>
      <c r="L45" s="130" t="str">
        <f>IF('Cover Page'!$C$63+8&lt;'Cover Page'!$C$64,"FY"&amp;TEXT(MOD('Cover Page'!$C$63+8,100),"00")&amp;"A","FY"&amp;TEXT(MOD('Cover Page'!$C$63+8,100),"00")&amp;"E")</f>
        <v>FY29E</v>
      </c>
      <c r="M45" s="130" t="str">
        <f>IF('Cover Page'!$C$63+9&lt;'Cover Page'!$C$64,"FY"&amp;TEXT(MOD('Cover Page'!$C$63+9,100),"00")&amp;"A","FY"&amp;TEXT(MOD('Cover Page'!$C$63+9,100),"00")&amp;"E")</f>
        <v>FY30E</v>
      </c>
      <c r="O45"/>
    </row>
    <row r="46" spans="2:15" x14ac:dyDescent="0.2">
      <c r="B46" s="112" t="s">
        <v>312</v>
      </c>
      <c r="C46" s="132">
        <v>8.2500000000000004E-2</v>
      </c>
      <c r="D46" s="113">
        <v>0</v>
      </c>
      <c r="E46" s="113">
        <v>350</v>
      </c>
      <c r="F46" s="113">
        <v>350</v>
      </c>
      <c r="G46" s="113">
        <v>350</v>
      </c>
      <c r="H46" s="113">
        <v>350</v>
      </c>
      <c r="I46" s="385">
        <f>H46</f>
        <v>350</v>
      </c>
      <c r="J46" s="385">
        <f>I46</f>
        <v>350</v>
      </c>
      <c r="K46" s="385">
        <f>J46</f>
        <v>350</v>
      </c>
      <c r="L46" s="385">
        <f>K46</f>
        <v>350</v>
      </c>
      <c r="M46" s="386">
        <f>L46</f>
        <v>350</v>
      </c>
      <c r="O46" s="370" t="s">
        <v>345</v>
      </c>
    </row>
    <row r="47" spans="2:15" x14ac:dyDescent="0.2">
      <c r="B47" s="112" t="s">
        <v>313</v>
      </c>
      <c r="C47" s="132">
        <v>6.7500000000000004E-2</v>
      </c>
      <c r="D47" s="113">
        <v>300</v>
      </c>
      <c r="E47" s="113">
        <v>255</v>
      </c>
      <c r="F47" s="113">
        <v>360</v>
      </c>
      <c r="G47" s="113">
        <v>377</v>
      </c>
      <c r="H47" s="113">
        <v>42</v>
      </c>
      <c r="I47" s="385">
        <f>MAX(0,H47-25)</f>
        <v>17</v>
      </c>
      <c r="J47" s="385">
        <f>MAX(0,I47-17)</f>
        <v>0</v>
      </c>
      <c r="K47" s="385">
        <f>MAX(0,J47-0)</f>
        <v>0</v>
      </c>
      <c r="L47" s="385">
        <f>MAX(0,K47-0)</f>
        <v>0</v>
      </c>
      <c r="M47" s="386">
        <f>MAX(0,L47-0)</f>
        <v>0</v>
      </c>
      <c r="O47" s="371"/>
    </row>
    <row r="48" spans="2:15" x14ac:dyDescent="0.2">
      <c r="B48" s="114" t="s">
        <v>314</v>
      </c>
      <c r="C48" s="133">
        <v>0.05</v>
      </c>
      <c r="D48" s="115">
        <v>36</v>
      </c>
      <c r="E48" s="115">
        <v>34</v>
      </c>
      <c r="F48" s="115">
        <v>38</v>
      </c>
      <c r="G48" s="115">
        <v>36</v>
      </c>
      <c r="H48" s="115">
        <v>34</v>
      </c>
      <c r="I48" s="387">
        <f>H48</f>
        <v>34</v>
      </c>
      <c r="J48" s="387">
        <f>I48</f>
        <v>34</v>
      </c>
      <c r="K48" s="387">
        <f>J48</f>
        <v>34</v>
      </c>
      <c r="L48" s="387">
        <f>K48</f>
        <v>34</v>
      </c>
      <c r="M48" s="388">
        <f>L48</f>
        <v>34</v>
      </c>
      <c r="O48" s="371"/>
    </row>
    <row r="49" spans="2:15" ht="15" customHeight="1" x14ac:dyDescent="0.2">
      <c r="B49" s="116" t="s">
        <v>334</v>
      </c>
      <c r="C49" s="117"/>
      <c r="D49" s="389">
        <f t="shared" ref="D49:M49" si="1">SUM(D46:D48)</f>
        <v>336</v>
      </c>
      <c r="E49" s="389">
        <f t="shared" si="1"/>
        <v>639</v>
      </c>
      <c r="F49" s="389">
        <f t="shared" si="1"/>
        <v>748</v>
      </c>
      <c r="G49" s="389">
        <f t="shared" si="1"/>
        <v>763</v>
      </c>
      <c r="H49" s="389">
        <f t="shared" si="1"/>
        <v>426</v>
      </c>
      <c r="I49" s="389">
        <f t="shared" si="1"/>
        <v>401</v>
      </c>
      <c r="J49" s="389">
        <f t="shared" si="1"/>
        <v>384</v>
      </c>
      <c r="K49" s="389">
        <f t="shared" si="1"/>
        <v>384</v>
      </c>
      <c r="L49" s="389">
        <f t="shared" si="1"/>
        <v>384</v>
      </c>
      <c r="M49" s="390">
        <f t="shared" si="1"/>
        <v>384</v>
      </c>
      <c r="O49" s="371"/>
    </row>
    <row r="50" spans="2:15" ht="15" customHeight="1" x14ac:dyDescent="0.2">
      <c r="B50" s="15"/>
      <c r="C50" s="27"/>
      <c r="D50" s="109"/>
      <c r="E50" s="109"/>
      <c r="F50" s="109"/>
      <c r="G50" s="109"/>
      <c r="H50" s="109"/>
      <c r="I50" s="109"/>
      <c r="J50" s="109"/>
      <c r="K50" s="109"/>
      <c r="L50" s="109"/>
      <c r="M50" s="109"/>
      <c r="O50" s="371"/>
    </row>
    <row r="51" spans="2:15" ht="15" customHeight="1" x14ac:dyDescent="0.2">
      <c r="B51" s="118" t="s">
        <v>335</v>
      </c>
      <c r="C51" s="119"/>
      <c r="D51" s="119"/>
      <c r="E51" s="119"/>
      <c r="F51" s="119"/>
      <c r="G51" s="119"/>
      <c r="H51" s="119"/>
      <c r="I51" s="119"/>
      <c r="J51" s="119"/>
      <c r="K51" s="119"/>
      <c r="L51" s="119"/>
      <c r="M51" s="120"/>
      <c r="O51" s="371"/>
    </row>
    <row r="52" spans="2:15" ht="15" customHeight="1" x14ac:dyDescent="0.2">
      <c r="B52" s="121" t="s">
        <v>336</v>
      </c>
      <c r="C52" s="122"/>
      <c r="D52" s="122"/>
      <c r="E52" s="122"/>
      <c r="F52" s="122"/>
      <c r="G52" s="122"/>
      <c r="H52" s="122"/>
      <c r="I52" s="391">
        <f>(I46+H46)/2*$C$46</f>
        <v>28.875</v>
      </c>
      <c r="J52" s="391">
        <f>(J46+I46)/2*$C$46</f>
        <v>28.875</v>
      </c>
      <c r="K52" s="391">
        <f>(K46+J46)/2*$C$46</f>
        <v>28.875</v>
      </c>
      <c r="L52" s="391">
        <f>(L46+K46)/2*$C$46</f>
        <v>28.875</v>
      </c>
      <c r="M52" s="392">
        <f>(M46+L46)/2*$C$46</f>
        <v>28.875</v>
      </c>
      <c r="O52" s="371"/>
    </row>
    <row r="53" spans="2:15" ht="15" customHeight="1" x14ac:dyDescent="0.2">
      <c r="B53" s="121" t="s">
        <v>337</v>
      </c>
      <c r="C53" s="122"/>
      <c r="D53" s="122"/>
      <c r="E53" s="122"/>
      <c r="F53" s="122"/>
      <c r="G53" s="122"/>
      <c r="H53" s="122"/>
      <c r="I53" s="391">
        <f>(I47+H47)/2*$C$47</f>
        <v>1.9912500000000002</v>
      </c>
      <c r="J53" s="391">
        <f>(J47+I47)/2*$C$47</f>
        <v>0.57374999999999998</v>
      </c>
      <c r="K53" s="391">
        <f>(K47+J47)/2*$C$47</f>
        <v>0</v>
      </c>
      <c r="L53" s="391">
        <f>(L47+K47)/2*$C$47</f>
        <v>0</v>
      </c>
      <c r="M53" s="392">
        <f>(M47+L47)/2*$C$47</f>
        <v>0</v>
      </c>
      <c r="O53" s="371"/>
    </row>
    <row r="54" spans="2:15" ht="15" customHeight="1" x14ac:dyDescent="0.2">
      <c r="B54" s="123" t="s">
        <v>338</v>
      </c>
      <c r="C54" s="124"/>
      <c r="D54" s="124"/>
      <c r="E54" s="124"/>
      <c r="F54" s="124"/>
      <c r="G54" s="124"/>
      <c r="H54" s="124"/>
      <c r="I54" s="393">
        <f>(I48+H48)/2*$C$48</f>
        <v>1.7000000000000002</v>
      </c>
      <c r="J54" s="393">
        <f>(J48+I48)/2*$C$48</f>
        <v>1.7000000000000002</v>
      </c>
      <c r="K54" s="393">
        <f>(K48+J48)/2*$C$48</f>
        <v>1.7000000000000002</v>
      </c>
      <c r="L54" s="393">
        <f>(L48+K48)/2*$C$48</f>
        <v>1.7000000000000002</v>
      </c>
      <c r="M54" s="394">
        <f>(M48+L48)/2*$C$48</f>
        <v>1.7000000000000002</v>
      </c>
      <c r="O54" s="371"/>
    </row>
    <row r="55" spans="2:15" ht="15" customHeight="1" x14ac:dyDescent="0.2">
      <c r="B55" s="127" t="s">
        <v>339</v>
      </c>
      <c r="C55" s="128"/>
      <c r="D55" s="128"/>
      <c r="E55" s="128"/>
      <c r="F55" s="128"/>
      <c r="G55" s="128"/>
      <c r="H55" s="128"/>
      <c r="I55" s="395">
        <f>SUM(I52:I54)</f>
        <v>32.566250000000004</v>
      </c>
      <c r="J55" s="395">
        <f>SUM(J52:J54)</f>
        <v>31.14875</v>
      </c>
      <c r="K55" s="395">
        <f>SUM(K52:K54)</f>
        <v>30.574999999999999</v>
      </c>
      <c r="L55" s="395">
        <f>SUM(L52:L54)</f>
        <v>30.574999999999999</v>
      </c>
      <c r="M55" s="396">
        <f>SUM(M52:M54)</f>
        <v>30.574999999999999</v>
      </c>
      <c r="O55" s="371"/>
    </row>
    <row r="56" spans="2:15" ht="15" customHeight="1" x14ac:dyDescent="0.2">
      <c r="B56" s="125" t="s">
        <v>340</v>
      </c>
      <c r="C56" s="126"/>
      <c r="D56" s="126"/>
      <c r="E56" s="126"/>
      <c r="F56" s="126"/>
      <c r="G56" s="126"/>
      <c r="H56" s="126"/>
      <c r="I56" s="397">
        <f>IF(AVERAGE(H49,I49)=0,0,I55/AVERAGE(H49,I49))</f>
        <v>7.8757557436517536E-2</v>
      </c>
      <c r="J56" s="397">
        <f>IF(AVERAGE(I49,J49)=0,0,J55/AVERAGE(I49,J49))</f>
        <v>7.9359872611464974E-2</v>
      </c>
      <c r="K56" s="397">
        <f>IF(AVERAGE(J49,K49)=0,0,K55/AVERAGE(J49,K49))</f>
        <v>7.9622395833333331E-2</v>
      </c>
      <c r="L56" s="397">
        <f>IF(AVERAGE(K49,L49)=0,0,L55/AVERAGE(K49,L49))</f>
        <v>7.9622395833333331E-2</v>
      </c>
      <c r="M56" s="398">
        <f>IF(AVERAGE(L49,M49)=0,0,M55/AVERAGE(L49,M49))</f>
        <v>7.9622395833333331E-2</v>
      </c>
      <c r="O56" s="371"/>
    </row>
    <row r="57" spans="2:15" ht="15" x14ac:dyDescent="0.2">
      <c r="B57" s="110"/>
      <c r="C57" s="27"/>
      <c r="D57" s="76"/>
      <c r="E57" s="76"/>
      <c r="F57" s="76"/>
      <c r="G57" s="76"/>
      <c r="H57" s="76"/>
      <c r="I57" s="111"/>
      <c r="J57" s="111"/>
      <c r="K57" s="111"/>
      <c r="L57" s="111"/>
      <c r="M57" s="111"/>
      <c r="O57"/>
    </row>
    <row r="58" spans="2:15" ht="16" thickBot="1" x14ac:dyDescent="0.25">
      <c r="B58" s="97" t="s">
        <v>343</v>
      </c>
      <c r="C58" s="98"/>
      <c r="D58" s="98"/>
      <c r="E58" s="98"/>
      <c r="F58" s="98"/>
      <c r="G58" s="98"/>
      <c r="H58" s="98"/>
      <c r="I58" s="98"/>
      <c r="J58" s="98"/>
      <c r="K58" s="98"/>
      <c r="L58" s="98"/>
      <c r="M58" s="98"/>
      <c r="O58"/>
    </row>
    <row r="59" spans="2:15" x14ac:dyDescent="0.2">
      <c r="B59" s="73" t="s">
        <v>116</v>
      </c>
      <c r="C59" s="73" t="s">
        <v>2</v>
      </c>
      <c r="D59" s="480">
        <v>9.4E-2</v>
      </c>
      <c r="E59" s="480">
        <v>-2.1000000000000001E-2</v>
      </c>
      <c r="F59" s="480">
        <v>8.3000000000000004E-2</v>
      </c>
      <c r="G59" s="480">
        <v>5.8000000000000003E-2</v>
      </c>
      <c r="H59" s="480">
        <v>0.16700000000000001</v>
      </c>
      <c r="I59" s="480">
        <v>0.17</v>
      </c>
      <c r="J59" s="480">
        <v>0.2</v>
      </c>
      <c r="K59" s="480">
        <v>0.22</v>
      </c>
      <c r="L59" s="480">
        <v>0.23</v>
      </c>
      <c r="M59" s="480">
        <v>0.23</v>
      </c>
      <c r="N59" s="464"/>
      <c r="O59" s="481" t="s">
        <v>331</v>
      </c>
    </row>
    <row r="60" spans="2:15" ht="15" customHeight="1" x14ac:dyDescent="0.2">
      <c r="B60" s="19" t="s">
        <v>117</v>
      </c>
      <c r="C60" s="25" t="s">
        <v>14</v>
      </c>
      <c r="D60" s="20">
        <v>56.2</v>
      </c>
      <c r="E60" s="20">
        <v>46.1</v>
      </c>
      <c r="F60" s="20">
        <v>54.4</v>
      </c>
      <c r="G60" s="20">
        <v>65</v>
      </c>
      <c r="H60" s="20">
        <v>53.1</v>
      </c>
      <c r="I60" s="399">
        <f>I55</f>
        <v>32.566250000000004</v>
      </c>
      <c r="J60" s="399">
        <f>J55</f>
        <v>31.14875</v>
      </c>
      <c r="K60" s="399">
        <f>K55</f>
        <v>30.574999999999999</v>
      </c>
      <c r="L60" s="399">
        <f>L55</f>
        <v>30.574999999999999</v>
      </c>
      <c r="M60" s="399">
        <f>M55</f>
        <v>30.574999999999999</v>
      </c>
      <c r="O60" s="369"/>
    </row>
    <row r="61" spans="2:15" ht="15" x14ac:dyDescent="0.2">
      <c r="B61" s="14"/>
      <c r="C61" s="14"/>
      <c r="D61" s="99"/>
      <c r="E61" s="99"/>
      <c r="F61" s="99"/>
      <c r="G61" s="99"/>
      <c r="H61" s="99"/>
      <c r="I61" s="100"/>
      <c r="J61" s="100"/>
      <c r="K61" s="100"/>
      <c r="L61" s="100"/>
      <c r="M61" s="100"/>
      <c r="O61"/>
    </row>
    <row r="62" spans="2:15" ht="16" thickBot="1" x14ac:dyDescent="0.25">
      <c r="B62" s="105" t="s">
        <v>579</v>
      </c>
      <c r="C62" s="101"/>
      <c r="D62" s="102"/>
      <c r="E62" s="102"/>
      <c r="F62" s="102"/>
      <c r="G62" s="102"/>
      <c r="H62" s="102"/>
      <c r="I62" s="103"/>
      <c r="J62" s="103"/>
      <c r="K62" s="103"/>
      <c r="L62" s="103"/>
      <c r="M62" s="103"/>
      <c r="O62"/>
    </row>
    <row r="63" spans="2:15" x14ac:dyDescent="0.2">
      <c r="B63" s="75" t="s">
        <v>118</v>
      </c>
      <c r="C63" s="75" t="s">
        <v>2</v>
      </c>
      <c r="D63" s="482">
        <f>D66/'Income Statement'!D13</f>
        <v>2.8162262568158666E-2</v>
      </c>
      <c r="E63" s="482">
        <f>E66/'Income Statement'!E13</f>
        <v>3.9510002365868407E-2</v>
      </c>
      <c r="F63" s="482">
        <f>F66/'Income Statement'!F13</f>
        <v>4.560814977430256E-2</v>
      </c>
      <c r="G63" s="482">
        <f>G66/'Income Statement'!G13</f>
        <v>4.5049942243663786E-2</v>
      </c>
      <c r="H63" s="482">
        <f>H66/'Income Statement'!H13</f>
        <v>4.9273801121800825E-2</v>
      </c>
      <c r="I63" s="483">
        <f>D19</f>
        <v>4.4999999999999998E-2</v>
      </c>
      <c r="J63" s="484">
        <f>I63+(INDEX($E$19:$G$19,MATCH($H$19,$E$9:$G$9,0))-I63)*1/4</f>
        <v>4.3749999999999997E-2</v>
      </c>
      <c r="K63" s="484">
        <f>I63+(INDEX($E$19:$G$19,MATCH($H$19,$E$9:$G$9,0))-I63)*2/4</f>
        <v>4.2499999999999996E-2</v>
      </c>
      <c r="L63" s="484">
        <f>I63+(INDEX($E$19:$G$19,MATCH($H$19,$E$9:$G$9,0))-I63)*3/4</f>
        <v>4.1250000000000002E-2</v>
      </c>
      <c r="M63" s="484">
        <f>INDEX($E$19:$G$19,MATCH($H$19,$E$9:$G$9,0))</f>
        <v>0.04</v>
      </c>
      <c r="N63" s="464"/>
      <c r="O63" s="472" t="s">
        <v>346</v>
      </c>
    </row>
    <row r="64" spans="2:15" x14ac:dyDescent="0.2">
      <c r="B64" s="18" t="s">
        <v>119</v>
      </c>
      <c r="C64" s="18" t="s">
        <v>2</v>
      </c>
      <c r="D64" s="468">
        <f>'Income Statement'!D55/'Income Statement'!D13</f>
        <v>3.5053028941218764E-3</v>
      </c>
      <c r="E64" s="468">
        <f>'Income Statement'!E55/'Income Statement'!E13</f>
        <v>3.7853894482269132E-3</v>
      </c>
      <c r="F64" s="468">
        <f>'Income Statement'!F55/'Income Statement'!F13</f>
        <v>3.5519597444562297E-3</v>
      </c>
      <c r="G64" s="468">
        <f>'Income Statement'!G55/'Income Statement'!G13</f>
        <v>5.8662317954293209E-3</v>
      </c>
      <c r="H64" s="468">
        <f>'Income Statement'!H55/'Income Statement'!H13</f>
        <v>5.8318784591954234E-3</v>
      </c>
      <c r="I64" s="485">
        <v>6.0000000000000001E-3</v>
      </c>
      <c r="J64" s="485">
        <v>6.0000000000000001E-3</v>
      </c>
      <c r="K64" s="485">
        <v>6.0000000000000001E-3</v>
      </c>
      <c r="L64" s="485">
        <v>6.0000000000000001E-3</v>
      </c>
      <c r="M64" s="485">
        <v>6.0000000000000001E-3</v>
      </c>
      <c r="N64" s="464"/>
      <c r="O64" s="472" t="s">
        <v>347</v>
      </c>
    </row>
    <row r="65" spans="1:15" x14ac:dyDescent="0.2">
      <c r="B65" s="19" t="s">
        <v>120</v>
      </c>
      <c r="C65" s="19" t="s">
        <v>62</v>
      </c>
      <c r="D65" s="138">
        <f>IFERROR('Balance Sheet'!D28/'Income Statement'!D17*365,0)</f>
        <v>53.711108550357231</v>
      </c>
      <c r="E65" s="138">
        <f>IFERROR('Balance Sheet'!E28/'Income Statement'!E17*365,0)</f>
        <v>46.752026704816402</v>
      </c>
      <c r="F65" s="138">
        <f>IFERROR('Balance Sheet'!F28/'Income Statement'!F17*365,0)</f>
        <v>42.069044562626082</v>
      </c>
      <c r="G65" s="138">
        <f>IFERROR('Balance Sheet'!G28/'Income Statement'!G17*365,0)</f>
        <v>52.924340917298672</v>
      </c>
      <c r="H65" s="138">
        <f>IFERROR('Balance Sheet'!H28/'Income Statement'!H17*365,0)</f>
        <v>45.537168665778175</v>
      </c>
      <c r="I65" s="153">
        <v>46</v>
      </c>
      <c r="J65" s="153">
        <v>46</v>
      </c>
      <c r="K65" s="153">
        <v>46</v>
      </c>
      <c r="L65" s="153">
        <v>46</v>
      </c>
      <c r="M65" s="153">
        <v>46</v>
      </c>
      <c r="O65" s="4" t="s">
        <v>348</v>
      </c>
    </row>
    <row r="66" spans="1:15" ht="15" x14ac:dyDescent="0.2">
      <c r="B66" s="72" t="s">
        <v>349</v>
      </c>
      <c r="C66" s="72" t="s">
        <v>14</v>
      </c>
      <c r="D66" s="140">
        <f>-'Cash Flow'!D19</f>
        <v>94</v>
      </c>
      <c r="E66" s="140">
        <f>-'Cash Flow'!E19</f>
        <v>150.30000000000001</v>
      </c>
      <c r="F66" s="140">
        <f>-'Cash Flow'!F19</f>
        <v>184.9</v>
      </c>
      <c r="G66" s="140">
        <f>-'Cash Flow'!G19</f>
        <v>198.9</v>
      </c>
      <c r="H66" s="140">
        <f>-'Cash Flow'!H19</f>
        <v>265.3</v>
      </c>
      <c r="I66" s="400">
        <f>I63*'Income Statement'!I13</f>
        <v>261.20313312958967</v>
      </c>
      <c r="J66" s="400">
        <f>J63*'Income Statement'!J13</f>
        <v>264.92113990301459</v>
      </c>
      <c r="K66" s="400">
        <f>K63*'Income Statement'!K13</f>
        <v>264.81704850189669</v>
      </c>
      <c r="L66" s="400">
        <f>L63*'Income Statement'!L13</f>
        <v>262.32428962074135</v>
      </c>
      <c r="M66" s="400">
        <f>M63*'Income Statement'!M13</f>
        <v>260.513604111375</v>
      </c>
      <c r="O66"/>
    </row>
    <row r="67" spans="1:15" ht="15" x14ac:dyDescent="0.2">
      <c r="B67"/>
      <c r="C67"/>
      <c r="D67"/>
      <c r="E67"/>
      <c r="F67"/>
      <c r="G67"/>
      <c r="H67"/>
      <c r="I67"/>
      <c r="J67"/>
      <c r="K67"/>
      <c r="L67"/>
      <c r="M67"/>
      <c r="N67"/>
      <c r="O67"/>
    </row>
    <row r="68" spans="1:15" ht="16" customHeight="1" thickBot="1" x14ac:dyDescent="0.25">
      <c r="B68" s="106" t="s">
        <v>344</v>
      </c>
      <c r="C68" s="101"/>
      <c r="D68" s="104"/>
      <c r="E68" s="104"/>
      <c r="F68" s="104"/>
      <c r="G68" s="104"/>
      <c r="H68" s="104"/>
      <c r="I68" s="104"/>
      <c r="J68" s="104"/>
      <c r="K68" s="104"/>
      <c r="L68" s="104"/>
      <c r="M68" s="104"/>
      <c r="O68" s="4" t="s">
        <v>358</v>
      </c>
    </row>
    <row r="69" spans="1:15" ht="15" customHeight="1" x14ac:dyDescent="0.2">
      <c r="B69" s="19" t="s">
        <v>357</v>
      </c>
      <c r="C69" s="146" t="s">
        <v>153</v>
      </c>
      <c r="D69" s="144">
        <v>30</v>
      </c>
      <c r="E69" s="144">
        <v>30</v>
      </c>
      <c r="F69" s="144">
        <v>35</v>
      </c>
      <c r="G69" s="144">
        <v>50</v>
      </c>
      <c r="H69" s="144">
        <v>130</v>
      </c>
      <c r="I69" s="152">
        <f>'DCF &amp; Sensitivity'!D55</f>
        <v>168</v>
      </c>
      <c r="J69" s="401">
        <f>I69</f>
        <v>168</v>
      </c>
      <c r="K69" s="401">
        <f>J69</f>
        <v>168</v>
      </c>
      <c r="L69" s="401">
        <f>K69</f>
        <v>168</v>
      </c>
      <c r="M69" s="401">
        <f>L69</f>
        <v>168</v>
      </c>
      <c r="O69" s="4"/>
    </row>
    <row r="70" spans="1:15" ht="15" x14ac:dyDescent="0.2">
      <c r="B70" s="19" t="s">
        <v>355</v>
      </c>
      <c r="C70" s="147" t="s">
        <v>2</v>
      </c>
      <c r="D70" s="468">
        <f>IFERROR(D71/'Cash Flow'!D38,0)</f>
        <v>1.5909090909090911E-2</v>
      </c>
      <c r="E70" s="468">
        <f>IFERROR(E71/'Cash Flow'!E38,0)</f>
        <v>1.1531428571428577</v>
      </c>
      <c r="F70" s="468">
        <f>IFERROR(F71/'Cash Flow'!F38,0)</f>
        <v>8.771929824561403E-2</v>
      </c>
      <c r="G70" s="468">
        <f>IFERROR(G71/'Cash Flow'!G38,0)</f>
        <v>0.13089802130898023</v>
      </c>
      <c r="H70" s="468">
        <f>IFERROR(H71/'Cash Flow'!H38,0)</f>
        <v>0.23594036097305782</v>
      </c>
      <c r="I70" s="478">
        <f>D21</f>
        <v>0.6</v>
      </c>
      <c r="J70" s="478">
        <f>I70+(INDEX($E$21:$G$21,MATCH($H$21,$E$9:$G$9,0))-I70)*1/4</f>
        <v>0.57499999999999996</v>
      </c>
      <c r="K70" s="478">
        <f>I70+(INDEX($E$21:$G$21,MATCH($H$21,$E$9:$G$9,0))-I70)*2/4</f>
        <v>0.55000000000000004</v>
      </c>
      <c r="L70" s="478">
        <f>I70+(INDEX($E$21:$G$21,MATCH($H$21,$E$9:$G$9,0))-I70)*3/4</f>
        <v>0.52500000000000002</v>
      </c>
      <c r="M70" s="478">
        <f>INDEX($E$21:$G$21,MATCH($H$21,$E$9:$G$9,0))</f>
        <v>0.5</v>
      </c>
      <c r="N70" s="464"/>
      <c r="O70" s="465"/>
    </row>
    <row r="71" spans="1:15" ht="15" customHeight="1" x14ac:dyDescent="0.2">
      <c r="B71" s="19" t="s">
        <v>351</v>
      </c>
      <c r="C71" s="148" t="s">
        <v>14</v>
      </c>
      <c r="D71" s="137">
        <f>-'Cash Flow'!D24</f>
        <v>4.2</v>
      </c>
      <c r="E71" s="137">
        <f>-'Cash Flow'!E24</f>
        <v>100.9</v>
      </c>
      <c r="F71" s="137">
        <f>-'Cash Flow'!F24</f>
        <v>5</v>
      </c>
      <c r="G71" s="139">
        <f>-'Cash Flow'!G24</f>
        <v>25.8</v>
      </c>
      <c r="H71" s="139">
        <f>-'Cash Flow'!H24</f>
        <v>90.2</v>
      </c>
      <c r="I71" s="400">
        <f>I70*'Cash Flow'!I38</f>
        <v>273.98294838949846</v>
      </c>
      <c r="J71" s="400">
        <f>J70*'Cash Flow'!J38</f>
        <v>257.05335950273223</v>
      </c>
      <c r="K71" s="400">
        <f>K70*'Cash Flow'!K38</f>
        <v>242.11995002390492</v>
      </c>
      <c r="L71" s="400">
        <f>L70*'Cash Flow'!L38</f>
        <v>229.69541330655099</v>
      </c>
      <c r="M71" s="400">
        <f>M70*'Cash Flow'!M38</f>
        <v>222.25936196255148</v>
      </c>
      <c r="O71" s="4" t="s">
        <v>353</v>
      </c>
    </row>
    <row r="72" spans="1:15" x14ac:dyDescent="0.2">
      <c r="B72" s="19" t="s">
        <v>64</v>
      </c>
      <c r="C72" s="149" t="s">
        <v>14</v>
      </c>
      <c r="D72" s="137">
        <f>-'Cash Flow'!D25</f>
        <v>1.5</v>
      </c>
      <c r="E72" s="137">
        <f>-'Cash Flow'!E25</f>
        <v>1.1000000000000001</v>
      </c>
      <c r="F72" s="139">
        <f>-'Cash Flow'!F25</f>
        <v>0.6</v>
      </c>
      <c r="G72" s="139">
        <f>-'Cash Flow'!G25</f>
        <v>0.2</v>
      </c>
      <c r="H72" s="137">
        <f>-'Cash Flow'!H25</f>
        <v>0</v>
      </c>
      <c r="I72" s="56">
        <v>0</v>
      </c>
      <c r="J72" s="56">
        <v>0</v>
      </c>
      <c r="K72" s="56">
        <v>0</v>
      </c>
      <c r="L72" s="56">
        <v>0</v>
      </c>
      <c r="M72" s="56">
        <v>0</v>
      </c>
      <c r="O72" s="4" t="s">
        <v>354</v>
      </c>
    </row>
    <row r="73" spans="1:15" x14ac:dyDescent="0.2">
      <c r="B73" s="19" t="s">
        <v>352</v>
      </c>
      <c r="C73" s="149" t="s">
        <v>34</v>
      </c>
      <c r="D73" s="138">
        <f>'Income Statement'!D44</f>
        <v>46.7</v>
      </c>
      <c r="E73" s="138">
        <f>'Income Statement'!E44</f>
        <v>45.4</v>
      </c>
      <c r="F73" s="138">
        <f>'Income Statement'!F44</f>
        <v>45.3</v>
      </c>
      <c r="G73" s="138">
        <f>'Income Statement'!G44</f>
        <v>45</v>
      </c>
      <c r="H73" s="138">
        <f>'Income Statement'!H44</f>
        <v>45.5</v>
      </c>
      <c r="I73" s="402">
        <f>H73-I71/I69+'Income Statement'!I55/I69</f>
        <v>44.076453190641551</v>
      </c>
      <c r="J73" s="402">
        <f>I73-J71/J69+'Income Statement'!J55/J69</f>
        <v>42.762635824814822</v>
      </c>
      <c r="K73" s="402">
        <f>J73-K71/K69+'Income Statement'!K55/K69</f>
        <v>41.543980980976649</v>
      </c>
      <c r="L73" s="402">
        <f>K73-L71/L69+'Income Statement'!L55/L69</f>
        <v>40.403866975035697</v>
      </c>
      <c r="M73" s="402">
        <f>L73-M71/M69+'Income Statement'!M55/M69</f>
        <v>39.313496014643761</v>
      </c>
      <c r="O73" s="4" t="s">
        <v>359</v>
      </c>
    </row>
    <row r="74" spans="1:15" x14ac:dyDescent="0.2">
      <c r="B74" s="145" t="s">
        <v>356</v>
      </c>
      <c r="C74" s="150" t="s">
        <v>2</v>
      </c>
      <c r="D74" s="469">
        <f>IFERROR((D71+D72)/'Cash Flow'!D38,0)</f>
        <v>2.1590909090909091E-2</v>
      </c>
      <c r="E74" s="469">
        <f>IFERROR((E71+E72)/'Cash Flow'!E38,0)</f>
        <v>1.1657142857142861</v>
      </c>
      <c r="F74" s="469">
        <f>IFERROR((F71+F72)/'Cash Flow'!F38,0)</f>
        <v>9.8245614035087706E-2</v>
      </c>
      <c r="G74" s="469">
        <f>IFERROR((G71+G72)/'Cash Flow'!G38,0)</f>
        <v>0.1319127346524607</v>
      </c>
      <c r="H74" s="469">
        <f>IFERROR((H71+H72)/'Cash Flow'!H38,0)</f>
        <v>0.23594036097305782</v>
      </c>
      <c r="I74" s="469">
        <f>IFERROR((I71+I72)/'Cash Flow'!I38,0)</f>
        <v>0.6</v>
      </c>
      <c r="J74" s="469">
        <f>IFERROR((J71+J72)/'Cash Flow'!J38,0)</f>
        <v>0.57499999999999996</v>
      </c>
      <c r="K74" s="469">
        <f>IFERROR((K71+K72)/'Cash Flow'!K38,0)</f>
        <v>0.55000000000000004</v>
      </c>
      <c r="L74" s="469">
        <f>IFERROR((L71+L72)/'Cash Flow'!L38,0)</f>
        <v>0.52500000000000002</v>
      </c>
      <c r="M74" s="469">
        <f>IFERROR((M71+M72)/'Cash Flow'!M38,0)</f>
        <v>0.5</v>
      </c>
      <c r="N74" s="464"/>
      <c r="O74" s="472" t="s">
        <v>360</v>
      </c>
    </row>
    <row r="75" spans="1:15" ht="15" x14ac:dyDescent="0.2">
      <c r="B75" s="110"/>
      <c r="C75" s="142"/>
      <c r="D75" s="143"/>
      <c r="E75" s="143"/>
      <c r="F75" s="143"/>
      <c r="G75" s="143"/>
      <c r="H75" s="143"/>
      <c r="I75" s="143"/>
      <c r="J75" s="143"/>
      <c r="K75" s="143"/>
      <c r="L75" s="143"/>
      <c r="M75" s="143"/>
      <c r="O75"/>
    </row>
    <row r="76" spans="1:15" ht="15" x14ac:dyDescent="0.2">
      <c r="B76" s="74"/>
      <c r="C76" s="27"/>
      <c r="D76" s="76"/>
      <c r="E76" s="76"/>
      <c r="F76" s="76"/>
      <c r="G76" s="76"/>
      <c r="H76" s="76"/>
      <c r="I76" s="76"/>
      <c r="J76" s="76"/>
      <c r="K76" s="76"/>
      <c r="L76" s="76"/>
      <c r="M76" s="76"/>
      <c r="O76"/>
    </row>
    <row r="77" spans="1:15" ht="15" thickBot="1" x14ac:dyDescent="0.25">
      <c r="A77" s="15"/>
      <c r="B77" s="106" t="s">
        <v>65</v>
      </c>
      <c r="C77" s="101"/>
      <c r="D77" s="108"/>
    </row>
    <row r="78" spans="1:15" ht="15" x14ac:dyDescent="0.2">
      <c r="A78" s="27"/>
      <c r="B78" s="19" t="s">
        <v>121</v>
      </c>
      <c r="C78" s="74" t="s">
        <v>2</v>
      </c>
      <c r="D78" s="480">
        <v>4.3099999999999999E-2</v>
      </c>
      <c r="E78" s="464"/>
      <c r="F78" s="465"/>
      <c r="G78" s="464"/>
      <c r="H78" s="464"/>
      <c r="I78" s="464"/>
      <c r="J78" s="464"/>
      <c r="K78" s="464"/>
      <c r="L78" s="464"/>
      <c r="M78" s="464"/>
      <c r="N78" s="464"/>
      <c r="O78" s="464"/>
    </row>
    <row r="79" spans="1:15" ht="15" customHeight="1" x14ac:dyDescent="0.2">
      <c r="A79" s="27"/>
      <c r="B79" s="19" t="s">
        <v>3</v>
      </c>
      <c r="C79" s="19" t="s">
        <v>2</v>
      </c>
      <c r="D79" s="485">
        <v>5.5E-2</v>
      </c>
      <c r="E79" s="486"/>
      <c r="F79" s="465"/>
      <c r="G79" s="464"/>
      <c r="H79" s="464"/>
      <c r="I79" s="464"/>
      <c r="J79" s="464"/>
      <c r="K79" s="464"/>
      <c r="L79" s="464"/>
      <c r="M79" s="464"/>
      <c r="N79" s="464"/>
      <c r="O79" s="464"/>
    </row>
    <row r="80" spans="1:15" ht="15" x14ac:dyDescent="0.2">
      <c r="A80" s="27"/>
      <c r="B80" s="74" t="s">
        <v>97</v>
      </c>
      <c r="C80" s="74" t="s">
        <v>4</v>
      </c>
      <c r="D80" s="107">
        <v>1.25</v>
      </c>
      <c r="E80" s="27"/>
      <c r="F80" s="27"/>
      <c r="N80" s="27"/>
      <c r="O80"/>
    </row>
    <row r="81" spans="1:15" ht="15" x14ac:dyDescent="0.2">
      <c r="A81" s="27"/>
      <c r="B81" s="19" t="s">
        <v>122</v>
      </c>
      <c r="C81" s="19" t="s">
        <v>4</v>
      </c>
      <c r="D81" s="154">
        <f>D80*0.67+0.33</f>
        <v>1.1675</v>
      </c>
      <c r="E81" s="27"/>
      <c r="F81" s="27"/>
      <c r="N81" s="27"/>
      <c r="O81"/>
    </row>
    <row r="82" spans="1:15" ht="15" x14ac:dyDescent="0.2">
      <c r="A82" s="27"/>
      <c r="B82" s="19" t="s">
        <v>123</v>
      </c>
      <c r="C82" s="19" t="s">
        <v>2</v>
      </c>
      <c r="D82" s="487">
        <f>D78+D81*D79</f>
        <v>0.10731250000000001</v>
      </c>
      <c r="E82" s="486"/>
      <c r="F82" s="486"/>
      <c r="G82" s="464"/>
      <c r="H82" s="464"/>
      <c r="I82" s="464"/>
      <c r="J82" s="464"/>
      <c r="K82" s="464"/>
      <c r="L82" s="464"/>
      <c r="M82" s="464"/>
      <c r="N82" s="486"/>
      <c r="O82" s="465"/>
    </row>
    <row r="83" spans="1:15" ht="15" x14ac:dyDescent="0.2">
      <c r="A83" s="27"/>
      <c r="B83" s="19" t="s">
        <v>124</v>
      </c>
      <c r="C83" s="19" t="s">
        <v>2</v>
      </c>
      <c r="D83" s="488">
        <f>I56</f>
        <v>7.8757557436517536E-2</v>
      </c>
      <c r="E83" s="486"/>
      <c r="F83" s="486"/>
      <c r="G83" s="464"/>
      <c r="H83" s="464"/>
      <c r="I83" s="464"/>
      <c r="J83" s="464"/>
      <c r="K83" s="464"/>
      <c r="L83" s="464"/>
      <c r="M83" s="464"/>
      <c r="N83" s="486"/>
      <c r="O83" s="465"/>
    </row>
    <row r="84" spans="1:15" ht="15" x14ac:dyDescent="0.2">
      <c r="A84" s="27"/>
      <c r="B84" s="19" t="s">
        <v>125</v>
      </c>
      <c r="C84" s="19" t="s">
        <v>14</v>
      </c>
      <c r="D84" s="238">
        <f>H49</f>
        <v>426</v>
      </c>
      <c r="E84" s="27"/>
      <c r="F84" s="27"/>
      <c r="N84" s="27"/>
      <c r="O84"/>
    </row>
    <row r="85" spans="1:15" ht="15" x14ac:dyDescent="0.2">
      <c r="A85" s="27"/>
      <c r="B85" s="19" t="s">
        <v>126</v>
      </c>
      <c r="C85" s="19" t="s">
        <v>14</v>
      </c>
      <c r="D85" s="137">
        <f>'Income Statement'!H44*'DCF &amp; Sensitivity'!D55</f>
        <v>7644</v>
      </c>
      <c r="E85" s="27"/>
      <c r="F85" s="27"/>
      <c r="N85" s="27"/>
      <c r="O85"/>
    </row>
    <row r="86" spans="1:15" ht="15" x14ac:dyDescent="0.2">
      <c r="A86" s="27"/>
      <c r="B86" s="19" t="s">
        <v>127</v>
      </c>
      <c r="C86" s="19" t="s">
        <v>2</v>
      </c>
      <c r="D86" s="487">
        <f>D84/(D84+D85)</f>
        <v>5.2788104089219329E-2</v>
      </c>
      <c r="E86" s="486"/>
      <c r="F86" s="486"/>
      <c r="G86" s="464"/>
      <c r="H86" s="464"/>
      <c r="I86" s="464"/>
      <c r="J86" s="464"/>
      <c r="K86" s="464"/>
      <c r="L86" s="464"/>
      <c r="M86" s="464"/>
      <c r="N86" s="486"/>
      <c r="O86" s="465"/>
    </row>
    <row r="87" spans="1:15" ht="15" x14ac:dyDescent="0.2">
      <c r="B87" s="19" t="s">
        <v>11</v>
      </c>
      <c r="C87" s="19" t="s">
        <v>2</v>
      </c>
      <c r="D87" s="487">
        <f>D82*(1-D86)+D83*(1-I59)*D86</f>
        <v>0.10509837015593605</v>
      </c>
      <c r="E87" s="464"/>
      <c r="F87" s="464"/>
      <c r="G87" s="464"/>
      <c r="H87" s="464"/>
      <c r="I87" s="464"/>
      <c r="J87" s="464"/>
      <c r="K87" s="464"/>
      <c r="L87" s="464"/>
      <c r="M87" s="464"/>
      <c r="N87" s="464"/>
      <c r="O87" s="465"/>
    </row>
    <row r="88" spans="1:15" ht="15" x14ac:dyDescent="0.2">
      <c r="B88" s="19" t="s">
        <v>19</v>
      </c>
      <c r="C88" s="19" t="s">
        <v>2</v>
      </c>
      <c r="D88" s="383">
        <f>INDEX($E$23:$G$23,MATCH($H$23,$E$9:$G$9,0))</f>
        <v>2.5000000000000001E-2</v>
      </c>
      <c r="E88" s="464"/>
      <c r="F88" s="464"/>
      <c r="G88" s="464"/>
      <c r="H88" s="464"/>
      <c r="I88" s="464"/>
      <c r="J88" s="464"/>
      <c r="K88" s="464"/>
      <c r="L88" s="464"/>
      <c r="M88" s="464"/>
      <c r="N88" s="464"/>
      <c r="O88" s="465"/>
    </row>
    <row r="89" spans="1:15" ht="15" x14ac:dyDescent="0.2">
      <c r="B89" s="19" t="s">
        <v>59</v>
      </c>
      <c r="C89" s="19" t="s">
        <v>4</v>
      </c>
      <c r="D89" s="403">
        <f>INDEX($E$24:$G$24,MATCH($H$24,$E$9:$G$9,0))</f>
        <v>11</v>
      </c>
      <c r="O89"/>
    </row>
    <row r="90" spans="1:15" ht="15" x14ac:dyDescent="0.2">
      <c r="B90" s="29"/>
      <c r="C90" s="29"/>
      <c r="D90" s="29"/>
      <c r="E90" s="29"/>
      <c r="F90" s="29"/>
      <c r="O90"/>
    </row>
    <row r="91" spans="1:15" x14ac:dyDescent="0.2">
      <c r="B91" s="29"/>
      <c r="C91" s="29"/>
      <c r="D91" s="29"/>
      <c r="E91" s="29"/>
      <c r="F91" s="29"/>
      <c r="O91" s="29"/>
    </row>
    <row r="92" spans="1:15" ht="15" x14ac:dyDescent="0.2">
      <c r="B92"/>
      <c r="C92"/>
      <c r="D92"/>
      <c r="E92"/>
      <c r="F92"/>
      <c r="G92"/>
      <c r="H92"/>
      <c r="I92"/>
      <c r="J92"/>
      <c r="K92"/>
      <c r="L92"/>
      <c r="M92"/>
      <c r="N92"/>
      <c r="O92"/>
    </row>
    <row r="93" spans="1:15" ht="15" x14ac:dyDescent="0.2">
      <c r="B93"/>
      <c r="C93"/>
      <c r="D93"/>
      <c r="E93"/>
      <c r="F93"/>
      <c r="G93"/>
      <c r="H93"/>
      <c r="I93"/>
      <c r="J93"/>
      <c r="K93"/>
      <c r="L93"/>
      <c r="M93"/>
      <c r="N93"/>
      <c r="O93"/>
    </row>
    <row r="94" spans="1:15" ht="15" x14ac:dyDescent="0.2">
      <c r="B94"/>
      <c r="C94"/>
      <c r="D94"/>
      <c r="E94"/>
      <c r="F94"/>
      <c r="G94"/>
      <c r="H94"/>
      <c r="I94"/>
      <c r="J94"/>
      <c r="K94"/>
      <c r="L94"/>
      <c r="M94"/>
      <c r="N94"/>
      <c r="O94"/>
    </row>
    <row r="95" spans="1:15" ht="15" x14ac:dyDescent="0.2">
      <c r="B95"/>
      <c r="C95"/>
      <c r="D95"/>
      <c r="E95"/>
      <c r="F95"/>
      <c r="G95"/>
      <c r="H95"/>
      <c r="I95"/>
      <c r="J95"/>
      <c r="K95"/>
      <c r="L95"/>
      <c r="M95"/>
      <c r="N95"/>
      <c r="O95"/>
    </row>
    <row r="96" spans="1:15" ht="15" x14ac:dyDescent="0.2">
      <c r="B96"/>
      <c r="C96"/>
      <c r="D96"/>
      <c r="E96"/>
      <c r="F96"/>
      <c r="G96"/>
      <c r="H96"/>
      <c r="I96"/>
      <c r="J96"/>
      <c r="K96"/>
      <c r="L96"/>
      <c r="M96"/>
      <c r="N96"/>
      <c r="O96"/>
    </row>
    <row r="97" spans="2:15" ht="15" x14ac:dyDescent="0.2">
      <c r="B97"/>
      <c r="C97"/>
      <c r="D97"/>
      <c r="E97"/>
      <c r="F97"/>
      <c r="G97"/>
      <c r="H97"/>
      <c r="I97"/>
      <c r="J97"/>
      <c r="K97"/>
      <c r="L97"/>
      <c r="M97"/>
      <c r="N97"/>
      <c r="O97"/>
    </row>
    <row r="98" spans="2:15" ht="15" x14ac:dyDescent="0.2">
      <c r="B98"/>
      <c r="C98"/>
      <c r="D98"/>
      <c r="E98"/>
      <c r="F98"/>
      <c r="G98"/>
      <c r="H98"/>
      <c r="I98"/>
      <c r="J98"/>
      <c r="K98"/>
      <c r="L98"/>
      <c r="M98"/>
      <c r="N98"/>
      <c r="O98"/>
    </row>
    <row r="99" spans="2:15" ht="15" x14ac:dyDescent="0.2">
      <c r="B99"/>
      <c r="C99"/>
      <c r="D99"/>
      <c r="E99"/>
      <c r="F99"/>
      <c r="G99"/>
      <c r="H99"/>
      <c r="I99"/>
      <c r="J99"/>
      <c r="K99"/>
      <c r="L99"/>
      <c r="M99"/>
      <c r="N99"/>
      <c r="O99"/>
    </row>
    <row r="100" spans="2:15" ht="15" x14ac:dyDescent="0.2">
      <c r="B100"/>
      <c r="C100"/>
      <c r="D100"/>
      <c r="E100"/>
      <c r="F100"/>
      <c r="G100"/>
      <c r="H100"/>
      <c r="I100"/>
      <c r="J100"/>
      <c r="K100"/>
      <c r="L100"/>
      <c r="M100"/>
      <c r="N100"/>
      <c r="O100"/>
    </row>
    <row r="101" spans="2:15" ht="15" x14ac:dyDescent="0.2">
      <c r="B101"/>
      <c r="C101"/>
      <c r="D101"/>
      <c r="E101"/>
      <c r="F101"/>
      <c r="G101"/>
      <c r="H101"/>
      <c r="I101"/>
      <c r="J101"/>
      <c r="K101"/>
      <c r="L101"/>
      <c r="M101"/>
      <c r="N101"/>
      <c r="O101"/>
    </row>
    <row r="102" spans="2:15" ht="15" x14ac:dyDescent="0.2">
      <c r="B102"/>
      <c r="C102"/>
      <c r="D102"/>
      <c r="E102"/>
      <c r="F102"/>
      <c r="G102"/>
      <c r="H102"/>
      <c r="I102"/>
      <c r="J102"/>
      <c r="K102"/>
      <c r="L102"/>
      <c r="M102"/>
      <c r="N102"/>
      <c r="O102"/>
    </row>
  </sheetData>
  <mergeCells count="3">
    <mergeCell ref="O59:O60"/>
    <mergeCell ref="O46:O56"/>
    <mergeCell ref="O28:O33"/>
  </mergeCells>
  <dataValidations count="13">
    <dataValidation type="list" allowBlank="1" showInputMessage="1" showErrorMessage="1" errorTitle="Invalid Scenario" error="Please select Bear, Base, or Bull." sqref="H20" xr:uid="{B344C85E-C2BD-5B42-BEFC-1D6A154568F0}">
      <formula1>"Bear,Base,Bull"</formula1>
    </dataValidation>
    <dataValidation type="list" allowBlank="1" showErrorMessage="1" errorTitle="Invalid Scenario" error="Please select Bear, Base, or Bull." sqref="H10 H14" xr:uid="{30C1CF54-D4CF-714D-838A-0656873B0E66}">
      <formula1>"Bear,Base,Bull"</formula1>
    </dataValidation>
    <dataValidation type="list" showInputMessage="1" showErrorMessage="1" errorTitle="Invalid Scenario" error="Scenario must be 'Bear', 'Base', or 'Bull' — these values drive MATCH lookups across the model. Typos will silently break scenario formulas." sqref="H11" xr:uid="{DE9A6811-450B-E542-8F80-940622DCFE67}">
      <formula1>"Bear,Base,Bull"</formula1>
    </dataValidation>
    <dataValidation type="list" showInputMessage="1" showErrorMessage="1" errorTitle="Invalid Scenario" error="Scenario must be 'Bear', 'Base', or 'Bull' — these values drive MATCH lookups across the model. Typos will silently break scenario formulas." sqref="H12" xr:uid="{66B5F2AD-86DB-3848-8529-903BC066355D}">
      <formula1>"Bear,Base,Bull"</formula1>
    </dataValidation>
    <dataValidation type="list" showInputMessage="1" showErrorMessage="1" errorTitle="Invalid Scenario" error="Scenario must be 'Bear', 'Base', or 'Bull' — these values drive MATCH lookups across the model. Typos will silently break scenario formulas." sqref="H13" xr:uid="{E0ED2340-EFAD-CC42-8848-FA795062D550}">
      <formula1>"Bear,Base,Bull"</formula1>
    </dataValidation>
    <dataValidation type="list" showInputMessage="1" showErrorMessage="1" errorTitle="Invalid Scenario" error="Scenario must be 'Bear', 'Base', or 'Bull' — these values drive MATCH lookups across the model. Typos will silently break scenario formulas." sqref="H15" xr:uid="{9F11E495-0D4E-4A4F-8E06-25206F9CF8CD}">
      <formula1>"Bear,Base,Bull"</formula1>
    </dataValidation>
    <dataValidation type="list" showInputMessage="1" showErrorMessage="1" errorTitle="Invalid Scenario" error="Scenario must be 'Bear', 'Base', or 'Bull' — these values drive MATCH lookups across the model. Typos will silently break scenario formulas." sqref="H16" xr:uid="{1AB220B8-5837-C54C-A84C-2C0CB6E9C059}">
      <formula1>"Bear,Base,Bull"</formula1>
    </dataValidation>
    <dataValidation type="list" showInputMessage="1" showErrorMessage="1" errorTitle="Invalid Scenario" error="Scenario must be 'Bear', 'Base', or 'Bull' — these values drive MATCH lookups across the model. Typos will silently break scenario formulas." sqref="H17" xr:uid="{2D50B44E-A71B-E248-A6A7-2602BEF7B1ED}">
      <formula1>"Bear,Base,Bull"</formula1>
    </dataValidation>
    <dataValidation type="list" showInputMessage="1" showErrorMessage="1" errorTitle="Invalid Scenario" error="Scenario must be 'Bear', 'Base', or 'Bull' — these values drive MATCH lookups across the model. Typos will silently break scenario formulas." sqref="H18" xr:uid="{7B7E4DDD-6918-094A-B629-4E090EA26497}">
      <formula1>"Bear,Base,Bull"</formula1>
    </dataValidation>
    <dataValidation type="list" showInputMessage="1" showErrorMessage="1" errorTitle="Invalid Scenario" error="Scenario must be 'Bear', 'Base', or 'Bull' — these values drive MATCH lookups across the model. Typos will silently break scenario formulas." sqref="H19" xr:uid="{54EC9ECC-0A5E-4D49-BA00-9128C187F37E}">
      <formula1>"Bear,Base,Bull"</formula1>
    </dataValidation>
    <dataValidation type="list" showInputMessage="1" showErrorMessage="1" errorTitle="Invalid Scenario" error="Scenario must be 'Bear', 'Base', or 'Bull' — these values drive MATCH lookups across the model. Typos will silently break scenario formulas." sqref="H21" xr:uid="{8E71FC27-31F8-9740-8EA6-30F253C5180B}">
      <formula1>"Bear,Base,Bull"</formula1>
    </dataValidation>
    <dataValidation type="list" showInputMessage="1" showErrorMessage="1" errorTitle="Invalid Scenario" error="Scenario must be 'Bear', 'Base', or 'Bull' — these values drive MATCH lookups across the model. Typos will silently break scenario formulas." sqref="H23" xr:uid="{6C23DB5F-6A77-7843-9DE1-C49C0EBD17E4}">
      <formula1>"Bear,Base,Bull"</formula1>
    </dataValidation>
    <dataValidation type="list" showInputMessage="1" showErrorMessage="1" errorTitle="Invalid Scenario" error="Scenario must be 'Bear', 'Base', or 'Bull' — these values drive MATCH lookups across the model. Typos will silently break scenario formulas." sqref="H24" xr:uid="{DBA4B1E1-44FB-AA4C-8BAE-CEEED542327F}">
      <formula1>"Bear,Base,Bull"</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55"/>
  <sheetViews>
    <sheetView showGridLines="0" zoomScaleNormal="100" workbookViewId="0"/>
  </sheetViews>
  <sheetFormatPr baseColWidth="10" defaultColWidth="8.83203125" defaultRowHeight="14" x14ac:dyDescent="0.2"/>
  <cols>
    <col min="1" max="1" width="1.6640625" style="16" customWidth="1"/>
    <col min="2" max="2" width="41.6640625" style="16" customWidth="1"/>
    <col min="3" max="3" width="8.33203125" style="16" customWidth="1"/>
    <col min="4" max="13" width="12.5" style="16" customWidth="1"/>
    <col min="14" max="14" width="1.6640625" style="16" customWidth="1"/>
    <col min="15" max="15" width="63.5" style="16" customWidth="1"/>
    <col min="16" max="17" width="8.83203125" style="16" customWidth="1"/>
    <col min="18" max="16384" width="8.83203125" style="16"/>
  </cols>
  <sheetData>
    <row r="2" spans="2:15" ht="19" customHeight="1" x14ac:dyDescent="0.2">
      <c r="B2" s="21" t="s">
        <v>51</v>
      </c>
      <c r="C2"/>
      <c r="D2"/>
      <c r="E2"/>
      <c r="F2"/>
      <c r="G2"/>
      <c r="H2"/>
      <c r="I2"/>
      <c r="J2"/>
      <c r="K2"/>
      <c r="L2"/>
      <c r="M2"/>
      <c r="N2"/>
    </row>
    <row r="3" spans="2:15" ht="15" x14ac:dyDescent="0.2">
      <c r="B3" s="14" t="s">
        <v>131</v>
      </c>
      <c r="C3"/>
      <c r="D3"/>
      <c r="E3"/>
      <c r="F3"/>
      <c r="G3"/>
      <c r="H3"/>
      <c r="I3"/>
      <c r="J3"/>
      <c r="K3"/>
      <c r="L3"/>
      <c r="M3"/>
      <c r="N3"/>
    </row>
    <row r="4" spans="2:15" ht="15" x14ac:dyDescent="0.2">
      <c r="B4" s="14" t="s">
        <v>0</v>
      </c>
      <c r="C4"/>
      <c r="D4"/>
      <c r="E4"/>
      <c r="F4"/>
      <c r="G4"/>
      <c r="H4"/>
      <c r="I4"/>
      <c r="J4"/>
      <c r="K4"/>
      <c r="L4"/>
      <c r="M4"/>
      <c r="N4"/>
    </row>
    <row r="5" spans="2:15" ht="15" x14ac:dyDescent="0.2">
      <c r="B5" s="14"/>
      <c r="C5"/>
      <c r="D5"/>
      <c r="E5"/>
      <c r="F5"/>
      <c r="G5"/>
      <c r="H5"/>
      <c r="I5"/>
      <c r="J5"/>
      <c r="K5"/>
      <c r="L5"/>
      <c r="M5"/>
      <c r="N5"/>
    </row>
    <row r="6" spans="2:15" ht="15" x14ac:dyDescent="0.2">
      <c r="B6" s="373" t="s">
        <v>541</v>
      </c>
      <c r="C6" s="374"/>
      <c r="D6" s="374"/>
      <c r="E6" s="374"/>
      <c r="F6" s="374"/>
      <c r="G6" s="374"/>
      <c r="H6" s="374"/>
      <c r="I6" s="374"/>
      <c r="J6" s="374"/>
      <c r="K6" s="374"/>
      <c r="L6" s="374"/>
      <c r="M6" s="374"/>
      <c r="N6"/>
    </row>
    <row r="7" spans="2:15" ht="15" x14ac:dyDescent="0.2">
      <c r="B7" s="374"/>
      <c r="C7" s="374"/>
      <c r="D7" s="374"/>
      <c r="E7" s="374"/>
      <c r="F7" s="374"/>
      <c r="G7" s="374"/>
      <c r="H7" s="374"/>
      <c r="I7" s="374"/>
      <c r="J7" s="374"/>
      <c r="K7" s="374"/>
      <c r="L7" s="374"/>
      <c r="M7" s="374"/>
      <c r="N7"/>
      <c r="O7" s="60"/>
    </row>
    <row r="8" spans="2:15" ht="15" x14ac:dyDescent="0.2">
      <c r="B8" s="374"/>
      <c r="C8" s="374"/>
      <c r="D8" s="374"/>
      <c r="E8" s="374"/>
      <c r="F8" s="374"/>
      <c r="G8" s="374"/>
      <c r="H8" s="374"/>
      <c r="I8" s="374"/>
      <c r="J8" s="374"/>
      <c r="K8" s="374"/>
      <c r="L8" s="374"/>
      <c r="M8" s="374"/>
      <c r="N8"/>
      <c r="O8" s="60"/>
    </row>
    <row r="9" spans="2:15" ht="15" x14ac:dyDescent="0.2">
      <c r="B9" s="374"/>
      <c r="C9" s="374"/>
      <c r="D9" s="374"/>
      <c r="E9" s="374"/>
      <c r="F9" s="374"/>
      <c r="G9" s="374"/>
      <c r="H9" s="374"/>
      <c r="I9" s="374"/>
      <c r="J9" s="374"/>
      <c r="K9" s="374"/>
      <c r="L9" s="374"/>
      <c r="M9" s="374"/>
      <c r="N9"/>
      <c r="O9" s="60"/>
    </row>
    <row r="10" spans="2:15" ht="15" x14ac:dyDescent="0.2">
      <c r="B10" s="374"/>
      <c r="C10" s="374"/>
      <c r="D10" s="374"/>
      <c r="E10" s="374"/>
      <c r="F10" s="374"/>
      <c r="G10" s="374"/>
      <c r="H10" s="374"/>
      <c r="I10" s="374"/>
      <c r="J10" s="374"/>
      <c r="K10" s="374"/>
      <c r="L10" s="374"/>
      <c r="M10" s="374"/>
      <c r="N10"/>
    </row>
    <row r="11" spans="2:15" ht="15" x14ac:dyDescent="0.2">
      <c r="B11" s="374"/>
      <c r="C11" s="374"/>
      <c r="D11" s="374"/>
      <c r="E11" s="374"/>
      <c r="F11" s="374"/>
      <c r="G11" s="374"/>
      <c r="H11" s="374"/>
      <c r="I11" s="374"/>
      <c r="J11" s="374"/>
      <c r="K11" s="374"/>
      <c r="L11" s="374"/>
      <c r="M11" s="374"/>
      <c r="N11"/>
    </row>
    <row r="12" spans="2:15" ht="15" x14ac:dyDescent="0.2">
      <c r="B12" s="374"/>
      <c r="C12" s="374"/>
      <c r="D12" s="374"/>
      <c r="E12" s="374"/>
      <c r="F12" s="374"/>
      <c r="G12" s="374"/>
      <c r="H12" s="374"/>
      <c r="I12" s="374"/>
      <c r="J12" s="374"/>
      <c r="K12" s="374"/>
      <c r="L12" s="374"/>
      <c r="M12" s="374"/>
      <c r="N12"/>
    </row>
    <row r="13" spans="2:15" ht="15" x14ac:dyDescent="0.2">
      <c r="B13" s="374"/>
      <c r="C13" s="374"/>
      <c r="D13" s="374"/>
      <c r="E13" s="374"/>
      <c r="F13" s="374"/>
      <c r="G13" s="374"/>
      <c r="H13" s="374"/>
      <c r="I13" s="374"/>
      <c r="J13" s="374"/>
      <c r="K13" s="374"/>
      <c r="L13" s="374"/>
      <c r="M13" s="374"/>
      <c r="N13"/>
    </row>
    <row r="14" spans="2:15" ht="15" x14ac:dyDescent="0.2">
      <c r="B14" s="374"/>
      <c r="C14" s="374"/>
      <c r="D14" s="374"/>
      <c r="E14" s="374"/>
      <c r="F14" s="374"/>
      <c r="G14" s="374"/>
      <c r="H14" s="374"/>
      <c r="I14" s="374"/>
      <c r="J14" s="374"/>
      <c r="K14" s="374"/>
      <c r="L14" s="374"/>
      <c r="M14" s="374"/>
      <c r="N14"/>
    </row>
    <row r="15" spans="2:15" ht="15" x14ac:dyDescent="0.2">
      <c r="B15" s="14"/>
      <c r="C15"/>
      <c r="D15"/>
      <c r="E15"/>
      <c r="F15"/>
      <c r="G15"/>
      <c r="H15"/>
      <c r="I15"/>
      <c r="J15"/>
      <c r="K15"/>
      <c r="L15"/>
      <c r="M15"/>
      <c r="N15"/>
    </row>
    <row r="16" spans="2:15" ht="15" x14ac:dyDescent="0.2">
      <c r="B16"/>
      <c r="C16" s="58" t="s">
        <v>12</v>
      </c>
      <c r="D16" s="129" t="s">
        <v>103</v>
      </c>
      <c r="E16" s="129" t="s">
        <v>104</v>
      </c>
      <c r="F16" s="129" t="s">
        <v>105</v>
      </c>
      <c r="G16" s="129" t="s">
        <v>106</v>
      </c>
      <c r="H16" s="129" t="s">
        <v>107</v>
      </c>
      <c r="I16" s="130" t="s">
        <v>108</v>
      </c>
      <c r="J16" s="130" t="s">
        <v>109</v>
      </c>
      <c r="K16" s="130" t="s">
        <v>110</v>
      </c>
      <c r="L16" s="130" t="s">
        <v>111</v>
      </c>
      <c r="M16" s="130" t="s">
        <v>112</v>
      </c>
      <c r="N16"/>
      <c r="O16" s="13" t="s">
        <v>60</v>
      </c>
    </row>
    <row r="17" spans="2:15" ht="16" customHeight="1" x14ac:dyDescent="0.2">
      <c r="B17"/>
      <c r="C17"/>
      <c r="D17"/>
      <c r="E17"/>
      <c r="F17"/>
      <c r="G17"/>
      <c r="H17"/>
      <c r="I17"/>
      <c r="J17"/>
      <c r="K17"/>
      <c r="L17"/>
      <c r="M17"/>
      <c r="N17"/>
    </row>
    <row r="18" spans="2:15" ht="16" thickBot="1" x14ac:dyDescent="0.25">
      <c r="B18" s="168" t="s">
        <v>128</v>
      </c>
      <c r="C18" s="168"/>
      <c r="D18" s="168"/>
      <c r="E18" s="168"/>
      <c r="F18" s="168"/>
      <c r="G18" s="168"/>
      <c r="H18" s="168"/>
      <c r="I18" s="168"/>
      <c r="J18" s="168"/>
      <c r="K18" s="168"/>
      <c r="L18" s="168"/>
      <c r="M18" s="168"/>
      <c r="N18"/>
    </row>
    <row r="19" spans="2:15" ht="16" customHeight="1" x14ac:dyDescent="0.2">
      <c r="B19" s="34" t="s">
        <v>361</v>
      </c>
      <c r="C19" s="55" t="s">
        <v>16</v>
      </c>
      <c r="D19" s="156">
        <v>1145</v>
      </c>
      <c r="E19" s="157">
        <f t="shared" ref="E19:M19" si="0">D21</f>
        <v>1134</v>
      </c>
      <c r="F19" s="157">
        <f t="shared" si="0"/>
        <v>1123</v>
      </c>
      <c r="G19" s="157">
        <f t="shared" si="0"/>
        <v>1127</v>
      </c>
      <c r="H19" s="157">
        <f t="shared" si="0"/>
        <v>1121</v>
      </c>
      <c r="I19" s="157">
        <f t="shared" si="0"/>
        <v>1113</v>
      </c>
      <c r="J19" s="157">
        <f t="shared" si="0"/>
        <v>1115</v>
      </c>
      <c r="K19" s="157">
        <f t="shared" si="0"/>
        <v>1115</v>
      </c>
      <c r="L19" s="157">
        <f t="shared" si="0"/>
        <v>1115</v>
      </c>
      <c r="M19" s="157">
        <f t="shared" si="0"/>
        <v>1115</v>
      </c>
      <c r="N19"/>
      <c r="O19" s="375" t="s">
        <v>387</v>
      </c>
    </row>
    <row r="20" spans="2:15" ht="15" x14ac:dyDescent="0.2">
      <c r="B20" s="178" t="s">
        <v>362</v>
      </c>
      <c r="C20" s="173" t="s">
        <v>16</v>
      </c>
      <c r="D20" s="160">
        <f>D21-D19</f>
        <v>-11</v>
      </c>
      <c r="E20" s="160">
        <f>E21-E19</f>
        <v>-11</v>
      </c>
      <c r="F20" s="160">
        <f>F21-F19</f>
        <v>4</v>
      </c>
      <c r="G20" s="160">
        <f>G21-G19</f>
        <v>-6</v>
      </c>
      <c r="H20" s="160">
        <f>H21-H19</f>
        <v>-8</v>
      </c>
      <c r="I20" s="160">
        <f>7-5</f>
        <v>2</v>
      </c>
      <c r="J20" s="164">
        <v>0</v>
      </c>
      <c r="K20" s="164">
        <v>0</v>
      </c>
      <c r="L20" s="164">
        <v>0</v>
      </c>
      <c r="M20" s="164">
        <v>0</v>
      </c>
      <c r="N20"/>
      <c r="O20" s="375"/>
    </row>
    <row r="21" spans="2:15" ht="15" x14ac:dyDescent="0.2">
      <c r="B21" s="158" t="s">
        <v>363</v>
      </c>
      <c r="C21" s="173" t="s">
        <v>16</v>
      </c>
      <c r="D21" s="164">
        <v>1134</v>
      </c>
      <c r="E21" s="164">
        <v>1123</v>
      </c>
      <c r="F21" s="164">
        <v>1127</v>
      </c>
      <c r="G21" s="164">
        <v>1121</v>
      </c>
      <c r="H21" s="164">
        <v>1113</v>
      </c>
      <c r="I21" s="165">
        <f>I19+I20</f>
        <v>1115</v>
      </c>
      <c r="J21" s="165">
        <f>J19+J20</f>
        <v>1115</v>
      </c>
      <c r="K21" s="165">
        <f>K19+K20</f>
        <v>1115</v>
      </c>
      <c r="L21" s="165">
        <f>L19+L20</f>
        <v>1115</v>
      </c>
      <c r="M21" s="165">
        <f>M19+M20</f>
        <v>1115</v>
      </c>
      <c r="N21"/>
      <c r="O21" s="375"/>
    </row>
    <row r="22" spans="2:15" ht="15" customHeight="1" x14ac:dyDescent="0.2">
      <c r="B22" s="158" t="s">
        <v>364</v>
      </c>
      <c r="C22" s="173" t="s">
        <v>2</v>
      </c>
      <c r="D22" s="489">
        <v>0.215</v>
      </c>
      <c r="E22" s="489">
        <v>0.03</v>
      </c>
      <c r="F22" s="489">
        <v>7.3999999999999996E-2</v>
      </c>
      <c r="G22" s="489">
        <v>3.7999999999999999E-2</v>
      </c>
      <c r="H22" s="489">
        <v>0.17</v>
      </c>
      <c r="I22" s="490">
        <f>Assumptions!$D$11</f>
        <v>8.5999999999999993E-2</v>
      </c>
      <c r="J22" s="490">
        <f>Assumptions!$D$11*0.55</f>
        <v>4.7300000000000002E-2</v>
      </c>
      <c r="K22" s="490">
        <f>Assumptions!$D$11*0.35</f>
        <v>3.0099999999999995E-2</v>
      </c>
      <c r="L22" s="490">
        <f>(Assumptions!$D$11*0.2+INDEX(Assumptions!$E$11:$G$11,MATCH(Assumptions!$H$11,Assumptions!$E$9:$G$9,0)))/2</f>
        <v>2.1100000000000001E-2</v>
      </c>
      <c r="M22" s="490">
        <f>INDEX(Assumptions!$E$11:$G$11,MATCH(Assumptions!$H$11,Assumptions!$E$9:$G$9,0))</f>
        <v>2.5000000000000001E-2</v>
      </c>
      <c r="N22" s="465"/>
      <c r="O22" s="491"/>
    </row>
    <row r="23" spans="2:15" ht="15" x14ac:dyDescent="0.2">
      <c r="B23" s="180" t="s">
        <v>365</v>
      </c>
      <c r="C23" s="175" t="s">
        <v>14</v>
      </c>
      <c r="D23" s="249">
        <v>2.9</v>
      </c>
      <c r="E23" s="249">
        <v>3.2</v>
      </c>
      <c r="F23" s="249">
        <v>3.4</v>
      </c>
      <c r="G23" s="249">
        <v>3.6</v>
      </c>
      <c r="H23" s="249">
        <v>4.5</v>
      </c>
      <c r="I23" s="250">
        <f>H23*(1+I22)</f>
        <v>4.8870000000000005</v>
      </c>
      <c r="J23" s="250">
        <f>I23*(1+J22)</f>
        <v>5.1181551000000001</v>
      </c>
      <c r="K23" s="250">
        <f>J23*(1+K22)</f>
        <v>5.2722115685100004</v>
      </c>
      <c r="L23" s="250">
        <f>K23*(1+L22)</f>
        <v>5.3834552326055611</v>
      </c>
      <c r="M23" s="250">
        <f>L23*(1+M22)</f>
        <v>5.5180416134206993</v>
      </c>
      <c r="N23"/>
      <c r="O23" s="375"/>
    </row>
    <row r="24" spans="2:15" ht="15" x14ac:dyDescent="0.2">
      <c r="B24" s="189" t="s">
        <v>366</v>
      </c>
      <c r="C24" s="190" t="s">
        <v>14</v>
      </c>
      <c r="D24" s="191">
        <f>((D19+D21)/2)*D23</f>
        <v>3304.5499999999997</v>
      </c>
      <c r="E24" s="191">
        <f>((E19+E21)/2)*E23</f>
        <v>3611.2000000000003</v>
      </c>
      <c r="F24" s="191">
        <f>((F19+F21)/2)*F23</f>
        <v>3825</v>
      </c>
      <c r="G24" s="191">
        <f>((G19+G21)/2)*G23</f>
        <v>4046.4</v>
      </c>
      <c r="H24" s="191">
        <f>((H19+H21)/2)*H23</f>
        <v>5026.5</v>
      </c>
      <c r="I24" s="235">
        <f>Assumptions!I29</f>
        <v>5250.5928000000004</v>
      </c>
      <c r="J24" s="235">
        <f>Assumptions!J29</f>
        <v>5498.9458394399999</v>
      </c>
      <c r="K24" s="235">
        <f>Assumptions!K29</f>
        <v>5664.4641092071442</v>
      </c>
      <c r="L24" s="235">
        <f>Assumptions!L29</f>
        <v>5783.9843019114141</v>
      </c>
      <c r="M24" s="235">
        <f>Assumptions!M29</f>
        <v>5928.5839094591993</v>
      </c>
      <c r="N24"/>
      <c r="O24" s="375"/>
    </row>
    <row r="25" spans="2:15" ht="15" x14ac:dyDescent="0.2">
      <c r="B25" s="221" t="s">
        <v>367</v>
      </c>
      <c r="C25" s="175" t="s">
        <v>2</v>
      </c>
      <c r="D25" s="492">
        <f>D24/D41</f>
        <v>0.90942991207188351</v>
      </c>
      <c r="E25" s="492">
        <f>E24/E41</f>
        <v>0.87556977984676576</v>
      </c>
      <c r="F25" s="492">
        <f>F24/F41</f>
        <v>0.8710603024230279</v>
      </c>
      <c r="G25" s="492">
        <f>G24/G41</f>
        <v>0.88341629552004186</v>
      </c>
      <c r="H25" s="492">
        <f>H24/H41</f>
        <v>0.90396547073104938</v>
      </c>
      <c r="I25" s="492">
        <f>I24/I41</f>
        <v>0.90457060437623849</v>
      </c>
      <c r="J25" s="492">
        <f>J24/J41</f>
        <v>0.90811507365389521</v>
      </c>
      <c r="K25" s="492">
        <f>K24/K41</f>
        <v>0.90907940407612897</v>
      </c>
      <c r="L25" s="492">
        <f>L24/L41</f>
        <v>0.9095206273074804</v>
      </c>
      <c r="M25" s="492">
        <f>M24/M41</f>
        <v>0.91029164172549026</v>
      </c>
      <c r="N25" s="465"/>
      <c r="O25" s="493"/>
    </row>
    <row r="26" spans="2:15" ht="16" customHeight="1" x14ac:dyDescent="0.2">
      <c r="B26" s="171"/>
      <c r="C26" s="170"/>
      <c r="D26" s="172"/>
      <c r="E26" s="172"/>
      <c r="F26" s="172"/>
      <c r="G26" s="172"/>
      <c r="H26" s="172"/>
      <c r="I26" s="172"/>
      <c r="J26" s="172"/>
      <c r="K26" s="172"/>
      <c r="L26" s="172"/>
      <c r="M26" s="172"/>
      <c r="N26"/>
    </row>
    <row r="27" spans="2:15" ht="16" thickBot="1" x14ac:dyDescent="0.25">
      <c r="B27" s="168" t="s">
        <v>129</v>
      </c>
      <c r="C27" s="168"/>
      <c r="D27" s="168"/>
      <c r="E27" s="168"/>
      <c r="F27" s="168"/>
      <c r="G27" s="168"/>
      <c r="H27" s="168"/>
      <c r="I27" s="168"/>
      <c r="J27" s="168"/>
      <c r="K27" s="168"/>
      <c r="L27" s="168"/>
      <c r="M27" s="168"/>
      <c r="N27"/>
      <c r="O27" s="14"/>
    </row>
    <row r="28" spans="2:15" ht="15" x14ac:dyDescent="0.2">
      <c r="B28" s="177" t="s">
        <v>363</v>
      </c>
      <c r="C28" s="55" t="s">
        <v>16</v>
      </c>
      <c r="D28" s="181">
        <v>51</v>
      </c>
      <c r="E28" s="181">
        <v>52</v>
      </c>
      <c r="F28" s="181">
        <v>50</v>
      </c>
      <c r="G28" s="181">
        <v>50</v>
      </c>
      <c r="H28" s="181">
        <v>49</v>
      </c>
      <c r="I28" s="404">
        <f>H28</f>
        <v>49</v>
      </c>
      <c r="J28" s="404">
        <f>I28</f>
        <v>49</v>
      </c>
      <c r="K28" s="404">
        <f>J28</f>
        <v>49</v>
      </c>
      <c r="L28" s="404">
        <f>K28</f>
        <v>49</v>
      </c>
      <c r="M28" s="404">
        <f>L28</f>
        <v>49</v>
      </c>
      <c r="N28"/>
      <c r="O28" s="375" t="s">
        <v>388</v>
      </c>
    </row>
    <row r="29" spans="2:15" ht="15" x14ac:dyDescent="0.2">
      <c r="B29" s="158" t="s">
        <v>364</v>
      </c>
      <c r="C29" s="173" t="s">
        <v>2</v>
      </c>
      <c r="D29" s="494">
        <v>0.15</v>
      </c>
      <c r="E29" s="494">
        <v>0.08</v>
      </c>
      <c r="F29" s="494">
        <v>6.9000000000000006E-2</v>
      </c>
      <c r="G29" s="494">
        <v>2.4E-2</v>
      </c>
      <c r="H29" s="494">
        <v>8.0000000000000002E-3</v>
      </c>
      <c r="I29" s="495">
        <f>Assumptions!$D$12</f>
        <v>-2.4E-2</v>
      </c>
      <c r="J29" s="495">
        <f>(Assumptions!$D$12+INDEX(Assumptions!$E$12:$G$12,MATCH(Assumptions!$H$12,Assumptions!$E$9:$G$9,0)))/2</f>
        <v>-7.0000000000000001E-3</v>
      </c>
      <c r="K29" s="495">
        <f>INDEX(Assumptions!$E$12:$G$12,MATCH(Assumptions!$H$12,Assumptions!$E$9:$G$9,0))</f>
        <v>0.01</v>
      </c>
      <c r="L29" s="495">
        <f>INDEX(Assumptions!$E$12:$G$12,MATCH(Assumptions!$H$12,Assumptions!$E$9:$G$9,0))</f>
        <v>0.01</v>
      </c>
      <c r="M29" s="495">
        <f>INDEX(Assumptions!$E$12:$G$12,MATCH(Assumptions!$H$12,Assumptions!$E$9:$G$9,0))</f>
        <v>0.01</v>
      </c>
      <c r="N29" s="465"/>
      <c r="O29" s="491"/>
    </row>
    <row r="30" spans="2:15" ht="15" x14ac:dyDescent="0.2">
      <c r="B30" s="180" t="s">
        <v>365</v>
      </c>
      <c r="C30" s="173" t="s">
        <v>14</v>
      </c>
      <c r="D30" s="162">
        <v>5.3</v>
      </c>
      <c r="E30" s="162">
        <v>8.1</v>
      </c>
      <c r="F30" s="162">
        <v>9.5</v>
      </c>
      <c r="G30" s="162">
        <v>9.8000000000000007</v>
      </c>
      <c r="H30" s="162">
        <v>9.9</v>
      </c>
      <c r="I30" s="182">
        <f>H30*(1+I29)</f>
        <v>9.6623999999999999</v>
      </c>
      <c r="J30" s="182">
        <f>I30*(1+J29)</f>
        <v>9.5947631999999992</v>
      </c>
      <c r="K30" s="182">
        <f>J30*(1+K29)</f>
        <v>9.6907108319999988</v>
      </c>
      <c r="L30" s="182">
        <f>K30*(1+L29)</f>
        <v>9.7876179403199988</v>
      </c>
      <c r="M30" s="182">
        <f>L30*(1+M29)</f>
        <v>9.885494119723198</v>
      </c>
      <c r="N30"/>
      <c r="O30" s="375"/>
    </row>
    <row r="31" spans="2:15" ht="15" x14ac:dyDescent="0.2">
      <c r="B31" s="186" t="s">
        <v>369</v>
      </c>
      <c r="C31" s="187" t="s">
        <v>14</v>
      </c>
      <c r="D31" s="188">
        <f>D28*D30</f>
        <v>270.3</v>
      </c>
      <c r="E31" s="188">
        <f>E28*E30</f>
        <v>421.2</v>
      </c>
      <c r="F31" s="188">
        <f>F28*F30</f>
        <v>475</v>
      </c>
      <c r="G31" s="188">
        <f>G28*G30</f>
        <v>490.00000000000006</v>
      </c>
      <c r="H31" s="188">
        <f>H28*H30</f>
        <v>485.1</v>
      </c>
      <c r="I31" s="236">
        <f>Assumptions!I31</f>
        <v>488.488</v>
      </c>
      <c r="J31" s="236">
        <f>Assumptions!J31</f>
        <v>485.06858399999999</v>
      </c>
      <c r="K31" s="236">
        <f>Assumptions!K31</f>
        <v>489.91926983999997</v>
      </c>
      <c r="L31" s="236">
        <f>Assumptions!L31</f>
        <v>494.81846253839996</v>
      </c>
      <c r="M31" s="236">
        <f>Assumptions!M31</f>
        <v>499.76664716378394</v>
      </c>
      <c r="N31"/>
      <c r="O31" s="375"/>
    </row>
    <row r="32" spans="2:15" ht="15" x14ac:dyDescent="0.2">
      <c r="B32" s="221" t="s">
        <v>367</v>
      </c>
      <c r="C32" s="175" t="s">
        <v>2</v>
      </c>
      <c r="D32" s="492">
        <f>D31/D41</f>
        <v>7.4388012053995298E-2</v>
      </c>
      <c r="E32" s="492">
        <f>E31/E41</f>
        <v>0.10212394530113472</v>
      </c>
      <c r="F32" s="492">
        <f>F31/F41</f>
        <v>0.10817088722900346</v>
      </c>
      <c r="G32" s="492">
        <f>G31/G41</f>
        <v>0.10697755654527989</v>
      </c>
      <c r="H32" s="492">
        <f>H31/H41</f>
        <v>8.7240356083086057E-2</v>
      </c>
      <c r="I32" s="492">
        <f>I31/I41</f>
        <v>8.4156570928627328E-2</v>
      </c>
      <c r="J32" s="492">
        <f>J31/J41</f>
        <v>8.0105915887909523E-2</v>
      </c>
      <c r="K32" s="492">
        <f>K31/K41</f>
        <v>7.8626240591344959E-2</v>
      </c>
      <c r="L32" s="492">
        <f>L31/L41</f>
        <v>7.7809270385212279E-2</v>
      </c>
      <c r="M32" s="492">
        <f>M31/M41</f>
        <v>7.6735592963524973E-2</v>
      </c>
      <c r="N32" s="465"/>
      <c r="O32" s="491"/>
    </row>
    <row r="33" spans="2:15" ht="15" x14ac:dyDescent="0.2">
      <c r="B33" s="183" t="s">
        <v>368</v>
      </c>
      <c r="C33" s="184" t="s">
        <v>14</v>
      </c>
      <c r="D33" s="185">
        <f t="shared" ref="D33:M33" si="1">D24+D31</f>
        <v>3574.85</v>
      </c>
      <c r="E33" s="185">
        <f t="shared" si="1"/>
        <v>4032.4</v>
      </c>
      <c r="F33" s="185">
        <f t="shared" si="1"/>
        <v>4300</v>
      </c>
      <c r="G33" s="185">
        <f t="shared" si="1"/>
        <v>4536.4000000000005</v>
      </c>
      <c r="H33" s="185">
        <f t="shared" si="1"/>
        <v>5511.6</v>
      </c>
      <c r="I33" s="185">
        <f t="shared" si="1"/>
        <v>5739.0808000000006</v>
      </c>
      <c r="J33" s="185">
        <f t="shared" si="1"/>
        <v>5984.0144234399995</v>
      </c>
      <c r="K33" s="185">
        <f t="shared" si="1"/>
        <v>6154.3833790471444</v>
      </c>
      <c r="L33" s="185">
        <f t="shared" si="1"/>
        <v>6278.8027644498143</v>
      </c>
      <c r="M33" s="185">
        <f t="shared" si="1"/>
        <v>6428.3505566229833</v>
      </c>
      <c r="N33"/>
      <c r="O33" s="375"/>
    </row>
    <row r="34" spans="2:15" ht="16" customHeight="1" x14ac:dyDescent="0.2">
      <c r="B34" s="3"/>
      <c r="C34" s="3"/>
      <c r="D34" s="3"/>
      <c r="E34" s="3"/>
      <c r="F34" s="3"/>
      <c r="G34" s="3"/>
      <c r="H34" s="3"/>
      <c r="I34" s="3"/>
      <c r="J34" s="3"/>
      <c r="K34" s="3"/>
      <c r="L34" s="3"/>
      <c r="M34" s="3"/>
      <c r="N34"/>
    </row>
    <row r="35" spans="2:15" ht="16" thickBot="1" x14ac:dyDescent="0.25">
      <c r="B35" s="168" t="s">
        <v>372</v>
      </c>
      <c r="C35" s="168"/>
      <c r="D35" s="168"/>
      <c r="E35" s="168"/>
      <c r="F35" s="168"/>
      <c r="G35" s="168"/>
      <c r="H35" s="168"/>
      <c r="I35" s="168"/>
      <c r="J35" s="168"/>
      <c r="K35" s="168"/>
      <c r="L35" s="168"/>
      <c r="M35" s="168"/>
      <c r="N35"/>
      <c r="O35" s="22"/>
    </row>
    <row r="36" spans="2:15" ht="15" x14ac:dyDescent="0.2">
      <c r="B36" s="34" t="s">
        <v>373</v>
      </c>
      <c r="C36" s="55" t="s">
        <v>16</v>
      </c>
      <c r="D36" s="156">
        <v>316</v>
      </c>
      <c r="E36" s="156">
        <v>353</v>
      </c>
      <c r="F36" s="156">
        <v>398</v>
      </c>
      <c r="G36" s="156">
        <v>430</v>
      </c>
      <c r="H36" s="156">
        <v>463</v>
      </c>
      <c r="I36" s="157">
        <f>H36+26</f>
        <v>489</v>
      </c>
      <c r="J36" s="157">
        <f>I36+26</f>
        <v>515</v>
      </c>
      <c r="K36" s="157">
        <f>J36+24</f>
        <v>539</v>
      </c>
      <c r="L36" s="157">
        <f>K36+22</f>
        <v>561</v>
      </c>
      <c r="M36" s="157">
        <f>L36+20</f>
        <v>581</v>
      </c>
      <c r="N36"/>
      <c r="O36" s="375" t="s">
        <v>377</v>
      </c>
    </row>
    <row r="37" spans="2:15" ht="15" x14ac:dyDescent="0.2">
      <c r="B37" s="158" t="s">
        <v>374</v>
      </c>
      <c r="C37" s="173" t="s">
        <v>14</v>
      </c>
      <c r="D37" s="164">
        <v>850</v>
      </c>
      <c r="E37" s="164">
        <v>950</v>
      </c>
      <c r="F37" s="164">
        <v>1100</v>
      </c>
      <c r="G37" s="164">
        <v>1200</v>
      </c>
      <c r="H37" s="164">
        <v>1320</v>
      </c>
      <c r="I37" s="165">
        <f>I36*(H37/H36)*(1+I22*0.5)</f>
        <v>1454.0726565874729</v>
      </c>
      <c r="J37" s="165">
        <f>J36*(I37/I36)*(1+J22*0.5)</f>
        <v>1567.6025758315332</v>
      </c>
      <c r="K37" s="165">
        <f>K36*(J37/J36)*(1+K22*0.5)</f>
        <v>1665.3477710450736</v>
      </c>
      <c r="L37" s="165">
        <f>L36*(K37/K36)*(1+L22*0.5)</f>
        <v>1751.6076875818278</v>
      </c>
      <c r="M37" s="165">
        <f>M36*(L37/L36)*(1+M22*0.5)</f>
        <v>1836.7292643780836</v>
      </c>
      <c r="N37"/>
      <c r="O37" s="375"/>
    </row>
    <row r="38" spans="2:15" ht="15" x14ac:dyDescent="0.2">
      <c r="B38" s="158" t="s">
        <v>375</v>
      </c>
      <c r="C38" s="173" t="s">
        <v>2</v>
      </c>
      <c r="D38" s="496">
        <f>D39/D37</f>
        <v>6.9176470588235298E-2</v>
      </c>
      <c r="E38" s="496">
        <f>E39/E37</f>
        <v>9.6842105263157896E-2</v>
      </c>
      <c r="F38" s="496">
        <f>F39/F37</f>
        <v>8.2909090909090918E-2</v>
      </c>
      <c r="G38" s="496">
        <f>G39/G37</f>
        <v>3.6666666666666667E-2</v>
      </c>
      <c r="H38" s="496">
        <f>H39/H37</f>
        <v>3.7045454545454541E-2</v>
      </c>
      <c r="I38" s="495">
        <f>Assumptions!$D$13</f>
        <v>4.4999999999999998E-2</v>
      </c>
      <c r="J38" s="495">
        <f>(Assumptions!$D$13+INDEX(Assumptions!$E$13:$G$13,MATCH(Assumptions!$H$13,Assumptions!$E$9:$G$9,0)))/2</f>
        <v>4.5499999999999999E-2</v>
      </c>
      <c r="K38" s="495">
        <f>INDEX(Assumptions!$E$13:$G$13,MATCH(Assumptions!$H$13,Assumptions!$E$9:$G$9,0))</f>
        <v>4.5999999999999999E-2</v>
      </c>
      <c r="L38" s="495">
        <f>INDEX(Assumptions!$E$13:$G$13,MATCH(Assumptions!$H$13,Assumptions!$E$9:$G$9,0))</f>
        <v>4.5999999999999999E-2</v>
      </c>
      <c r="M38" s="495">
        <f>INDEX(Assumptions!$E$13:$G$13,MATCH(Assumptions!$H$13,Assumptions!$E$9:$G$9,0))</f>
        <v>4.5999999999999999E-2</v>
      </c>
      <c r="N38" s="465"/>
      <c r="O38" s="491"/>
    </row>
    <row r="39" spans="2:15" ht="15" x14ac:dyDescent="0.2">
      <c r="B39" s="192" t="s">
        <v>376</v>
      </c>
      <c r="C39" s="193" t="s">
        <v>14</v>
      </c>
      <c r="D39" s="194">
        <v>58.8</v>
      </c>
      <c r="E39" s="194">
        <v>92</v>
      </c>
      <c r="F39" s="194">
        <v>91.2</v>
      </c>
      <c r="G39" s="194">
        <v>44</v>
      </c>
      <c r="H39" s="194">
        <v>48.9</v>
      </c>
      <c r="I39" s="194">
        <f>I37*I38</f>
        <v>65.433269546436279</v>
      </c>
      <c r="J39" s="194">
        <f>J37*J38</f>
        <v>71.325917200334757</v>
      </c>
      <c r="K39" s="194">
        <f>K37*K38</f>
        <v>76.605997468073383</v>
      </c>
      <c r="L39" s="194">
        <f>L37*L38</f>
        <v>80.573953628764073</v>
      </c>
      <c r="M39" s="194">
        <f>M37*M38</f>
        <v>84.489546161391843</v>
      </c>
      <c r="N39"/>
      <c r="O39" s="375"/>
    </row>
    <row r="40" spans="2:15" ht="16" customHeight="1" x14ac:dyDescent="0.2">
      <c r="B40" s="221" t="s">
        <v>367</v>
      </c>
      <c r="C40" s="175" t="s">
        <v>2</v>
      </c>
      <c r="D40" s="492">
        <f>D39/D41</f>
        <v>1.6182075874121061E-2</v>
      </c>
      <c r="E40" s="492">
        <f>E39/E41</f>
        <v>2.2306274852099701E-2</v>
      </c>
      <c r="F40" s="492">
        <f>F39/F41</f>
        <v>2.0768810347968666E-2</v>
      </c>
      <c r="G40" s="492">
        <f>G39/G41</f>
        <v>9.6061479346781931E-3</v>
      </c>
      <c r="H40" s="492">
        <f>H39/H41</f>
        <v>8.7941731858645796E-3</v>
      </c>
      <c r="I40" s="492">
        <f>I39/I41</f>
        <v>1.1272824695134078E-2</v>
      </c>
      <c r="J40" s="492">
        <f>J39/J41</f>
        <v>1.1779010458195361E-2</v>
      </c>
      <c r="K40" s="492">
        <f>K39/K41</f>
        <v>1.2294355332526107E-2</v>
      </c>
      <c r="L40" s="492">
        <f>L39/L41</f>
        <v>1.2670102307307356E-2</v>
      </c>
      <c r="M40" s="492">
        <f>M39/M41</f>
        <v>1.2972765310984805E-2</v>
      </c>
      <c r="N40" s="465"/>
      <c r="O40" s="464"/>
    </row>
    <row r="41" spans="2:15" ht="15" x14ac:dyDescent="0.2">
      <c r="B41" s="195" t="s">
        <v>370</v>
      </c>
      <c r="C41" s="196" t="s">
        <v>14</v>
      </c>
      <c r="D41" s="458">
        <f t="shared" ref="D41:M41" si="2">D33+D39</f>
        <v>3633.65</v>
      </c>
      <c r="E41" s="458">
        <f t="shared" si="2"/>
        <v>4124.3999999999996</v>
      </c>
      <c r="F41" s="458">
        <f t="shared" si="2"/>
        <v>4391.2</v>
      </c>
      <c r="G41" s="458">
        <f t="shared" si="2"/>
        <v>4580.4000000000005</v>
      </c>
      <c r="H41" s="458">
        <f t="shared" si="2"/>
        <v>5560.5</v>
      </c>
      <c r="I41" s="458">
        <f t="shared" si="2"/>
        <v>5804.514069546437</v>
      </c>
      <c r="J41" s="458">
        <f t="shared" si="2"/>
        <v>6055.340340640334</v>
      </c>
      <c r="K41" s="458">
        <f t="shared" si="2"/>
        <v>6230.9893765152174</v>
      </c>
      <c r="L41" s="458">
        <f t="shared" si="2"/>
        <v>6359.3767180785781</v>
      </c>
      <c r="M41" s="458">
        <f t="shared" si="2"/>
        <v>6512.8401027843747</v>
      </c>
      <c r="N41"/>
      <c r="O41" s="14"/>
    </row>
    <row r="42" spans="2:15" ht="15" x14ac:dyDescent="0.2">
      <c r="B42" s="166" t="s">
        <v>371</v>
      </c>
      <c r="C42" s="176" t="s">
        <v>2</v>
      </c>
      <c r="D42" s="497"/>
      <c r="E42" s="498">
        <f>E41/D41-1</f>
        <v>0.13505703631334876</v>
      </c>
      <c r="F42" s="498">
        <f>F41/E41-1</f>
        <v>6.4688197071089082E-2</v>
      </c>
      <c r="G42" s="498">
        <f>G41/F41-1</f>
        <v>4.3086172344689588E-2</v>
      </c>
      <c r="H42" s="498">
        <f>H41/G41-1</f>
        <v>0.2139769452449567</v>
      </c>
      <c r="I42" s="498">
        <f>I41/H41-1</f>
        <v>4.3883476224518825E-2</v>
      </c>
      <c r="J42" s="498">
        <f>J41/I41-1</f>
        <v>4.3212277218839912E-2</v>
      </c>
      <c r="K42" s="498">
        <f>K41/J41-1</f>
        <v>2.9007293726500682E-2</v>
      </c>
      <c r="L42" s="498">
        <f>L41/K41-1</f>
        <v>2.060464780236293E-2</v>
      </c>
      <c r="M42" s="498">
        <f>M41/L41-1</f>
        <v>2.4131827930483851E-2</v>
      </c>
      <c r="N42" s="465"/>
      <c r="O42" s="499"/>
    </row>
    <row r="43" spans="2:15" ht="15" x14ac:dyDescent="0.2">
      <c r="B43" s="2"/>
      <c r="C43" s="55"/>
      <c r="D43" s="3"/>
      <c r="E43" s="198"/>
      <c r="F43" s="198"/>
      <c r="G43" s="198"/>
      <c r="H43" s="198"/>
      <c r="I43" s="198"/>
      <c r="J43" s="198"/>
      <c r="K43" s="198"/>
      <c r="L43" s="198"/>
      <c r="M43" s="198"/>
      <c r="N43"/>
      <c r="O43" s="12"/>
    </row>
    <row r="44" spans="2:15" ht="16" thickBot="1" x14ac:dyDescent="0.25">
      <c r="B44" s="217" t="s">
        <v>381</v>
      </c>
      <c r="C44" s="217"/>
      <c r="D44" s="217"/>
      <c r="E44" s="217"/>
      <c r="F44" s="217"/>
      <c r="G44" s="217"/>
      <c r="H44" s="217"/>
      <c r="I44" s="217"/>
      <c r="J44" s="217"/>
      <c r="K44" s="217"/>
      <c r="L44" s="217"/>
      <c r="M44" s="217"/>
      <c r="N44"/>
      <c r="O44" s="375"/>
    </row>
    <row r="45" spans="2:15" ht="15" customHeight="1" x14ac:dyDescent="0.2">
      <c r="B45" s="202" t="s">
        <v>378</v>
      </c>
      <c r="C45" s="218" t="s">
        <v>14</v>
      </c>
      <c r="D45" s="349">
        <f>'Income Statement'!D13</f>
        <v>3337.8</v>
      </c>
      <c r="E45" s="349">
        <f>'Income Statement'!E13</f>
        <v>3804.1</v>
      </c>
      <c r="F45" s="349">
        <f>'Income Statement'!F13</f>
        <v>4054.1</v>
      </c>
      <c r="G45" s="349">
        <f>'Income Statement'!G13</f>
        <v>4415.1000000000004</v>
      </c>
      <c r="H45" s="349">
        <f>'Income Statement'!H13</f>
        <v>5384.2</v>
      </c>
      <c r="I45" s="199"/>
      <c r="J45" s="199"/>
      <c r="K45" s="199"/>
      <c r="L45" s="199"/>
      <c r="M45" s="199"/>
      <c r="N45"/>
      <c r="O45" s="375"/>
    </row>
    <row r="46" spans="2:15" ht="15" x14ac:dyDescent="0.2">
      <c r="B46" s="200" t="s">
        <v>380</v>
      </c>
      <c r="C46" s="92" t="s">
        <v>14</v>
      </c>
      <c r="D46" s="219">
        <f>D41-D45</f>
        <v>295.84999999999991</v>
      </c>
      <c r="E46" s="219">
        <f>E41-E45</f>
        <v>320.29999999999973</v>
      </c>
      <c r="F46" s="219">
        <f>F41-F45</f>
        <v>337.09999999999991</v>
      </c>
      <c r="G46" s="219">
        <f>G41-G45</f>
        <v>165.30000000000018</v>
      </c>
      <c r="H46" s="219">
        <f>H41-H45</f>
        <v>176.30000000000018</v>
      </c>
      <c r="I46" s="592"/>
      <c r="J46" s="592"/>
      <c r="K46" s="592"/>
      <c r="L46" s="592"/>
      <c r="M46" s="592"/>
      <c r="N46" s="465"/>
      <c r="O46" s="491"/>
    </row>
    <row r="47" spans="2:15" ht="15" x14ac:dyDescent="0.2">
      <c r="B47" s="201" t="s">
        <v>379</v>
      </c>
      <c r="C47" s="220" t="s">
        <v>2</v>
      </c>
      <c r="D47" s="503">
        <f>D46/D45</f>
        <v>8.8636227455209993E-2</v>
      </c>
      <c r="E47" s="503">
        <f>E46/E45</f>
        <v>8.4198627796324949E-2</v>
      </c>
      <c r="F47" s="503">
        <f>F46/F45</f>
        <v>8.315039096223574E-2</v>
      </c>
      <c r="G47" s="503">
        <f>G46/G45</f>
        <v>3.7439695590133895E-2</v>
      </c>
      <c r="H47" s="503">
        <f>H46/H45</f>
        <v>3.2743954533635489E-2</v>
      </c>
      <c r="I47" s="501"/>
      <c r="J47" s="591"/>
      <c r="K47" s="591"/>
      <c r="L47" s="591"/>
      <c r="M47" s="591"/>
      <c r="N47"/>
      <c r="O47" s="375"/>
    </row>
    <row r="48" spans="2:15" ht="15" x14ac:dyDescent="0.2">
      <c r="B48" s="251"/>
      <c r="C48" s="3"/>
      <c r="D48" s="3"/>
      <c r="E48" s="3"/>
      <c r="F48" s="3"/>
      <c r="G48" s="3"/>
      <c r="H48" s="3"/>
      <c r="I48" s="3"/>
      <c r="J48" s="3"/>
      <c r="K48" s="3"/>
      <c r="L48" s="3"/>
      <c r="M48" s="3"/>
      <c r="N48"/>
      <c r="O48" s="375"/>
    </row>
    <row r="49" spans="2:15" ht="15" x14ac:dyDescent="0.2">
      <c r="B49"/>
      <c r="C49"/>
      <c r="D49"/>
      <c r="E49"/>
      <c r="F49"/>
      <c r="G49"/>
      <c r="H49"/>
      <c r="I49"/>
      <c r="J49"/>
      <c r="K49"/>
      <c r="L49"/>
      <c r="M49"/>
      <c r="N49"/>
      <c r="O49" s="179"/>
    </row>
    <row r="50" spans="2:15" ht="15" x14ac:dyDescent="0.2">
      <c r="B50"/>
      <c r="C50"/>
      <c r="D50"/>
      <c r="E50"/>
      <c r="F50"/>
      <c r="G50"/>
      <c r="H50"/>
      <c r="I50"/>
      <c r="J50"/>
      <c r="K50"/>
      <c r="L50"/>
      <c r="M50"/>
      <c r="N50"/>
    </row>
    <row r="51" spans="2:15" ht="15" x14ac:dyDescent="0.2">
      <c r="B51"/>
      <c r="C51"/>
      <c r="D51"/>
      <c r="E51"/>
      <c r="F51"/>
      <c r="G51"/>
      <c r="H51"/>
      <c r="I51"/>
      <c r="J51"/>
      <c r="K51"/>
      <c r="L51"/>
      <c r="M51"/>
      <c r="N51"/>
    </row>
    <row r="52" spans="2:15" ht="15" x14ac:dyDescent="0.2">
      <c r="B52"/>
      <c r="C52"/>
      <c r="D52"/>
      <c r="E52"/>
      <c r="F52"/>
      <c r="G52"/>
      <c r="H52"/>
      <c r="I52"/>
      <c r="J52"/>
      <c r="K52"/>
      <c r="L52"/>
      <c r="M52"/>
      <c r="N52"/>
    </row>
    <row r="53" spans="2:15" ht="15" x14ac:dyDescent="0.2">
      <c r="B53"/>
      <c r="C53"/>
      <c r="D53"/>
      <c r="E53"/>
      <c r="F53"/>
      <c r="G53"/>
      <c r="H53"/>
      <c r="I53"/>
      <c r="J53"/>
      <c r="K53"/>
      <c r="L53"/>
      <c r="M53"/>
      <c r="N53"/>
    </row>
    <row r="54" spans="2:15" ht="15" x14ac:dyDescent="0.2">
      <c r="B54"/>
      <c r="C54"/>
      <c r="D54"/>
      <c r="E54"/>
      <c r="F54"/>
      <c r="G54"/>
      <c r="H54"/>
      <c r="I54"/>
      <c r="J54"/>
      <c r="K54"/>
      <c r="L54"/>
      <c r="M54"/>
      <c r="N54"/>
    </row>
    <row r="55" spans="2:15" ht="15" x14ac:dyDescent="0.2">
      <c r="B55"/>
      <c r="C55"/>
      <c r="D55"/>
      <c r="E55"/>
      <c r="F55"/>
      <c r="G55"/>
      <c r="H55"/>
      <c r="I55"/>
      <c r="J55"/>
      <c r="K55"/>
      <c r="L55"/>
      <c r="M55"/>
      <c r="N55"/>
    </row>
  </sheetData>
  <mergeCells count="5">
    <mergeCell ref="B6:M14"/>
    <mergeCell ref="O19:O24"/>
    <mergeCell ref="O36:O39"/>
    <mergeCell ref="O28:O33"/>
    <mergeCell ref="O44:O48"/>
  </mergeCells>
  <pageMargins left="0.75" right="0.75" top="1" bottom="1" header="0.5" footer="0.5"/>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O58"/>
  <sheetViews>
    <sheetView showGridLines="0" workbookViewId="0"/>
  </sheetViews>
  <sheetFormatPr baseColWidth="10" defaultColWidth="8.83203125" defaultRowHeight="14" x14ac:dyDescent="0.2"/>
  <cols>
    <col min="1" max="1" width="1.6640625" style="16" customWidth="1"/>
    <col min="2" max="2" width="41.6640625" style="16" customWidth="1"/>
    <col min="3" max="3" width="8.33203125" style="16" customWidth="1"/>
    <col min="4" max="13" width="12.5" style="17" customWidth="1"/>
    <col min="14" max="14" width="1.6640625" style="16" customWidth="1"/>
    <col min="15" max="15" width="62.83203125" style="16" customWidth="1"/>
    <col min="16" max="17" width="8.83203125" style="16" customWidth="1"/>
    <col min="18" max="16384" width="8.83203125" style="16"/>
  </cols>
  <sheetData>
    <row r="2" spans="2:15" ht="19" customHeight="1" x14ac:dyDescent="0.2">
      <c r="B2" s="21" t="s">
        <v>52</v>
      </c>
      <c r="C2"/>
      <c r="D2"/>
      <c r="E2"/>
      <c r="F2"/>
      <c r="G2"/>
      <c r="H2"/>
      <c r="I2"/>
      <c r="J2"/>
      <c r="K2"/>
      <c r="L2"/>
      <c r="M2"/>
      <c r="N2"/>
    </row>
    <row r="3" spans="2:15" ht="15" x14ac:dyDescent="0.2">
      <c r="B3" s="14" t="s">
        <v>131</v>
      </c>
      <c r="C3"/>
      <c r="D3"/>
      <c r="E3"/>
      <c r="F3"/>
      <c r="G3"/>
      <c r="H3"/>
      <c r="I3"/>
      <c r="J3"/>
      <c r="K3"/>
      <c r="L3"/>
      <c r="M3"/>
      <c r="N3"/>
    </row>
    <row r="4" spans="2:15" ht="15" x14ac:dyDescent="0.2">
      <c r="B4" s="14" t="s">
        <v>0</v>
      </c>
      <c r="C4"/>
      <c r="D4"/>
      <c r="E4"/>
      <c r="F4"/>
      <c r="G4"/>
      <c r="H4"/>
      <c r="I4"/>
      <c r="J4"/>
      <c r="K4"/>
      <c r="L4"/>
      <c r="M4"/>
      <c r="N4"/>
    </row>
    <row r="5" spans="2:15" ht="15" x14ac:dyDescent="0.2">
      <c r="B5"/>
      <c r="C5"/>
      <c r="D5"/>
      <c r="E5"/>
      <c r="F5"/>
      <c r="G5"/>
      <c r="H5"/>
      <c r="I5"/>
      <c r="J5"/>
      <c r="K5"/>
      <c r="L5"/>
      <c r="M5"/>
      <c r="N5"/>
    </row>
    <row r="6" spans="2:15" ht="15" x14ac:dyDescent="0.2">
      <c r="B6"/>
      <c r="C6" s="58" t="s">
        <v>12</v>
      </c>
      <c r="D6" s="129" t="str">
        <f>IF('Cover Page'!$C$63+0&lt;'Cover Page'!$C$64,"FY"&amp;TEXT(MOD('Cover Page'!$C$63+0,100),"00")&amp;"A","FY"&amp;TEXT(MOD('Cover Page'!$C$63+0,100),"00")&amp;"E")</f>
        <v>FY21A</v>
      </c>
      <c r="E6" s="129" t="str">
        <f>IF('Cover Page'!$C$63+1&lt;'Cover Page'!$C$64,"FY"&amp;TEXT(MOD('Cover Page'!$C$63+1,100),"00")&amp;"A","FY"&amp;TEXT(MOD('Cover Page'!$C$63+1,100),"00")&amp;"E")</f>
        <v>FY22A</v>
      </c>
      <c r="F6" s="129" t="str">
        <f>IF('Cover Page'!$C$63+2&lt;'Cover Page'!$C$64,"FY"&amp;TEXT(MOD('Cover Page'!$C$63+2,100),"00")&amp;"A","FY"&amp;TEXT(MOD('Cover Page'!$C$63+2,100),"00")&amp;"E")</f>
        <v>FY23A</v>
      </c>
      <c r="G6" s="129" t="str">
        <f>IF('Cover Page'!$C$63+3&lt;'Cover Page'!$C$64,"FY"&amp;TEXT(MOD('Cover Page'!$C$63+3,100),"00")&amp;"A","FY"&amp;TEXT(MOD('Cover Page'!$C$63+3,100),"00")&amp;"E")</f>
        <v>FY24A</v>
      </c>
      <c r="H6" s="129" t="str">
        <f>IF('Cover Page'!$C$63+4&lt;'Cover Page'!$C$64,"FY"&amp;TEXT(MOD('Cover Page'!$C$63+4,100),"00")&amp;"A","FY"&amp;TEXT(MOD('Cover Page'!$C$63+4,100),"00")&amp;"E")</f>
        <v>FY25A</v>
      </c>
      <c r="I6" s="130" t="str">
        <f>IF('Cover Page'!$C$63+5&lt;'Cover Page'!$C$64,"FY"&amp;TEXT(MOD('Cover Page'!$C$63+5,100),"00")&amp;"A","FY"&amp;TEXT(MOD('Cover Page'!$C$63+5,100),"00")&amp;"E")</f>
        <v>FY26E</v>
      </c>
      <c r="J6" s="130" t="str">
        <f>IF('Cover Page'!$C$63+6&lt;'Cover Page'!$C$64,"FY"&amp;TEXT(MOD('Cover Page'!$C$63+6,100),"00")&amp;"A","FY"&amp;TEXT(MOD('Cover Page'!$C$63+6,100),"00")&amp;"E")</f>
        <v>FY27E</v>
      </c>
      <c r="K6" s="130" t="str">
        <f>IF('Cover Page'!$C$63+7&lt;'Cover Page'!$C$64,"FY"&amp;TEXT(MOD('Cover Page'!$C$63+7,100),"00")&amp;"A","FY"&amp;TEXT(MOD('Cover Page'!$C$63+7,100),"00")&amp;"E")</f>
        <v>FY28E</v>
      </c>
      <c r="L6" s="130" t="str">
        <f>IF('Cover Page'!$C$63+8&lt;'Cover Page'!$C$64,"FY"&amp;TEXT(MOD('Cover Page'!$C$63+8,100),"00")&amp;"A","FY"&amp;TEXT(MOD('Cover Page'!$C$63+8,100),"00")&amp;"E")</f>
        <v>FY29E</v>
      </c>
      <c r="M6" s="130" t="str">
        <f>IF('Cover Page'!$C$63+9&lt;'Cover Page'!$C$64,"FY"&amp;TEXT(MOD('Cover Page'!$C$63+9,100),"00")&amp;"A","FY"&amp;TEXT(MOD('Cover Page'!$C$63+9,100),"00")&amp;"E")</f>
        <v>FY30E</v>
      </c>
      <c r="N6"/>
      <c r="O6" s="13" t="s">
        <v>60</v>
      </c>
    </row>
    <row r="7" spans="2:15" ht="15" x14ac:dyDescent="0.2">
      <c r="B7" s="3"/>
      <c r="C7" s="3"/>
      <c r="D7" s="3"/>
      <c r="E7" s="3"/>
      <c r="F7" s="3"/>
      <c r="G7" s="3"/>
      <c r="H7" s="3"/>
      <c r="I7" s="3"/>
      <c r="J7" s="3"/>
      <c r="K7" s="3"/>
      <c r="L7" s="3"/>
      <c r="M7" s="3"/>
      <c r="N7"/>
    </row>
    <row r="8" spans="2:15" ht="16" customHeight="1" thickBot="1" x14ac:dyDescent="0.25">
      <c r="B8" s="134" t="s">
        <v>83</v>
      </c>
      <c r="C8" s="262"/>
      <c r="D8" s="263"/>
      <c r="E8" s="263"/>
      <c r="F8" s="263"/>
      <c r="G8" s="263"/>
      <c r="H8" s="263"/>
      <c r="I8" s="263"/>
      <c r="J8" s="263"/>
      <c r="K8" s="263"/>
      <c r="L8" s="263"/>
      <c r="M8" s="263"/>
      <c r="N8"/>
    </row>
    <row r="9" spans="2:15" ht="16" customHeight="1" x14ac:dyDescent="0.2">
      <c r="B9" s="53" t="s">
        <v>390</v>
      </c>
      <c r="C9" s="259" t="s">
        <v>14</v>
      </c>
      <c r="D9" s="260">
        <v>3008.7</v>
      </c>
      <c r="E9" s="260">
        <v>3290.9</v>
      </c>
      <c r="F9" s="260">
        <v>3487.9</v>
      </c>
      <c r="G9" s="260">
        <v>3876</v>
      </c>
      <c r="H9" s="260">
        <v>4834.8</v>
      </c>
      <c r="I9" s="261">
        <f>Assumptions!I29</f>
        <v>5250.5928000000004</v>
      </c>
      <c r="J9" s="261">
        <f>Assumptions!J29</f>
        <v>5498.9458394399999</v>
      </c>
      <c r="K9" s="261">
        <f>Assumptions!K29</f>
        <v>5664.4641092071442</v>
      </c>
      <c r="L9" s="261">
        <f>Assumptions!L29</f>
        <v>5783.9843019114141</v>
      </c>
      <c r="M9" s="261">
        <f>Assumptions!M29</f>
        <v>5928.5839094591993</v>
      </c>
      <c r="N9"/>
      <c r="O9" s="375" t="s">
        <v>399</v>
      </c>
    </row>
    <row r="10" spans="2:15" ht="16" customHeight="1" x14ac:dyDescent="0.2">
      <c r="B10" s="5" t="s">
        <v>391</v>
      </c>
      <c r="C10" s="94" t="s">
        <v>14</v>
      </c>
      <c r="D10" s="256">
        <v>270.3</v>
      </c>
      <c r="E10" s="256">
        <v>421.2</v>
      </c>
      <c r="F10" s="256">
        <v>475</v>
      </c>
      <c r="G10" s="256">
        <v>495.1</v>
      </c>
      <c r="H10" s="256">
        <v>500.5</v>
      </c>
      <c r="I10" s="257">
        <f>Assumptions!I31</f>
        <v>488.488</v>
      </c>
      <c r="J10" s="257">
        <f>Assumptions!J31</f>
        <v>485.06858399999999</v>
      </c>
      <c r="K10" s="257">
        <f>Assumptions!K31</f>
        <v>489.91926983999997</v>
      </c>
      <c r="L10" s="257">
        <f>Assumptions!L31</f>
        <v>494.81846253839996</v>
      </c>
      <c r="M10" s="257">
        <f>Assumptions!M31</f>
        <v>499.76664716378394</v>
      </c>
      <c r="N10"/>
      <c r="O10" s="375"/>
    </row>
    <row r="11" spans="2:15" ht="15" x14ac:dyDescent="0.2">
      <c r="B11" s="258" t="s">
        <v>392</v>
      </c>
      <c r="C11" s="197" t="s">
        <v>14</v>
      </c>
      <c r="D11" s="405">
        <f t="shared" ref="D11:M11" si="0">D9+D10</f>
        <v>3279</v>
      </c>
      <c r="E11" s="405">
        <f t="shared" si="0"/>
        <v>3712.1</v>
      </c>
      <c r="F11" s="405">
        <f t="shared" si="0"/>
        <v>3962.9</v>
      </c>
      <c r="G11" s="405">
        <f t="shared" si="0"/>
        <v>4371.1000000000004</v>
      </c>
      <c r="H11" s="405">
        <f t="shared" si="0"/>
        <v>5335.3</v>
      </c>
      <c r="I11" s="405">
        <f t="shared" si="0"/>
        <v>5739.0808000000006</v>
      </c>
      <c r="J11" s="405">
        <f t="shared" si="0"/>
        <v>5984.0144234399995</v>
      </c>
      <c r="K11" s="405">
        <f t="shared" si="0"/>
        <v>6154.3833790471444</v>
      </c>
      <c r="L11" s="405">
        <f t="shared" si="0"/>
        <v>6278.8027644498143</v>
      </c>
      <c r="M11" s="405">
        <f t="shared" si="0"/>
        <v>6428.3505566229833</v>
      </c>
      <c r="N11"/>
      <c r="O11" s="375"/>
    </row>
    <row r="12" spans="2:15" s="12" customFormat="1" ht="15" x14ac:dyDescent="0.2">
      <c r="B12" s="3" t="s">
        <v>132</v>
      </c>
      <c r="C12" s="173" t="s">
        <v>14</v>
      </c>
      <c r="D12" s="164">
        <v>58.8</v>
      </c>
      <c r="E12" s="164">
        <v>92</v>
      </c>
      <c r="F12" s="164">
        <v>91.2</v>
      </c>
      <c r="G12" s="164">
        <v>44</v>
      </c>
      <c r="H12" s="164">
        <v>48.9</v>
      </c>
      <c r="I12" s="257">
        <f>Assumptions!I32</f>
        <v>65.433269546436279</v>
      </c>
      <c r="J12" s="257">
        <f>Assumptions!J32</f>
        <v>71.325917200334757</v>
      </c>
      <c r="K12" s="257">
        <f>Assumptions!K32</f>
        <v>76.605997468073383</v>
      </c>
      <c r="L12" s="257">
        <f>Assumptions!L32</f>
        <v>80.573953628764073</v>
      </c>
      <c r="M12" s="257">
        <f>Assumptions!M32</f>
        <v>84.489546161391843</v>
      </c>
      <c r="N12"/>
      <c r="O12" s="375"/>
    </row>
    <row r="13" spans="2:15" ht="15" x14ac:dyDescent="0.2">
      <c r="B13" s="222" t="s">
        <v>133</v>
      </c>
      <c r="C13" s="223" t="s">
        <v>14</v>
      </c>
      <c r="D13" s="224">
        <f t="shared" ref="D13:M13" si="1">D11+D12</f>
        <v>3337.8</v>
      </c>
      <c r="E13" s="224">
        <f t="shared" si="1"/>
        <v>3804.1</v>
      </c>
      <c r="F13" s="224">
        <f t="shared" si="1"/>
        <v>4054.1</v>
      </c>
      <c r="G13" s="224">
        <f t="shared" si="1"/>
        <v>4415.1000000000004</v>
      </c>
      <c r="H13" s="224">
        <f t="shared" si="1"/>
        <v>5384.2</v>
      </c>
      <c r="I13" s="224">
        <f t="shared" si="1"/>
        <v>5804.514069546437</v>
      </c>
      <c r="J13" s="224">
        <f t="shared" si="1"/>
        <v>6055.340340640334</v>
      </c>
      <c r="K13" s="224">
        <f t="shared" si="1"/>
        <v>6230.9893765152174</v>
      </c>
      <c r="L13" s="224">
        <f t="shared" si="1"/>
        <v>6359.3767180785781</v>
      </c>
      <c r="M13" s="224">
        <f t="shared" si="1"/>
        <v>6512.8401027843747</v>
      </c>
      <c r="N13"/>
      <c r="O13" s="375"/>
    </row>
    <row r="14" spans="2:15" ht="16" customHeight="1" x14ac:dyDescent="0.2">
      <c r="B14" s="210" t="s">
        <v>130</v>
      </c>
      <c r="C14" s="176" t="s">
        <v>2</v>
      </c>
      <c r="D14" s="497"/>
      <c r="E14" s="498">
        <f>E13/D13-1</f>
        <v>0.13970279825034448</v>
      </c>
      <c r="F14" s="498">
        <f>F13/E13-1</f>
        <v>6.571856680949506E-2</v>
      </c>
      <c r="G14" s="498">
        <f>G13/F13-1</f>
        <v>8.9045657482548668E-2</v>
      </c>
      <c r="H14" s="498">
        <f>H13/G13-1</f>
        <v>0.21949672714094803</v>
      </c>
      <c r="I14" s="498">
        <f>I13/H13-1</f>
        <v>7.8064349308427872E-2</v>
      </c>
      <c r="J14" s="498">
        <f>J13/I13-1</f>
        <v>4.3212277218839912E-2</v>
      </c>
      <c r="K14" s="498">
        <f>K13/J13-1</f>
        <v>2.9007293726500682E-2</v>
      </c>
      <c r="L14" s="498">
        <f>L13/K13-1</f>
        <v>2.060464780236293E-2</v>
      </c>
      <c r="M14" s="498">
        <f>M13/L13-1</f>
        <v>2.4131827930483851E-2</v>
      </c>
      <c r="N14" s="465"/>
      <c r="O14" s="491"/>
    </row>
    <row r="15" spans="2:15" ht="15" x14ac:dyDescent="0.2">
      <c r="B15" s="3"/>
      <c r="C15" s="55"/>
      <c r="D15" s="3"/>
      <c r="E15" s="3"/>
      <c r="F15" s="3"/>
      <c r="G15" s="3"/>
      <c r="H15" s="3"/>
      <c r="I15" s="3"/>
      <c r="J15" s="3"/>
      <c r="K15" s="3"/>
      <c r="L15" s="3"/>
      <c r="M15" s="3"/>
      <c r="N15"/>
      <c r="O15" s="14"/>
    </row>
    <row r="16" spans="2:15" ht="16" thickBot="1" x14ac:dyDescent="0.25">
      <c r="B16" s="134" t="s">
        <v>396</v>
      </c>
      <c r="C16" s="83"/>
      <c r="D16" s="170"/>
      <c r="E16" s="170"/>
      <c r="F16" s="170"/>
      <c r="G16" s="170"/>
      <c r="H16" s="170"/>
      <c r="I16" s="170"/>
      <c r="J16" s="170"/>
      <c r="K16" s="170"/>
      <c r="L16" s="170"/>
      <c r="M16" s="170"/>
      <c r="N16"/>
    </row>
    <row r="17" spans="2:15" ht="15" x14ac:dyDescent="0.2">
      <c r="B17" s="204" t="s">
        <v>134</v>
      </c>
      <c r="C17" s="215" t="s">
        <v>14</v>
      </c>
      <c r="D17" s="205">
        <v>867.8</v>
      </c>
      <c r="E17" s="205">
        <v>1048.5</v>
      </c>
      <c r="F17" s="205">
        <v>1090.5999999999999</v>
      </c>
      <c r="G17" s="205">
        <v>1107.5999999999999</v>
      </c>
      <c r="H17" s="205">
        <v>1350.6</v>
      </c>
      <c r="I17" s="206">
        <f>I11*Assumptions!I36</f>
        <v>1463.4656040000002</v>
      </c>
      <c r="J17" s="206">
        <f>J11*Assumptions!J36</f>
        <v>1533.4036960064998</v>
      </c>
      <c r="K17" s="206">
        <f>K11*Assumptions!K36</f>
        <v>1584.7537201046398</v>
      </c>
      <c r="L17" s="206">
        <f>L11*Assumptions!L36</f>
        <v>1624.6402153013896</v>
      </c>
      <c r="M17" s="206">
        <f>M11*Assumptions!M36</f>
        <v>1671.3711447219757</v>
      </c>
      <c r="N17"/>
      <c r="O17" s="375" t="s">
        <v>400</v>
      </c>
    </row>
    <row r="18" spans="2:15" ht="15" x14ac:dyDescent="0.2">
      <c r="B18" s="209" t="s">
        <v>135</v>
      </c>
      <c r="C18" s="173" t="s">
        <v>2</v>
      </c>
      <c r="D18" s="500">
        <f>D17/D11</f>
        <v>0.26465385788350104</v>
      </c>
      <c r="E18" s="500">
        <f>E17/E11</f>
        <v>0.28245467525120554</v>
      </c>
      <c r="F18" s="500">
        <f>F17/F11</f>
        <v>0.2752025032173408</v>
      </c>
      <c r="G18" s="500">
        <f>G17/G11</f>
        <v>0.25339159479307266</v>
      </c>
      <c r="H18" s="500">
        <f>H17/H11</f>
        <v>0.25314415309354671</v>
      </c>
      <c r="I18" s="500">
        <f>I17/I11</f>
        <v>0.255</v>
      </c>
      <c r="J18" s="500">
        <f>J17/J11</f>
        <v>0.25624999999999998</v>
      </c>
      <c r="K18" s="500">
        <f>K17/K11</f>
        <v>0.25750000000000001</v>
      </c>
      <c r="L18" s="500">
        <f>L17/L11</f>
        <v>0.25875000000000004</v>
      </c>
      <c r="M18" s="500">
        <f>M17/M11</f>
        <v>0.26</v>
      </c>
      <c r="N18" s="465"/>
      <c r="O18" s="491"/>
    </row>
    <row r="19" spans="2:15" ht="16" customHeight="1" x14ac:dyDescent="0.2">
      <c r="B19" s="159" t="s">
        <v>136</v>
      </c>
      <c r="C19" s="173" t="s">
        <v>14</v>
      </c>
      <c r="D19" s="164">
        <v>1108.2</v>
      </c>
      <c r="E19" s="164">
        <v>1288.0999999999999</v>
      </c>
      <c r="F19" s="164">
        <v>1361.1</v>
      </c>
      <c r="G19" s="164">
        <v>1467.3</v>
      </c>
      <c r="H19" s="164">
        <v>1717.3</v>
      </c>
      <c r="I19" s="207">
        <f>I11*Assumptions!I37</f>
        <v>1847.9840176000002</v>
      </c>
      <c r="J19" s="207">
        <f>J11*Assumptions!J37</f>
        <v>1931.3406551652597</v>
      </c>
      <c r="K19" s="207">
        <f>K11*Assumptions!K37</f>
        <v>1990.9430231217514</v>
      </c>
      <c r="L19" s="207">
        <f>L11*Assumptions!L37</f>
        <v>2035.9017963728525</v>
      </c>
      <c r="M19" s="207">
        <f>M11*Assumptions!M37</f>
        <v>2089.2139309024697</v>
      </c>
      <c r="N19"/>
      <c r="O19" s="375"/>
    </row>
    <row r="20" spans="2:15" ht="15" x14ac:dyDescent="0.2">
      <c r="B20" s="209" t="s">
        <v>135</v>
      </c>
      <c r="C20" s="173" t="s">
        <v>2</v>
      </c>
      <c r="D20" s="500">
        <f>D19/D11</f>
        <v>0.3379688929551693</v>
      </c>
      <c r="E20" s="500">
        <f>E19/E11</f>
        <v>0.34700035020608277</v>
      </c>
      <c r="F20" s="500">
        <f>F19/F11</f>
        <v>0.34346059703752302</v>
      </c>
      <c r="G20" s="500">
        <f>G19/G11</f>
        <v>0.33568209375214475</v>
      </c>
      <c r="H20" s="500">
        <f>H19/H11</f>
        <v>0.32187505857215148</v>
      </c>
      <c r="I20" s="500">
        <f>I19/I11</f>
        <v>0.32200000000000001</v>
      </c>
      <c r="J20" s="500">
        <f>J19/J11</f>
        <v>0.32274999999999998</v>
      </c>
      <c r="K20" s="500">
        <f>K19/K11</f>
        <v>0.32350000000000001</v>
      </c>
      <c r="L20" s="500">
        <f>L19/L11</f>
        <v>0.32425000000000004</v>
      </c>
      <c r="M20" s="500">
        <f>M19/M11</f>
        <v>0.32500000000000001</v>
      </c>
      <c r="N20" s="465"/>
      <c r="O20" s="491"/>
    </row>
    <row r="21" spans="2:15" ht="15" x14ac:dyDescent="0.2">
      <c r="B21" s="159" t="s">
        <v>137</v>
      </c>
      <c r="C21" s="173" t="s">
        <v>14</v>
      </c>
      <c r="D21" s="164">
        <v>858.5</v>
      </c>
      <c r="E21" s="164">
        <v>968.3</v>
      </c>
      <c r="F21" s="164">
        <v>1056.4000000000001</v>
      </c>
      <c r="G21" s="164">
        <v>1212.9000000000001</v>
      </c>
      <c r="H21" s="164">
        <v>1333.9</v>
      </c>
      <c r="I21" s="207">
        <f>I11*Assumptions!I38</f>
        <v>1406.0747960000001</v>
      </c>
      <c r="J21" s="207">
        <f>J11*Assumptions!J38</f>
        <v>1473.5635517720998</v>
      </c>
      <c r="K21" s="207">
        <f>K11*Assumptions!K38</f>
        <v>1523.2098863141682</v>
      </c>
      <c r="L21" s="207">
        <f>L11*Assumptions!L38</f>
        <v>1561.8521876568914</v>
      </c>
      <c r="M21" s="207">
        <f>M11*Assumptions!M38</f>
        <v>1607.0876391557458</v>
      </c>
      <c r="N21"/>
      <c r="O21" s="375"/>
    </row>
    <row r="22" spans="2:15" ht="15" x14ac:dyDescent="0.2">
      <c r="B22" s="209" t="s">
        <v>135</v>
      </c>
      <c r="C22" s="173" t="s">
        <v>2</v>
      </c>
      <c r="D22" s="500">
        <f>D21/D11</f>
        <v>0.26181762732540409</v>
      </c>
      <c r="E22" s="500">
        <f>E21/E11</f>
        <v>0.26084965383475661</v>
      </c>
      <c r="F22" s="500">
        <f>F21/F11</f>
        <v>0.26657245956244169</v>
      </c>
      <c r="G22" s="500">
        <f>G21/G11</f>
        <v>0.27748164077692111</v>
      </c>
      <c r="H22" s="500">
        <f>H21/H11</f>
        <v>0.25001405731636461</v>
      </c>
      <c r="I22" s="500">
        <f>I21/I11</f>
        <v>0.245</v>
      </c>
      <c r="J22" s="500">
        <f>J21/J11</f>
        <v>0.24625</v>
      </c>
      <c r="K22" s="500">
        <f>K21/K11</f>
        <v>0.2475</v>
      </c>
      <c r="L22" s="500">
        <f>L21/L11</f>
        <v>0.24875</v>
      </c>
      <c r="M22" s="500">
        <f>M21/M11</f>
        <v>0.25</v>
      </c>
      <c r="N22" s="465"/>
      <c r="O22" s="491"/>
    </row>
    <row r="23" spans="2:15" ht="15" x14ac:dyDescent="0.2">
      <c r="B23" s="225" t="s">
        <v>393</v>
      </c>
      <c r="C23" s="226" t="s">
        <v>14</v>
      </c>
      <c r="D23" s="227">
        <f t="shared" ref="D23:M23" si="2">D11-D17-D19-D21</f>
        <v>444.49999999999977</v>
      </c>
      <c r="E23" s="227">
        <f t="shared" si="2"/>
        <v>407.20000000000005</v>
      </c>
      <c r="F23" s="227">
        <f t="shared" si="2"/>
        <v>454.80000000000018</v>
      </c>
      <c r="G23" s="227">
        <f t="shared" si="2"/>
        <v>583.30000000000041</v>
      </c>
      <c r="H23" s="227">
        <f t="shared" si="2"/>
        <v>933.50000000000045</v>
      </c>
      <c r="I23" s="227">
        <f t="shared" si="2"/>
        <v>1021.5563824000003</v>
      </c>
      <c r="J23" s="227">
        <f t="shared" si="2"/>
        <v>1045.7065204961405</v>
      </c>
      <c r="K23" s="227">
        <f t="shared" si="2"/>
        <v>1055.4767495065853</v>
      </c>
      <c r="L23" s="227">
        <f t="shared" si="2"/>
        <v>1056.4085651186808</v>
      </c>
      <c r="M23" s="227">
        <f t="shared" si="2"/>
        <v>1060.6778418427921</v>
      </c>
      <c r="N23"/>
      <c r="O23" s="375"/>
    </row>
    <row r="24" spans="2:15" ht="15" x14ac:dyDescent="0.2">
      <c r="B24" s="4" t="s">
        <v>394</v>
      </c>
      <c r="C24" s="55" t="s">
        <v>2</v>
      </c>
      <c r="D24" s="198">
        <f>D23/D11</f>
        <v>0.13555962183592551</v>
      </c>
      <c r="E24" s="198">
        <f>E23/E11</f>
        <v>0.10969532070795508</v>
      </c>
      <c r="F24" s="198">
        <f>F23/F11</f>
        <v>0.11476444018269454</v>
      </c>
      <c r="G24" s="198">
        <f>G23/G11</f>
        <v>0.13344467067786148</v>
      </c>
      <c r="H24" s="198">
        <f>H23/H11</f>
        <v>0.17496673101793722</v>
      </c>
      <c r="I24" s="198">
        <f>I23/I11</f>
        <v>0.17800000000000002</v>
      </c>
      <c r="J24" s="198">
        <f>J23/J11</f>
        <v>0.1747500000000001</v>
      </c>
      <c r="K24" s="198">
        <f>K23/K11</f>
        <v>0.17150000000000001</v>
      </c>
      <c r="L24" s="198">
        <f>L23/L11</f>
        <v>0.16824999999999993</v>
      </c>
      <c r="M24" s="198">
        <f>M23/M11</f>
        <v>0.16499999999999998</v>
      </c>
      <c r="N24" s="465"/>
      <c r="O24" s="491"/>
    </row>
    <row r="25" spans="2:15" ht="16" thickBot="1" x14ac:dyDescent="0.25">
      <c r="B25" s="134" t="s">
        <v>397</v>
      </c>
      <c r="C25" s="264"/>
      <c r="D25" s="265"/>
      <c r="E25" s="265"/>
      <c r="F25" s="265"/>
      <c r="G25" s="265"/>
      <c r="H25" s="265"/>
      <c r="I25" s="265"/>
      <c r="J25" s="265"/>
      <c r="K25" s="265"/>
      <c r="L25" s="265"/>
      <c r="M25" s="265"/>
      <c r="N25"/>
    </row>
    <row r="26" spans="2:15" ht="15" x14ac:dyDescent="0.2">
      <c r="B26" s="3" t="s">
        <v>138</v>
      </c>
      <c r="C26" s="55" t="s">
        <v>14</v>
      </c>
      <c r="D26" s="156">
        <v>150.19999999999999</v>
      </c>
      <c r="E26" s="156">
        <v>164.4</v>
      </c>
      <c r="F26" s="156">
        <v>168.5</v>
      </c>
      <c r="G26" s="156">
        <v>170.8</v>
      </c>
      <c r="H26" s="156">
        <v>206.6</v>
      </c>
      <c r="I26" s="163">
        <f>I13*Assumptions!I40</f>
        <v>226.37604871231105</v>
      </c>
      <c r="J26" s="163">
        <f>J13*Assumptions!J40</f>
        <v>242.21361362561336</v>
      </c>
      <c r="K26" s="163">
        <f>K13*Assumptions!K40</f>
        <v>249.2395750606087</v>
      </c>
      <c r="L26" s="163">
        <f>L13*Assumptions!L40</f>
        <v>260.73444544122174</v>
      </c>
      <c r="M26" s="163">
        <f>M13*Assumptions!M40</f>
        <v>267.02644421415937</v>
      </c>
      <c r="N26"/>
      <c r="O26" s="375" t="s">
        <v>401</v>
      </c>
    </row>
    <row r="27" spans="2:15" ht="15" x14ac:dyDescent="0.2">
      <c r="B27" s="159" t="s">
        <v>139</v>
      </c>
      <c r="C27" s="173" t="s">
        <v>14</v>
      </c>
      <c r="D27" s="164">
        <v>134.80000000000001</v>
      </c>
      <c r="E27" s="164">
        <v>144.1</v>
      </c>
      <c r="F27" s="164">
        <v>172.8</v>
      </c>
      <c r="G27" s="164">
        <v>183.7</v>
      </c>
      <c r="H27" s="164">
        <v>222</v>
      </c>
      <c r="I27" s="207">
        <f>I13*Assumptions!I41</f>
        <v>237.98507685140393</v>
      </c>
      <c r="J27" s="207">
        <f>J13*Assumptions!J41</f>
        <v>246.75511888109361</v>
      </c>
      <c r="K27" s="207">
        <f>K13*Assumptions!K41</f>
        <v>252.3550697488663</v>
      </c>
      <c r="L27" s="207">
        <f>L13*Assumptions!L41</f>
        <v>255.96491290266277</v>
      </c>
      <c r="M27" s="207">
        <f>M13*Assumptions!M41</f>
        <v>260.513604111375</v>
      </c>
      <c r="N27"/>
      <c r="O27" s="375"/>
    </row>
    <row r="28" spans="2:15" ht="15" x14ac:dyDescent="0.2">
      <c r="B28" s="159" t="s">
        <v>140</v>
      </c>
      <c r="C28" s="173" t="s">
        <v>14</v>
      </c>
      <c r="D28" s="164">
        <v>19</v>
      </c>
      <c r="E28" s="164">
        <v>31.2</v>
      </c>
      <c r="F28" s="164">
        <v>24</v>
      </c>
      <c r="G28" s="164">
        <v>43.2</v>
      </c>
      <c r="H28" s="164">
        <v>41.8</v>
      </c>
      <c r="I28" s="207">
        <f>I13*Assumptions!I42</f>
        <v>29.022570347732184</v>
      </c>
      <c r="J28" s="207">
        <f>J13*Assumptions!J42</f>
        <v>30.27670170320167</v>
      </c>
      <c r="K28" s="207">
        <f>K13*Assumptions!K42</f>
        <v>31.154946882576088</v>
      </c>
      <c r="L28" s="207">
        <f>L13*Assumptions!L42</f>
        <v>31.796883590392891</v>
      </c>
      <c r="M28" s="207">
        <f>M13*Assumptions!M42</f>
        <v>32.564200513921875</v>
      </c>
      <c r="N28"/>
      <c r="O28" s="375"/>
    </row>
    <row r="29" spans="2:15" ht="15" x14ac:dyDescent="0.2">
      <c r="B29" s="225" t="s">
        <v>141</v>
      </c>
      <c r="C29" s="226" t="s">
        <v>14</v>
      </c>
      <c r="D29" s="227">
        <f t="shared" ref="D29:M29" si="3">D17+D19+D21+D26+D27+D28</f>
        <v>3138.5</v>
      </c>
      <c r="E29" s="227">
        <f t="shared" si="3"/>
        <v>3644.5999999999995</v>
      </c>
      <c r="F29" s="227">
        <f t="shared" si="3"/>
        <v>3873.4</v>
      </c>
      <c r="G29" s="227">
        <f t="shared" si="3"/>
        <v>4185.5</v>
      </c>
      <c r="H29" s="227">
        <f t="shared" si="3"/>
        <v>4872.2</v>
      </c>
      <c r="I29" s="227">
        <f t="shared" si="3"/>
        <v>5210.9081135114475</v>
      </c>
      <c r="J29" s="227">
        <f t="shared" si="3"/>
        <v>5457.5533371537686</v>
      </c>
      <c r="K29" s="227">
        <f t="shared" si="3"/>
        <v>5631.6562212326098</v>
      </c>
      <c r="L29" s="227">
        <f t="shared" si="3"/>
        <v>5770.890441265411</v>
      </c>
      <c r="M29" s="227">
        <f t="shared" si="3"/>
        <v>5927.7769636196472</v>
      </c>
      <c r="N29"/>
      <c r="O29" s="375"/>
    </row>
    <row r="30" spans="2:15" ht="16" customHeight="1" x14ac:dyDescent="0.2">
      <c r="B30" s="3"/>
      <c r="C30" s="55"/>
      <c r="D30" s="3"/>
      <c r="E30" s="3"/>
      <c r="F30" s="3"/>
      <c r="G30" s="3"/>
      <c r="H30" s="3"/>
      <c r="I30" s="3"/>
      <c r="J30" s="3"/>
      <c r="K30" s="3"/>
      <c r="L30" s="3"/>
      <c r="M30" s="3"/>
      <c r="N30"/>
    </row>
    <row r="31" spans="2:15" ht="15" x14ac:dyDescent="0.2">
      <c r="B31" s="229" t="s">
        <v>67</v>
      </c>
      <c r="C31" s="230" t="s">
        <v>14</v>
      </c>
      <c r="D31" s="231">
        <f t="shared" ref="D31:M31" si="4">D13-D29</f>
        <v>199.30000000000018</v>
      </c>
      <c r="E31" s="231">
        <f t="shared" si="4"/>
        <v>159.50000000000045</v>
      </c>
      <c r="F31" s="231">
        <f t="shared" si="4"/>
        <v>180.69999999999982</v>
      </c>
      <c r="G31" s="231">
        <f t="shared" si="4"/>
        <v>229.60000000000036</v>
      </c>
      <c r="H31" s="231">
        <f t="shared" si="4"/>
        <v>512</v>
      </c>
      <c r="I31" s="231">
        <f t="shared" si="4"/>
        <v>593.6059560349895</v>
      </c>
      <c r="J31" s="231">
        <f t="shared" si="4"/>
        <v>597.78700348656548</v>
      </c>
      <c r="K31" s="231">
        <f t="shared" si="4"/>
        <v>599.33315528260755</v>
      </c>
      <c r="L31" s="231">
        <f t="shared" si="4"/>
        <v>588.48627681316702</v>
      </c>
      <c r="M31" s="231">
        <f t="shared" si="4"/>
        <v>585.06313916472754</v>
      </c>
      <c r="N31"/>
    </row>
    <row r="32" spans="2:15" ht="15" x14ac:dyDescent="0.2">
      <c r="B32" s="210" t="s">
        <v>142</v>
      </c>
      <c r="C32" s="176" t="s">
        <v>2</v>
      </c>
      <c r="D32" s="498">
        <f>D31/D13</f>
        <v>5.9709988615255609E-2</v>
      </c>
      <c r="E32" s="498">
        <f>E31/E13</f>
        <v>4.1928445624457945E-2</v>
      </c>
      <c r="F32" s="498">
        <f>F31/F13</f>
        <v>4.4572161515502778E-2</v>
      </c>
      <c r="G32" s="498">
        <f>G31/G13</f>
        <v>5.2003352132454612E-2</v>
      </c>
      <c r="H32" s="498">
        <f>H31/H13</f>
        <v>9.5093050035288437E-2</v>
      </c>
      <c r="I32" s="498">
        <f>I31/I13</f>
        <v>0.10226626189940026</v>
      </c>
      <c r="J32" s="498">
        <f>J31/J13</f>
        <v>9.8720628380625633E-2</v>
      </c>
      <c r="K32" s="498">
        <f>K31/K13</f>
        <v>9.6185873392997889E-2</v>
      </c>
      <c r="L32" s="498">
        <f>L31/L13</f>
        <v>9.2538357594102755E-2</v>
      </c>
      <c r="M32" s="498">
        <f>M31/M13</f>
        <v>8.9832259034672277E-2</v>
      </c>
      <c r="N32" s="465"/>
      <c r="O32" s="464"/>
    </row>
    <row r="33" spans="2:15" ht="15" x14ac:dyDescent="0.2">
      <c r="B33" s="3"/>
      <c r="C33" s="55"/>
      <c r="D33" s="3"/>
      <c r="E33" s="3"/>
      <c r="F33" s="3"/>
      <c r="G33" s="3"/>
      <c r="H33" s="3"/>
      <c r="I33" s="3"/>
      <c r="J33" s="3"/>
      <c r="K33" s="3"/>
      <c r="L33" s="3"/>
      <c r="M33" s="3"/>
      <c r="N33"/>
    </row>
    <row r="34" spans="2:15" ht="16" customHeight="1" thickBot="1" x14ac:dyDescent="0.25">
      <c r="B34" s="134" t="s">
        <v>398</v>
      </c>
      <c r="C34" s="83"/>
      <c r="D34" s="170"/>
      <c r="E34" s="170"/>
      <c r="F34" s="170"/>
      <c r="G34" s="170"/>
      <c r="H34" s="170"/>
      <c r="I34" s="170"/>
      <c r="J34" s="170"/>
      <c r="K34" s="170"/>
      <c r="L34" s="170"/>
      <c r="M34" s="170"/>
      <c r="N34"/>
    </row>
    <row r="35" spans="2:15" ht="15" customHeight="1" x14ac:dyDescent="0.2">
      <c r="B35" s="204" t="s">
        <v>143</v>
      </c>
      <c r="C35" s="215" t="s">
        <v>14</v>
      </c>
      <c r="D35" s="205">
        <v>56.2</v>
      </c>
      <c r="E35" s="205">
        <v>46.1</v>
      </c>
      <c r="F35" s="205">
        <v>54.4</v>
      </c>
      <c r="G35" s="205">
        <v>65</v>
      </c>
      <c r="H35" s="205">
        <v>53.1</v>
      </c>
      <c r="I35" s="206">
        <f>Assumptions!I60</f>
        <v>32.566250000000004</v>
      </c>
      <c r="J35" s="206">
        <f>Assumptions!J60</f>
        <v>31.14875</v>
      </c>
      <c r="K35" s="206">
        <f>Assumptions!K60</f>
        <v>30.574999999999999</v>
      </c>
      <c r="L35" s="206">
        <f>Assumptions!L60</f>
        <v>30.574999999999999</v>
      </c>
      <c r="M35" s="206">
        <f>Assumptions!M60</f>
        <v>30.574999999999999</v>
      </c>
      <c r="N35"/>
      <c r="O35" s="375" t="s">
        <v>402</v>
      </c>
    </row>
    <row r="36" spans="2:15" ht="15" customHeight="1" x14ac:dyDescent="0.2">
      <c r="B36" s="159" t="s">
        <v>144</v>
      </c>
      <c r="C36" s="173" t="s">
        <v>14</v>
      </c>
      <c r="D36" s="161">
        <v>-2.1</v>
      </c>
      <c r="E36" s="161">
        <v>-1.8</v>
      </c>
      <c r="F36" s="161">
        <v>-1.6</v>
      </c>
      <c r="G36" s="161">
        <v>-0.3</v>
      </c>
      <c r="H36" s="161">
        <v>-1.1000000000000001</v>
      </c>
      <c r="I36" s="161">
        <v>-1</v>
      </c>
      <c r="J36" s="161">
        <v>-1</v>
      </c>
      <c r="K36" s="161">
        <v>-1</v>
      </c>
      <c r="L36" s="161">
        <v>-1</v>
      </c>
      <c r="M36" s="161">
        <v>-1</v>
      </c>
      <c r="N36"/>
      <c r="O36" s="375"/>
    </row>
    <row r="37" spans="2:15" ht="15" x14ac:dyDescent="0.2">
      <c r="B37" s="169" t="s">
        <v>145</v>
      </c>
      <c r="C37" s="174" t="s">
        <v>14</v>
      </c>
      <c r="D37" s="213">
        <f t="shared" ref="D37:M37" si="5">D31-D35-D36</f>
        <v>145.20000000000019</v>
      </c>
      <c r="E37" s="213">
        <f t="shared" si="5"/>
        <v>115.20000000000046</v>
      </c>
      <c r="F37" s="213">
        <f t="shared" si="5"/>
        <v>127.89999999999981</v>
      </c>
      <c r="G37" s="213">
        <f t="shared" si="5"/>
        <v>164.90000000000038</v>
      </c>
      <c r="H37" s="213">
        <f t="shared" si="5"/>
        <v>460</v>
      </c>
      <c r="I37" s="213">
        <f t="shared" si="5"/>
        <v>562.03970603498954</v>
      </c>
      <c r="J37" s="213">
        <f t="shared" si="5"/>
        <v>567.63825348656553</v>
      </c>
      <c r="K37" s="213">
        <f t="shared" si="5"/>
        <v>569.7581552826075</v>
      </c>
      <c r="L37" s="213">
        <f t="shared" si="5"/>
        <v>558.91127681316698</v>
      </c>
      <c r="M37" s="213">
        <f t="shared" si="5"/>
        <v>555.4881391647275</v>
      </c>
      <c r="N37"/>
      <c r="O37" s="375"/>
    </row>
    <row r="38" spans="2:15" ht="15" x14ac:dyDescent="0.2">
      <c r="B38" s="3" t="s">
        <v>146</v>
      </c>
      <c r="C38" s="55" t="s">
        <v>14</v>
      </c>
      <c r="D38" s="156">
        <v>13.6</v>
      </c>
      <c r="E38" s="214">
        <v>-2.4</v>
      </c>
      <c r="F38" s="156">
        <v>10.9</v>
      </c>
      <c r="G38" s="156">
        <v>9.6</v>
      </c>
      <c r="H38" s="156">
        <v>76.900000000000006</v>
      </c>
      <c r="I38" s="163">
        <f>I37*Assumptions!I59</f>
        <v>95.546750025948228</v>
      </c>
      <c r="J38" s="163">
        <f>J37*Assumptions!J59</f>
        <v>113.52765069731311</v>
      </c>
      <c r="K38" s="163">
        <f>K37*Assumptions!K59</f>
        <v>125.34679416217365</v>
      </c>
      <c r="L38" s="163">
        <f>L37*Assumptions!L59</f>
        <v>128.5495936670284</v>
      </c>
      <c r="M38" s="163">
        <f>M37*Assumptions!M59</f>
        <v>127.76227200788733</v>
      </c>
      <c r="N38"/>
      <c r="O38" s="375"/>
    </row>
    <row r="39" spans="2:15" ht="15" x14ac:dyDescent="0.2">
      <c r="B39" s="209" t="s">
        <v>147</v>
      </c>
      <c r="C39" s="173" t="s">
        <v>2</v>
      </c>
      <c r="D39" s="500">
        <f>D38/D37</f>
        <v>9.3663911845729905E-2</v>
      </c>
      <c r="E39" s="500">
        <f>E38/E37</f>
        <v>-2.0833333333333249E-2</v>
      </c>
      <c r="F39" s="500">
        <f>F38/F37</f>
        <v>8.5222830336200289E-2</v>
      </c>
      <c r="G39" s="500">
        <f>G38/G37</f>
        <v>5.8217101273498953E-2</v>
      </c>
      <c r="H39" s="500">
        <f>H38/H37</f>
        <v>0.16717391304347828</v>
      </c>
      <c r="I39" s="500">
        <f>I38/I37</f>
        <v>0.17</v>
      </c>
      <c r="J39" s="500">
        <f>J38/J37</f>
        <v>0.2</v>
      </c>
      <c r="K39" s="500">
        <f>K38/K37</f>
        <v>0.22</v>
      </c>
      <c r="L39" s="500">
        <f>L38/L37</f>
        <v>0.23</v>
      </c>
      <c r="M39" s="500">
        <f>M38/M37</f>
        <v>0.23</v>
      </c>
      <c r="N39" s="465"/>
      <c r="O39" s="491"/>
    </row>
    <row r="40" spans="2:15" ht="15" x14ac:dyDescent="0.2">
      <c r="B40" s="195" t="s">
        <v>148</v>
      </c>
      <c r="C40" s="196" t="s">
        <v>14</v>
      </c>
      <c r="D40" s="458">
        <f t="shared" ref="D40:M40" si="6">D37-D38</f>
        <v>131.60000000000019</v>
      </c>
      <c r="E40" s="458">
        <f t="shared" si="6"/>
        <v>117.60000000000046</v>
      </c>
      <c r="F40" s="458">
        <f t="shared" si="6"/>
        <v>116.9999999999998</v>
      </c>
      <c r="G40" s="458">
        <f t="shared" si="6"/>
        <v>155.30000000000038</v>
      </c>
      <c r="H40" s="458">
        <f t="shared" si="6"/>
        <v>383.1</v>
      </c>
      <c r="I40" s="458">
        <f t="shared" si="6"/>
        <v>466.49295600904134</v>
      </c>
      <c r="J40" s="458">
        <f t="shared" si="6"/>
        <v>454.11060278925243</v>
      </c>
      <c r="K40" s="458">
        <f t="shared" si="6"/>
        <v>444.41136112043387</v>
      </c>
      <c r="L40" s="458">
        <f t="shared" si="6"/>
        <v>430.3616831461386</v>
      </c>
      <c r="M40" s="458">
        <f t="shared" si="6"/>
        <v>427.7258671568402</v>
      </c>
      <c r="N40"/>
      <c r="O40" s="375"/>
    </row>
    <row r="41" spans="2:15" ht="15" x14ac:dyDescent="0.2">
      <c r="B41" s="210" t="s">
        <v>149</v>
      </c>
      <c r="C41" s="176" t="s">
        <v>2</v>
      </c>
      <c r="D41" s="498">
        <f>D40/D13</f>
        <v>3.942716759542219E-2</v>
      </c>
      <c r="E41" s="498">
        <f>E40/E13</f>
        <v>3.091401382718658E-2</v>
      </c>
      <c r="F41" s="498">
        <f>F40/F13</f>
        <v>2.8859672923706815E-2</v>
      </c>
      <c r="G41" s="498">
        <f>G40/G13</f>
        <v>3.5174741228964322E-2</v>
      </c>
      <c r="H41" s="498">
        <f>H40/H13</f>
        <v>7.1152631774451178E-2</v>
      </c>
      <c r="I41" s="498">
        <f>I40/I13</f>
        <v>8.0367271130672435E-2</v>
      </c>
      <c r="J41" s="498">
        <f>J40/J13</f>
        <v>7.4993407016529748E-2</v>
      </c>
      <c r="K41" s="498">
        <f>K40/K13</f>
        <v>7.1322760201683766E-2</v>
      </c>
      <c r="L41" s="498">
        <f>L40/L13</f>
        <v>6.7673563341938345E-2</v>
      </c>
      <c r="M41" s="498">
        <f>M40/M13</f>
        <v>6.5674246627669935E-2</v>
      </c>
      <c r="N41" s="465"/>
      <c r="O41" s="464"/>
    </row>
    <row r="42" spans="2:15" ht="15" x14ac:dyDescent="0.2">
      <c r="B42" s="3"/>
      <c r="C42" s="55"/>
      <c r="D42" s="3"/>
      <c r="E42" s="3"/>
      <c r="F42" s="3"/>
      <c r="G42" s="3"/>
      <c r="H42" s="3"/>
      <c r="I42" s="3"/>
      <c r="J42" s="3"/>
      <c r="K42" s="3"/>
      <c r="L42" s="3"/>
      <c r="M42" s="3"/>
      <c r="N42"/>
    </row>
    <row r="43" spans="2:15" ht="16" customHeight="1" thickBot="1" x14ac:dyDescent="0.25">
      <c r="B43" s="134" t="s">
        <v>150</v>
      </c>
      <c r="C43" s="83"/>
      <c r="D43" s="170"/>
      <c r="E43" s="170"/>
      <c r="F43" s="170"/>
      <c r="G43" s="170"/>
      <c r="H43" s="170"/>
      <c r="I43" s="170"/>
      <c r="J43" s="170"/>
      <c r="K43" s="170"/>
      <c r="L43" s="170"/>
      <c r="M43" s="170"/>
      <c r="N43"/>
    </row>
    <row r="44" spans="2:15" ht="15" x14ac:dyDescent="0.2">
      <c r="B44" s="204" t="s">
        <v>151</v>
      </c>
      <c r="C44" s="215" t="s">
        <v>34</v>
      </c>
      <c r="D44" s="211">
        <v>46.7</v>
      </c>
      <c r="E44" s="211">
        <v>45.4</v>
      </c>
      <c r="F44" s="211">
        <v>45.3</v>
      </c>
      <c r="G44" s="211">
        <v>45</v>
      </c>
      <c r="H44" s="211">
        <v>45.5</v>
      </c>
      <c r="I44" s="212">
        <f>Assumptions!I73</f>
        <v>44.076453190641551</v>
      </c>
      <c r="J44" s="212">
        <f>Assumptions!J73</f>
        <v>42.762635824814822</v>
      </c>
      <c r="K44" s="212">
        <f>Assumptions!K73</f>
        <v>41.543980980976649</v>
      </c>
      <c r="L44" s="212">
        <f>Assumptions!L73</f>
        <v>40.403866975035697</v>
      </c>
      <c r="M44" s="212">
        <f>Assumptions!M73</f>
        <v>39.313496014643761</v>
      </c>
      <c r="N44"/>
      <c r="O44" s="375" t="s">
        <v>403</v>
      </c>
    </row>
    <row r="45" spans="2:15" ht="15" x14ac:dyDescent="0.2">
      <c r="B45" s="159" t="s">
        <v>152</v>
      </c>
      <c r="C45" s="173" t="s">
        <v>153</v>
      </c>
      <c r="D45" s="406">
        <f t="shared" ref="D45:M45" si="7">D40/D44</f>
        <v>2.8179871520342652</v>
      </c>
      <c r="E45" s="406">
        <f t="shared" si="7"/>
        <v>2.5903083700440632</v>
      </c>
      <c r="F45" s="406">
        <f t="shared" si="7"/>
        <v>2.5827814569536383</v>
      </c>
      <c r="G45" s="406">
        <f t="shared" si="7"/>
        <v>3.4511111111111195</v>
      </c>
      <c r="H45" s="406">
        <f t="shared" si="7"/>
        <v>8.4197802197802201</v>
      </c>
      <c r="I45" s="406">
        <f t="shared" si="7"/>
        <v>10.583722650988818</v>
      </c>
      <c r="J45" s="406">
        <f t="shared" si="7"/>
        <v>10.619331433394375</v>
      </c>
      <c r="K45" s="406">
        <f t="shared" si="7"/>
        <v>10.697370608847855</v>
      </c>
      <c r="L45" s="406">
        <f t="shared" si="7"/>
        <v>10.651497378012007</v>
      </c>
      <c r="M45" s="406">
        <f t="shared" si="7"/>
        <v>10.879873593473294</v>
      </c>
      <c r="N45"/>
      <c r="O45" s="375"/>
    </row>
    <row r="46" spans="2:15" ht="15" x14ac:dyDescent="0.2">
      <c r="B46" s="208" t="s">
        <v>154</v>
      </c>
      <c r="C46" s="266" t="s">
        <v>2</v>
      </c>
      <c r="D46" s="502"/>
      <c r="E46" s="503">
        <f>E45/D45-1</f>
        <v>-8.0794826131781239E-2</v>
      </c>
      <c r="F46" s="503">
        <f>F45/E45-1</f>
        <v>-2.9057980808273598E-3</v>
      </c>
      <c r="G46" s="503">
        <f>G45/F45-1</f>
        <v>0.33619943019943554</v>
      </c>
      <c r="H46" s="503">
        <f>H45/G45-1</f>
        <v>1.4397302632975464</v>
      </c>
      <c r="I46" s="503">
        <f>I45/H45-1</f>
        <v>0.25700699718086972</v>
      </c>
      <c r="J46" s="503">
        <f>J45/I45-1</f>
        <v>3.3644855954564346E-3</v>
      </c>
      <c r="K46" s="503">
        <f>K45/J45-1</f>
        <v>7.3487842377790713E-3</v>
      </c>
      <c r="L46" s="503">
        <f>L45/K45-1</f>
        <v>-4.2882716242350627E-3</v>
      </c>
      <c r="M46" s="503">
        <f>M45/L45-1</f>
        <v>2.1440761552711463E-2</v>
      </c>
      <c r="N46" s="465"/>
      <c r="O46" s="491"/>
    </row>
    <row r="47" spans="2:15" ht="15" x14ac:dyDescent="0.2">
      <c r="B47" s="3"/>
      <c r="C47" s="55"/>
      <c r="D47" s="3"/>
      <c r="E47" s="3"/>
      <c r="F47" s="3"/>
      <c r="G47" s="3"/>
      <c r="H47" s="3"/>
      <c r="I47" s="3"/>
      <c r="J47" s="3"/>
      <c r="K47" s="3"/>
      <c r="L47" s="3"/>
      <c r="M47" s="3"/>
      <c r="N47"/>
      <c r="O47" s="375"/>
    </row>
    <row r="48" spans="2:15" ht="16" customHeight="1" thickBot="1" x14ac:dyDescent="0.25">
      <c r="B48" s="134" t="s">
        <v>155</v>
      </c>
      <c r="C48" s="83"/>
      <c r="D48" s="170"/>
      <c r="E48" s="170"/>
      <c r="F48" s="170"/>
      <c r="G48" s="170"/>
      <c r="H48" s="170"/>
      <c r="I48" s="170"/>
      <c r="J48" s="170"/>
      <c r="K48" s="170"/>
      <c r="L48" s="170"/>
      <c r="M48" s="170"/>
      <c r="N48"/>
    </row>
    <row r="49" spans="2:15" ht="15" x14ac:dyDescent="0.2">
      <c r="B49" s="204" t="s">
        <v>156</v>
      </c>
      <c r="C49" s="215" t="s">
        <v>14</v>
      </c>
      <c r="D49" s="407">
        <f t="shared" ref="D49:M49" si="8">D31</f>
        <v>199.30000000000018</v>
      </c>
      <c r="E49" s="407">
        <f t="shared" si="8"/>
        <v>159.50000000000045</v>
      </c>
      <c r="F49" s="407">
        <f t="shared" si="8"/>
        <v>180.69999999999982</v>
      </c>
      <c r="G49" s="407">
        <f t="shared" si="8"/>
        <v>229.60000000000036</v>
      </c>
      <c r="H49" s="407">
        <f t="shared" si="8"/>
        <v>512</v>
      </c>
      <c r="I49" s="407">
        <f t="shared" si="8"/>
        <v>593.6059560349895</v>
      </c>
      <c r="J49" s="407">
        <f t="shared" si="8"/>
        <v>597.78700348656548</v>
      </c>
      <c r="K49" s="407">
        <f t="shared" si="8"/>
        <v>599.33315528260755</v>
      </c>
      <c r="L49" s="407">
        <f t="shared" si="8"/>
        <v>588.48627681316702</v>
      </c>
      <c r="M49" s="407">
        <f t="shared" si="8"/>
        <v>585.06313916472754</v>
      </c>
      <c r="N49"/>
      <c r="O49" s="375" t="s">
        <v>404</v>
      </c>
    </row>
    <row r="50" spans="2:15" ht="15" x14ac:dyDescent="0.2">
      <c r="B50" s="159" t="s">
        <v>84</v>
      </c>
      <c r="C50" s="173" t="s">
        <v>14</v>
      </c>
      <c r="D50" s="408">
        <f t="shared" ref="D50:M50" si="9">D26</f>
        <v>150.19999999999999</v>
      </c>
      <c r="E50" s="408">
        <f t="shared" si="9"/>
        <v>164.4</v>
      </c>
      <c r="F50" s="408">
        <f t="shared" si="9"/>
        <v>168.5</v>
      </c>
      <c r="G50" s="408">
        <f t="shared" si="9"/>
        <v>170.8</v>
      </c>
      <c r="H50" s="408">
        <f t="shared" si="9"/>
        <v>206.6</v>
      </c>
      <c r="I50" s="408">
        <f t="shared" si="9"/>
        <v>226.37604871231105</v>
      </c>
      <c r="J50" s="408">
        <f t="shared" si="9"/>
        <v>242.21361362561336</v>
      </c>
      <c r="K50" s="408">
        <f t="shared" si="9"/>
        <v>249.2395750606087</v>
      </c>
      <c r="L50" s="408">
        <f t="shared" si="9"/>
        <v>260.73444544122174</v>
      </c>
      <c r="M50" s="408">
        <f t="shared" si="9"/>
        <v>267.02644421415937</v>
      </c>
      <c r="N50"/>
      <c r="O50" s="375"/>
    </row>
    <row r="51" spans="2:15" ht="15" x14ac:dyDescent="0.2">
      <c r="B51" s="159" t="s">
        <v>157</v>
      </c>
      <c r="C51" s="173" t="s">
        <v>14</v>
      </c>
      <c r="D51" s="408">
        <f t="shared" ref="D51:M51" si="10">D28</f>
        <v>19</v>
      </c>
      <c r="E51" s="408">
        <f t="shared" si="10"/>
        <v>31.2</v>
      </c>
      <c r="F51" s="408">
        <f t="shared" si="10"/>
        <v>24</v>
      </c>
      <c r="G51" s="408">
        <f t="shared" si="10"/>
        <v>43.2</v>
      </c>
      <c r="H51" s="408">
        <f t="shared" si="10"/>
        <v>41.8</v>
      </c>
      <c r="I51" s="408">
        <f t="shared" si="10"/>
        <v>29.022570347732184</v>
      </c>
      <c r="J51" s="408">
        <f t="shared" si="10"/>
        <v>30.27670170320167</v>
      </c>
      <c r="K51" s="408">
        <f t="shared" si="10"/>
        <v>31.154946882576088</v>
      </c>
      <c r="L51" s="408">
        <f t="shared" si="10"/>
        <v>31.796883590392891</v>
      </c>
      <c r="M51" s="408">
        <f t="shared" si="10"/>
        <v>32.564200513921875</v>
      </c>
      <c r="N51"/>
      <c r="O51" s="375"/>
    </row>
    <row r="52" spans="2:15" ht="15" x14ac:dyDescent="0.2">
      <c r="B52" s="195" t="s">
        <v>158</v>
      </c>
      <c r="C52" s="196" t="s">
        <v>14</v>
      </c>
      <c r="D52" s="458">
        <f t="shared" ref="D52:M52" si="11">D49+D50+D51</f>
        <v>368.50000000000017</v>
      </c>
      <c r="E52" s="458">
        <f t="shared" si="11"/>
        <v>355.10000000000042</v>
      </c>
      <c r="F52" s="458">
        <f t="shared" si="11"/>
        <v>373.19999999999982</v>
      </c>
      <c r="G52" s="458">
        <f t="shared" si="11"/>
        <v>443.60000000000036</v>
      </c>
      <c r="H52" s="458">
        <f t="shared" si="11"/>
        <v>760.4</v>
      </c>
      <c r="I52" s="458">
        <f t="shared" si="11"/>
        <v>849.00457509503281</v>
      </c>
      <c r="J52" s="458">
        <f t="shared" si="11"/>
        <v>870.27731881538045</v>
      </c>
      <c r="K52" s="458">
        <f t="shared" si="11"/>
        <v>879.72767722579226</v>
      </c>
      <c r="L52" s="458">
        <f t="shared" si="11"/>
        <v>881.01760584478166</v>
      </c>
      <c r="M52" s="458">
        <f t="shared" si="11"/>
        <v>884.65378389280875</v>
      </c>
      <c r="N52"/>
      <c r="O52" s="375"/>
    </row>
    <row r="53" spans="2:15" ht="15" x14ac:dyDescent="0.2">
      <c r="B53" s="155" t="s">
        <v>159</v>
      </c>
      <c r="C53" s="176" t="s">
        <v>2</v>
      </c>
      <c r="D53" s="504">
        <f>D52/D13</f>
        <v>0.1104020612379412</v>
      </c>
      <c r="E53" s="504">
        <f>E52/E13</f>
        <v>9.3346652296206839E-2</v>
      </c>
      <c r="F53" s="504">
        <f>F52/F13</f>
        <v>9.2054956710490576E-2</v>
      </c>
      <c r="G53" s="504">
        <f>G52/G13</f>
        <v>0.10047337546148452</v>
      </c>
      <c r="H53" s="504">
        <f>H52/H13</f>
        <v>0.14122803759147134</v>
      </c>
      <c r="I53" s="504">
        <f>I52/I13</f>
        <v>0.14626626189940026</v>
      </c>
      <c r="J53" s="504">
        <f>J52/J13</f>
        <v>0.14372062838062563</v>
      </c>
      <c r="K53" s="504">
        <f>K52/K13</f>
        <v>0.14118587339299787</v>
      </c>
      <c r="L53" s="504">
        <f>L52/L13</f>
        <v>0.13853835759410277</v>
      </c>
      <c r="M53" s="504">
        <f>M52/M13</f>
        <v>0.13583225903467228</v>
      </c>
      <c r="N53" s="465"/>
      <c r="O53" s="464"/>
    </row>
    <row r="54" spans="2:15" ht="15" x14ac:dyDescent="0.2">
      <c r="B54" s="3"/>
      <c r="C54" s="55"/>
      <c r="D54" s="3"/>
      <c r="E54" s="3"/>
      <c r="F54" s="3"/>
      <c r="G54" s="3"/>
      <c r="H54" s="3"/>
      <c r="I54" s="3"/>
      <c r="J54" s="3"/>
      <c r="K54" s="3"/>
      <c r="L54" s="3"/>
      <c r="M54" s="3"/>
      <c r="N54"/>
    </row>
    <row r="55" spans="2:15" ht="15" x14ac:dyDescent="0.2">
      <c r="B55" s="3" t="s">
        <v>160</v>
      </c>
      <c r="C55" s="55" t="s">
        <v>14</v>
      </c>
      <c r="D55" s="267">
        <v>11.7</v>
      </c>
      <c r="E55" s="267">
        <v>14.4</v>
      </c>
      <c r="F55" s="267">
        <v>14.4</v>
      </c>
      <c r="G55" s="267">
        <v>25.9</v>
      </c>
      <c r="H55" s="267">
        <v>31.4</v>
      </c>
      <c r="I55" s="409">
        <f>I13*Assumptions!I64</f>
        <v>34.82708441727862</v>
      </c>
      <c r="J55" s="409">
        <f>J13*Assumptions!J64</f>
        <v>36.332042043842002</v>
      </c>
      <c r="K55" s="409">
        <f>K13*Assumptions!K64</f>
        <v>37.385936259091302</v>
      </c>
      <c r="L55" s="409">
        <f>L13*Assumptions!L64</f>
        <v>38.156260308471467</v>
      </c>
      <c r="M55" s="409">
        <f>M13*Assumptions!M64</f>
        <v>39.077040616706249</v>
      </c>
      <c r="N55"/>
    </row>
    <row r="56" spans="2:15" ht="15" x14ac:dyDescent="0.2">
      <c r="B56" s="208" t="s">
        <v>119</v>
      </c>
      <c r="C56" s="266" t="s">
        <v>2</v>
      </c>
      <c r="D56" s="492">
        <f>D55/D13</f>
        <v>3.5053028941218764E-3</v>
      </c>
      <c r="E56" s="492">
        <f>E55/E13</f>
        <v>3.7853894482269132E-3</v>
      </c>
      <c r="F56" s="492">
        <f>F55/F13</f>
        <v>3.5519597444562297E-3</v>
      </c>
      <c r="G56" s="492">
        <f>G55/G13</f>
        <v>5.8662317954293209E-3</v>
      </c>
      <c r="H56" s="492">
        <f>H55/H13</f>
        <v>5.8318784591954234E-3</v>
      </c>
      <c r="I56" s="492">
        <f>I55/I13</f>
        <v>5.9999999999999993E-3</v>
      </c>
      <c r="J56" s="492">
        <f>J55/J13</f>
        <v>5.9999999999999993E-3</v>
      </c>
      <c r="K56" s="492">
        <f>K55/K13</f>
        <v>5.9999999999999993E-3</v>
      </c>
      <c r="L56" s="492">
        <f>L55/L13</f>
        <v>6.0000000000000001E-3</v>
      </c>
      <c r="M56" s="492">
        <f>M55/M13</f>
        <v>6.0000000000000001E-3</v>
      </c>
      <c r="N56"/>
    </row>
    <row r="57" spans="2:15" ht="15" x14ac:dyDescent="0.2">
      <c r="B57"/>
      <c r="C57"/>
      <c r="D57"/>
      <c r="E57"/>
      <c r="F57"/>
      <c r="G57"/>
      <c r="H57"/>
      <c r="I57"/>
      <c r="J57"/>
      <c r="K57"/>
      <c r="L57"/>
      <c r="M57"/>
      <c r="N57"/>
    </row>
    <row r="58" spans="2:15" ht="15" x14ac:dyDescent="0.2">
      <c r="B58"/>
      <c r="C58"/>
      <c r="D58"/>
      <c r="E58"/>
      <c r="F58"/>
      <c r="G58"/>
      <c r="H58"/>
      <c r="I58"/>
      <c r="J58"/>
      <c r="K58"/>
      <c r="L58"/>
      <c r="M58"/>
      <c r="N58"/>
    </row>
  </sheetData>
  <mergeCells count="7">
    <mergeCell ref="O44:O47"/>
    <mergeCell ref="O49:O52"/>
    <mergeCell ref="O9:O14"/>
    <mergeCell ref="O17:O22"/>
    <mergeCell ref="O23:O24"/>
    <mergeCell ref="O26:O29"/>
    <mergeCell ref="O35:O40"/>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O82"/>
  <sheetViews>
    <sheetView showGridLines="0" workbookViewId="0"/>
  </sheetViews>
  <sheetFormatPr baseColWidth="10" defaultColWidth="8.83203125" defaultRowHeight="14" outlineLevelRow="1" x14ac:dyDescent="0.2"/>
  <cols>
    <col min="1" max="1" width="1.6640625" style="3" customWidth="1"/>
    <col min="2" max="2" width="41.6640625" style="3" customWidth="1"/>
    <col min="3" max="3" width="8.33203125" style="3" customWidth="1"/>
    <col min="4" max="13" width="12.5" style="3" customWidth="1"/>
    <col min="14" max="14" width="1.6640625" style="3" customWidth="1"/>
    <col min="15" max="15" width="50" style="12" customWidth="1"/>
    <col min="16" max="17" width="8.83203125" style="3" customWidth="1"/>
    <col min="18" max="16384" width="8.83203125" style="3"/>
  </cols>
  <sheetData>
    <row r="2" spans="2:15" ht="19" customHeight="1" x14ac:dyDescent="0.2">
      <c r="B2" s="21" t="s">
        <v>53</v>
      </c>
      <c r="C2"/>
      <c r="D2"/>
      <c r="E2"/>
      <c r="F2"/>
      <c r="G2"/>
      <c r="H2"/>
      <c r="I2"/>
      <c r="J2"/>
      <c r="K2"/>
      <c r="L2"/>
      <c r="M2"/>
      <c r="N2"/>
    </row>
    <row r="3" spans="2:15" ht="15" x14ac:dyDescent="0.2">
      <c r="B3" s="14" t="s">
        <v>131</v>
      </c>
      <c r="C3"/>
      <c r="D3"/>
      <c r="E3"/>
      <c r="F3"/>
      <c r="G3"/>
      <c r="H3"/>
      <c r="I3"/>
      <c r="J3"/>
      <c r="K3"/>
      <c r="L3"/>
      <c r="M3"/>
      <c r="N3"/>
    </row>
    <row r="4" spans="2:15" ht="15" x14ac:dyDescent="0.2">
      <c r="B4" s="14" t="s">
        <v>0</v>
      </c>
      <c r="C4"/>
      <c r="D4"/>
      <c r="E4"/>
      <c r="F4"/>
      <c r="G4"/>
      <c r="H4"/>
      <c r="I4"/>
      <c r="J4"/>
      <c r="K4"/>
      <c r="L4"/>
      <c r="M4"/>
      <c r="N4"/>
    </row>
    <row r="5" spans="2:15" ht="15" x14ac:dyDescent="0.2">
      <c r="B5" s="14"/>
      <c r="C5"/>
      <c r="D5"/>
      <c r="E5"/>
      <c r="F5"/>
      <c r="G5"/>
      <c r="H5"/>
      <c r="I5"/>
      <c r="J5"/>
      <c r="K5"/>
      <c r="L5"/>
      <c r="M5"/>
      <c r="N5"/>
    </row>
    <row r="6" spans="2:15" ht="15" x14ac:dyDescent="0.2">
      <c r="B6" s="47"/>
      <c r="C6" s="58" t="s">
        <v>12</v>
      </c>
      <c r="D6" s="129" t="str">
        <f>IF('Cover Page'!$C$63+0&lt;'Cover Page'!$C$64,"FY"&amp;TEXT(MOD('Cover Page'!$C$63+0,100),"00")&amp;"A","FY"&amp;TEXT(MOD('Cover Page'!$C$63+0,100),"00")&amp;"E")</f>
        <v>FY21A</v>
      </c>
      <c r="E6" s="129" t="str">
        <f>IF('Cover Page'!$C$63+1&lt;'Cover Page'!$C$64,"FY"&amp;TEXT(MOD('Cover Page'!$C$63+1,100),"00")&amp;"A","FY"&amp;TEXT(MOD('Cover Page'!$C$63+1,100),"00")&amp;"E")</f>
        <v>FY22A</v>
      </c>
      <c r="F6" s="129" t="str">
        <f>IF('Cover Page'!$C$63+2&lt;'Cover Page'!$C$64,"FY"&amp;TEXT(MOD('Cover Page'!$C$63+2,100),"00")&amp;"A","FY"&amp;TEXT(MOD('Cover Page'!$C$63+2,100),"00")&amp;"E")</f>
        <v>FY23A</v>
      </c>
      <c r="G6" s="129" t="str">
        <f>IF('Cover Page'!$C$63+3&lt;'Cover Page'!$C$64,"FY"&amp;TEXT(MOD('Cover Page'!$C$63+3,100),"00")&amp;"A","FY"&amp;TEXT(MOD('Cover Page'!$C$63+3,100),"00")&amp;"E")</f>
        <v>FY24A</v>
      </c>
      <c r="H6" s="129" t="str">
        <f>IF('Cover Page'!$C$63+4&lt;'Cover Page'!$C$64,"FY"&amp;TEXT(MOD('Cover Page'!$C$63+4,100),"00")&amp;"A","FY"&amp;TEXT(MOD('Cover Page'!$C$63+4,100),"00")&amp;"E")</f>
        <v>FY25A</v>
      </c>
      <c r="I6" s="130" t="str">
        <f>IF('Cover Page'!$C$63+5&lt;'Cover Page'!$C$64,"FY"&amp;TEXT(MOD('Cover Page'!$C$63+5,100),"00")&amp;"A","FY"&amp;TEXT(MOD('Cover Page'!$C$63+5,100),"00")&amp;"E")</f>
        <v>FY26E</v>
      </c>
      <c r="J6" s="130" t="str">
        <f>IF('Cover Page'!$C$63+6&lt;'Cover Page'!$C$64,"FY"&amp;TEXT(MOD('Cover Page'!$C$63+6,100),"00")&amp;"A","FY"&amp;TEXT(MOD('Cover Page'!$C$63+6,100),"00")&amp;"E")</f>
        <v>FY27E</v>
      </c>
      <c r="K6" s="130" t="str">
        <f>IF('Cover Page'!$C$63+7&lt;'Cover Page'!$C$64,"FY"&amp;TEXT(MOD('Cover Page'!$C$63+7,100),"00")&amp;"A","FY"&amp;TEXT(MOD('Cover Page'!$C$63+7,100),"00")&amp;"E")</f>
        <v>FY28E</v>
      </c>
      <c r="L6" s="130" t="str">
        <f>IF('Cover Page'!$C$63+8&lt;'Cover Page'!$C$64,"FY"&amp;TEXT(MOD('Cover Page'!$C$63+8,100),"00")&amp;"A","FY"&amp;TEXT(MOD('Cover Page'!$C$63+8,100),"00")&amp;"E")</f>
        <v>FY29E</v>
      </c>
      <c r="M6" s="130" t="str">
        <f>IF('Cover Page'!$C$63+9&lt;'Cover Page'!$C$64,"FY"&amp;TEXT(MOD('Cover Page'!$C$63+9,100),"00")&amp;"A","FY"&amp;TEXT(MOD('Cover Page'!$C$63+9,100),"00")&amp;"E")</f>
        <v>FY30E</v>
      </c>
      <c r="N6"/>
    </row>
    <row r="7" spans="2:15" ht="15" x14ac:dyDescent="0.2">
      <c r="B7"/>
      <c r="C7"/>
      <c r="D7"/>
      <c r="E7"/>
      <c r="F7"/>
      <c r="G7"/>
      <c r="H7"/>
      <c r="I7"/>
      <c r="J7"/>
      <c r="K7"/>
      <c r="L7"/>
      <c r="M7"/>
      <c r="N7"/>
    </row>
    <row r="8" spans="2:15" ht="13" customHeight="1" x14ac:dyDescent="0.2">
      <c r="B8" s="57" t="s">
        <v>410</v>
      </c>
      <c r="C8" s="57"/>
      <c r="D8" s="57"/>
      <c r="E8" s="57"/>
      <c r="F8" s="57"/>
      <c r="G8" s="57"/>
      <c r="H8" s="57"/>
      <c r="I8" s="57"/>
      <c r="J8" s="57"/>
      <c r="K8" s="57"/>
      <c r="L8" s="57"/>
      <c r="M8" s="57"/>
      <c r="N8"/>
      <c r="O8" s="13" t="s">
        <v>60</v>
      </c>
    </row>
    <row r="9" spans="2:15" ht="16" customHeight="1" thickBot="1" x14ac:dyDescent="0.25">
      <c r="B9" s="203" t="s">
        <v>161</v>
      </c>
      <c r="C9" s="203"/>
      <c r="D9" s="203"/>
      <c r="E9" s="203"/>
      <c r="F9" s="203"/>
      <c r="G9" s="203"/>
      <c r="H9" s="203"/>
      <c r="I9" s="203"/>
      <c r="J9" s="203"/>
      <c r="K9" s="203"/>
      <c r="L9" s="203"/>
      <c r="M9" s="203"/>
      <c r="N9"/>
      <c r="O9" s="288"/>
    </row>
    <row r="10" spans="2:15" ht="15" x14ac:dyDescent="0.2">
      <c r="B10" s="204" t="s">
        <v>162</v>
      </c>
      <c r="C10" s="215" t="s">
        <v>14</v>
      </c>
      <c r="D10" s="281">
        <v>23.9</v>
      </c>
      <c r="E10" s="281">
        <v>13.5</v>
      </c>
      <c r="F10" s="281">
        <v>15.1</v>
      </c>
      <c r="G10" s="278">
        <v>64.599999999999994</v>
      </c>
      <c r="H10" s="278">
        <v>18.899999999999999</v>
      </c>
      <c r="I10" s="279">
        <f>'Cash Flow'!I32</f>
        <v>243.382383343611</v>
      </c>
      <c r="J10" s="279">
        <f>'Cash Flow'!J32</f>
        <v>476.71038675903776</v>
      </c>
      <c r="K10" s="279">
        <f>'Cash Flow'!K32</f>
        <v>719.19446394677846</v>
      </c>
      <c r="L10" s="279">
        <f>'Cash Flow'!L32</f>
        <v>972.170383913558</v>
      </c>
      <c r="M10" s="279">
        <f>'Cash Flow'!M32</f>
        <v>1240.5067864928158</v>
      </c>
      <c r="N10"/>
      <c r="O10" s="344" t="s">
        <v>416</v>
      </c>
    </row>
    <row r="11" spans="2:15" ht="15" x14ac:dyDescent="0.2">
      <c r="B11" s="159" t="s">
        <v>163</v>
      </c>
      <c r="C11" s="173" t="s">
        <v>14</v>
      </c>
      <c r="D11" s="282">
        <v>65.2</v>
      </c>
      <c r="E11" s="282">
        <v>66.400000000000006</v>
      </c>
      <c r="F11" s="282">
        <v>60.9</v>
      </c>
      <c r="G11" s="280">
        <v>60.6</v>
      </c>
      <c r="H11" s="280">
        <v>73.400000000000006</v>
      </c>
      <c r="I11" s="410">
        <f>H11*'Income Statement'!I13/'Income Statement'!H13</f>
        <v>79.129923239238607</v>
      </c>
      <c r="J11" s="410">
        <f>I11*'Income Statement'!J13/'Income Statement'!I13</f>
        <v>82.549307418558101</v>
      </c>
      <c r="K11" s="410">
        <f>J11*'Income Statement'!K13/'Income Statement'!J13</f>
        <v>84.943839425767422</v>
      </c>
      <c r="L11" s="410">
        <f>K11*'Income Statement'!L13/'Income Statement'!K13</f>
        <v>86.694077320115824</v>
      </c>
      <c r="M11" s="410">
        <f>L11*'Income Statement'!M13/'Income Statement'!L13</f>
        <v>88.786163876596902</v>
      </c>
      <c r="N11"/>
      <c r="O11" s="344" t="s">
        <v>412</v>
      </c>
    </row>
    <row r="12" spans="2:15" ht="15" x14ac:dyDescent="0.2">
      <c r="B12" s="159" t="s">
        <v>164</v>
      </c>
      <c r="C12" s="173" t="s">
        <v>14</v>
      </c>
      <c r="D12" s="282">
        <v>28.9</v>
      </c>
      <c r="E12" s="282">
        <v>35.6</v>
      </c>
      <c r="F12" s="282">
        <v>34.5</v>
      </c>
      <c r="G12" s="280">
        <v>34.5</v>
      </c>
      <c r="H12" s="280">
        <v>35.200000000000003</v>
      </c>
      <c r="I12" s="410">
        <f>H12*'Income Statement'!I11/'Income Statement'!H11</f>
        <v>37.863970940715618</v>
      </c>
      <c r="J12" s="410">
        <f>I12*'Income Statement'!J11/'Income Statement'!I11</f>
        <v>39.479936967947069</v>
      </c>
      <c r="K12" s="410">
        <f>J12*'Income Statement'!K11/'Income Statement'!J11</f>
        <v>40.603957592348976</v>
      </c>
      <c r="L12" s="410">
        <f>K12*'Income Statement'!L11/'Income Statement'!K11</f>
        <v>41.424822841945804</v>
      </c>
      <c r="M12" s="410">
        <f>L12*'Income Statement'!M11/'Income Statement'!L11</f>
        <v>42.411474442511008</v>
      </c>
      <c r="N12"/>
      <c r="O12" s="344" t="s">
        <v>413</v>
      </c>
    </row>
    <row r="13" spans="2:15" ht="15" x14ac:dyDescent="0.2">
      <c r="B13" s="159" t="s">
        <v>165</v>
      </c>
      <c r="C13" s="173" t="s">
        <v>14</v>
      </c>
      <c r="D13" s="282">
        <v>52.6</v>
      </c>
      <c r="E13" s="282">
        <v>55.5</v>
      </c>
      <c r="F13" s="282">
        <v>55.6</v>
      </c>
      <c r="G13" s="280">
        <v>53.8</v>
      </c>
      <c r="H13" s="280">
        <v>54.9</v>
      </c>
      <c r="I13" s="410">
        <f>H13*'Income Statement'!I11/'Income Statement'!H11</f>
        <v>59.054886495604755</v>
      </c>
      <c r="J13" s="410">
        <f>I13*'Income Statement'!J11/'Income Statement'!I11</f>
        <v>61.57524260057653</v>
      </c>
      <c r="K13" s="410">
        <f>J13*'Income Statement'!K11/'Income Statement'!J11</f>
        <v>63.328331585794281</v>
      </c>
      <c r="L13" s="410">
        <f>K13*'Income Statement'!L11/'Income Statement'!K11</f>
        <v>64.608601534739336</v>
      </c>
      <c r="M13" s="410">
        <f>L13*'Income Statement'!M11/'Income Statement'!L11</f>
        <v>66.147441673120866</v>
      </c>
      <c r="N13"/>
      <c r="O13" s="344" t="s">
        <v>414</v>
      </c>
    </row>
    <row r="14" spans="2:15" ht="15" x14ac:dyDescent="0.2">
      <c r="B14" s="159" t="s">
        <v>166</v>
      </c>
      <c r="C14" s="173" t="s">
        <v>14</v>
      </c>
      <c r="D14" s="282">
        <v>36.6</v>
      </c>
      <c r="E14" s="282">
        <v>30.2</v>
      </c>
      <c r="F14" s="282">
        <v>17.2</v>
      </c>
      <c r="G14" s="280">
        <v>20.6</v>
      </c>
      <c r="H14" s="280">
        <v>24.6</v>
      </c>
      <c r="I14" s="410">
        <f>H14*'Income Statement'!I13/'Income Statement'!H13</f>
        <v>26.520382992987326</v>
      </c>
      <c r="J14" s="410">
        <f>I14*'Income Statement'!J13/'Income Statement'!I13</f>
        <v>27.666389134830101</v>
      </c>
      <c r="K14" s="410">
        <f>J14*'Income Statement'!K13/'Income Statement'!J13</f>
        <v>28.468916210815788</v>
      </c>
      <c r="L14" s="410">
        <f>K14*'Income Statement'!L13/'Income Statement'!K13</f>
        <v>29.055508202654625</v>
      </c>
      <c r="M14" s="410">
        <f>L14*'Income Statement'!M13/'Income Statement'!L13</f>
        <v>29.756670727033846</v>
      </c>
      <c r="N14"/>
      <c r="O14" s="344" t="s">
        <v>415</v>
      </c>
    </row>
    <row r="15" spans="2:15" ht="15" x14ac:dyDescent="0.2">
      <c r="B15" s="271" t="s">
        <v>407</v>
      </c>
      <c r="C15" s="272" t="s">
        <v>14</v>
      </c>
      <c r="D15" s="411">
        <f t="shared" ref="D15:I15" si="0">SUM(D10:D14)</f>
        <v>207.2</v>
      </c>
      <c r="E15" s="411">
        <f t="shared" si="0"/>
        <v>201.2</v>
      </c>
      <c r="F15" s="411">
        <f t="shared" si="0"/>
        <v>183.29999999999998</v>
      </c>
      <c r="G15" s="412">
        <f t="shared" si="0"/>
        <v>234.1</v>
      </c>
      <c r="H15" s="412">
        <f t="shared" si="0"/>
        <v>207</v>
      </c>
      <c r="I15" s="412">
        <f t="shared" si="0"/>
        <v>445.95154701215728</v>
      </c>
      <c r="J15" s="412">
        <f t="shared" ref="J15:M15" si="1">SUM(J10:J14)</f>
        <v>687.98126288094954</v>
      </c>
      <c r="K15" s="412">
        <f t="shared" si="1"/>
        <v>936.53950876150498</v>
      </c>
      <c r="L15" s="412">
        <f t="shared" si="1"/>
        <v>1193.9533938130137</v>
      </c>
      <c r="M15" s="412">
        <f t="shared" si="1"/>
        <v>1467.6085372120785</v>
      </c>
      <c r="N15"/>
      <c r="O15" s="344"/>
    </row>
    <row r="16" spans="2:15" ht="15" x14ac:dyDescent="0.2">
      <c r="B16" s="170"/>
      <c r="C16" s="83"/>
      <c r="D16" s="170"/>
      <c r="E16" s="170"/>
      <c r="F16" s="170"/>
      <c r="G16" s="270"/>
      <c r="H16" s="270"/>
      <c r="I16" s="270"/>
      <c r="J16" s="270"/>
      <c r="K16" s="270"/>
      <c r="L16" s="270"/>
      <c r="M16" s="270"/>
      <c r="N16"/>
      <c r="O16" s="344"/>
    </row>
    <row r="17" spans="2:15" ht="16" customHeight="1" thickBot="1" x14ac:dyDescent="0.25">
      <c r="B17" s="268" t="s">
        <v>405</v>
      </c>
      <c r="C17" s="269"/>
      <c r="D17" s="283"/>
      <c r="E17" s="283"/>
      <c r="F17" s="283"/>
      <c r="G17" s="269"/>
      <c r="H17" s="269"/>
      <c r="I17" s="269"/>
      <c r="J17" s="269"/>
      <c r="K17" s="269"/>
      <c r="L17" s="269"/>
      <c r="M17" s="269"/>
      <c r="N17"/>
      <c r="O17" s="344"/>
    </row>
    <row r="18" spans="2:15" ht="15" x14ac:dyDescent="0.2">
      <c r="B18" s="3" t="s">
        <v>167</v>
      </c>
      <c r="C18" s="55" t="s">
        <v>14</v>
      </c>
      <c r="D18" s="284">
        <v>774.8</v>
      </c>
      <c r="E18" s="284">
        <v>816.7</v>
      </c>
      <c r="F18" s="284">
        <v>808.3</v>
      </c>
      <c r="G18" s="267">
        <v>879.7</v>
      </c>
      <c r="H18" s="267">
        <v>952.7</v>
      </c>
      <c r="I18" s="409">
        <f>H18+Assumptions!I66-'Income Statement'!I26</f>
        <v>987.5270844172785</v>
      </c>
      <c r="J18" s="409">
        <f>I18+Assumptions!J66-'Income Statement'!J26</f>
        <v>1010.2346106946798</v>
      </c>
      <c r="K18" s="409">
        <f>J18+Assumptions!K66-'Income Statement'!K26</f>
        <v>1025.8120841359678</v>
      </c>
      <c r="L18" s="409">
        <f>K18+Assumptions!L66-'Income Statement'!L26</f>
        <v>1027.4019283154876</v>
      </c>
      <c r="M18" s="409">
        <f>L18+Assumptions!M66-'Income Statement'!M26</f>
        <v>1020.8890882127033</v>
      </c>
      <c r="N18"/>
      <c r="O18" s="344" t="s">
        <v>417</v>
      </c>
    </row>
    <row r="19" spans="2:15" ht="15" x14ac:dyDescent="0.2">
      <c r="B19" s="159" t="s">
        <v>168</v>
      </c>
      <c r="C19" s="173" t="s">
        <v>14</v>
      </c>
      <c r="D19" s="282">
        <v>1007.4</v>
      </c>
      <c r="E19" s="282">
        <v>1160.5</v>
      </c>
      <c r="F19" s="282">
        <v>1134.9000000000001</v>
      </c>
      <c r="G19" s="280">
        <v>1095.2</v>
      </c>
      <c r="H19" s="280">
        <v>1149.0999999999999</v>
      </c>
      <c r="I19" s="216">
        <f>H19</f>
        <v>1149.0999999999999</v>
      </c>
      <c r="J19" s="216">
        <f t="shared" ref="J19:M19" si="2">I19</f>
        <v>1149.0999999999999</v>
      </c>
      <c r="K19" s="216">
        <f t="shared" si="2"/>
        <v>1149.0999999999999</v>
      </c>
      <c r="L19" s="216">
        <f t="shared" si="2"/>
        <v>1149.0999999999999</v>
      </c>
      <c r="M19" s="216">
        <f t="shared" si="2"/>
        <v>1149.0999999999999</v>
      </c>
      <c r="N19"/>
      <c r="O19" s="344" t="s">
        <v>418</v>
      </c>
    </row>
    <row r="20" spans="2:15" ht="15" x14ac:dyDescent="0.2">
      <c r="B20" s="159" t="s">
        <v>169</v>
      </c>
      <c r="C20" s="173" t="s">
        <v>14</v>
      </c>
      <c r="D20" s="282">
        <v>188.2</v>
      </c>
      <c r="E20" s="282">
        <v>195.1</v>
      </c>
      <c r="F20" s="282">
        <v>195</v>
      </c>
      <c r="G20" s="280">
        <v>194.8</v>
      </c>
      <c r="H20" s="280">
        <v>194.7</v>
      </c>
      <c r="I20" s="216">
        <f>H20</f>
        <v>194.7</v>
      </c>
      <c r="J20" s="216">
        <f t="shared" ref="J20:M20" si="3">I20</f>
        <v>194.7</v>
      </c>
      <c r="K20" s="216">
        <f t="shared" si="3"/>
        <v>194.7</v>
      </c>
      <c r="L20" s="216">
        <f t="shared" si="3"/>
        <v>194.7</v>
      </c>
      <c r="M20" s="216">
        <f t="shared" si="3"/>
        <v>194.7</v>
      </c>
      <c r="N20"/>
      <c r="O20" s="344" t="s">
        <v>419</v>
      </c>
    </row>
    <row r="21" spans="2:15" ht="15" x14ac:dyDescent="0.2">
      <c r="B21" s="159" t="s">
        <v>170</v>
      </c>
      <c r="C21" s="173" t="s">
        <v>14</v>
      </c>
      <c r="D21" s="282">
        <v>50.9</v>
      </c>
      <c r="E21" s="282">
        <v>62.5</v>
      </c>
      <c r="F21" s="282">
        <v>93.4</v>
      </c>
      <c r="G21" s="280">
        <v>113.9</v>
      </c>
      <c r="H21" s="280">
        <v>101.4</v>
      </c>
      <c r="I21" s="216">
        <f>H21</f>
        <v>101.4</v>
      </c>
      <c r="J21" s="216">
        <f t="shared" ref="J21:M21" si="4">I21</f>
        <v>101.4</v>
      </c>
      <c r="K21" s="216">
        <f t="shared" si="4"/>
        <v>101.4</v>
      </c>
      <c r="L21" s="216">
        <f t="shared" si="4"/>
        <v>101.4</v>
      </c>
      <c r="M21" s="216">
        <f t="shared" si="4"/>
        <v>101.4</v>
      </c>
      <c r="N21"/>
      <c r="O21" s="344" t="s">
        <v>420</v>
      </c>
    </row>
    <row r="22" spans="2:15" ht="15" x14ac:dyDescent="0.2">
      <c r="B22" s="159" t="s">
        <v>171</v>
      </c>
      <c r="C22" s="173" t="s">
        <v>14</v>
      </c>
      <c r="D22" s="282">
        <v>21.1</v>
      </c>
      <c r="E22" s="282">
        <v>27.4</v>
      </c>
      <c r="F22" s="282">
        <v>23.9</v>
      </c>
      <c r="G22" s="280">
        <v>19.899999999999999</v>
      </c>
      <c r="H22" s="280">
        <v>17.399999999999999</v>
      </c>
      <c r="I22" s="216">
        <f>H22</f>
        <v>17.399999999999999</v>
      </c>
      <c r="J22" s="216">
        <f t="shared" ref="J22:M22" si="5">I22</f>
        <v>17.399999999999999</v>
      </c>
      <c r="K22" s="216">
        <f t="shared" si="5"/>
        <v>17.399999999999999</v>
      </c>
      <c r="L22" s="216">
        <f t="shared" si="5"/>
        <v>17.399999999999999</v>
      </c>
      <c r="M22" s="216">
        <f t="shared" si="5"/>
        <v>17.399999999999999</v>
      </c>
      <c r="N22"/>
      <c r="O22" s="344" t="s">
        <v>421</v>
      </c>
    </row>
    <row r="23" spans="2:15" ht="16" thickBot="1" x14ac:dyDescent="0.25">
      <c r="B23" s="159" t="s">
        <v>172</v>
      </c>
      <c r="C23" s="173" t="s">
        <v>14</v>
      </c>
      <c r="D23" s="413">
        <v>25.3</v>
      </c>
      <c r="E23" s="413">
        <v>21</v>
      </c>
      <c r="F23" s="413">
        <v>48.2</v>
      </c>
      <c r="G23" s="280">
        <v>55.5</v>
      </c>
      <c r="H23" s="280">
        <v>56.3</v>
      </c>
      <c r="I23" s="410">
        <f>H23-'Cash Flow'!I20</f>
        <v>54.3</v>
      </c>
      <c r="J23" s="410">
        <f>I23-'Cash Flow'!J20</f>
        <v>52.3</v>
      </c>
      <c r="K23" s="410">
        <f>J23-'Cash Flow'!K20</f>
        <v>50.3</v>
      </c>
      <c r="L23" s="410">
        <f>K23-'Cash Flow'!L20</f>
        <v>48.3</v>
      </c>
      <c r="M23" s="410">
        <f>L23-'Cash Flow'!M20</f>
        <v>46.3</v>
      </c>
      <c r="N23"/>
      <c r="O23" s="344" t="s">
        <v>422</v>
      </c>
    </row>
    <row r="24" spans="2:15" ht="16" thickBot="1" x14ac:dyDescent="0.25">
      <c r="B24" s="276" t="s">
        <v>408</v>
      </c>
      <c r="C24" s="277" t="s">
        <v>14</v>
      </c>
      <c r="D24" s="414">
        <f t="shared" ref="D24:M24" si="6">D15+SUM(D18:D23)</f>
        <v>2274.8999999999996</v>
      </c>
      <c r="E24" s="414">
        <f t="shared" si="6"/>
        <v>2484.4</v>
      </c>
      <c r="F24" s="414">
        <f t="shared" si="6"/>
        <v>2487</v>
      </c>
      <c r="G24" s="414">
        <f t="shared" si="6"/>
        <v>2593.1000000000004</v>
      </c>
      <c r="H24" s="414">
        <f t="shared" si="6"/>
        <v>2678.6000000000004</v>
      </c>
      <c r="I24" s="414">
        <f t="shared" si="6"/>
        <v>2950.3786314294362</v>
      </c>
      <c r="J24" s="414">
        <f t="shared" si="6"/>
        <v>3213.1158735756294</v>
      </c>
      <c r="K24" s="414">
        <f t="shared" si="6"/>
        <v>3475.2515928974726</v>
      </c>
      <c r="L24" s="414">
        <f t="shared" si="6"/>
        <v>3732.2553221285016</v>
      </c>
      <c r="M24" s="414">
        <f t="shared" si="6"/>
        <v>3997.3976254247818</v>
      </c>
      <c r="N24"/>
      <c r="O24" s="344"/>
    </row>
    <row r="25" spans="2:15" ht="15" x14ac:dyDescent="0.2">
      <c r="N25"/>
      <c r="O25" s="344"/>
    </row>
    <row r="26" spans="2:15" ht="15" customHeight="1" x14ac:dyDescent="0.2">
      <c r="B26" s="57" t="s">
        <v>411</v>
      </c>
      <c r="C26" s="57"/>
      <c r="D26" s="57"/>
      <c r="E26" s="57"/>
      <c r="F26" s="57"/>
      <c r="G26" s="57"/>
      <c r="H26" s="57"/>
      <c r="I26" s="57"/>
      <c r="J26" s="57"/>
      <c r="K26" s="57"/>
      <c r="L26" s="57"/>
      <c r="M26" s="57"/>
      <c r="N26"/>
      <c r="O26" s="344"/>
    </row>
    <row r="27" spans="2:15" ht="16" thickBot="1" x14ac:dyDescent="0.25">
      <c r="B27" s="203" t="s">
        <v>173</v>
      </c>
      <c r="C27" s="203"/>
      <c r="D27" s="203"/>
      <c r="E27" s="203"/>
      <c r="F27" s="203"/>
      <c r="G27" s="203"/>
      <c r="H27" s="203"/>
      <c r="I27" s="203"/>
      <c r="J27" s="203"/>
      <c r="K27" s="203"/>
      <c r="L27" s="203"/>
      <c r="M27" s="203"/>
      <c r="N27"/>
      <c r="O27" s="344"/>
    </row>
    <row r="28" spans="2:15" ht="15" x14ac:dyDescent="0.2">
      <c r="B28" s="204" t="s">
        <v>174</v>
      </c>
      <c r="C28" s="215" t="s">
        <v>14</v>
      </c>
      <c r="D28" s="281">
        <v>127.7</v>
      </c>
      <c r="E28" s="281">
        <v>134.30000000000001</v>
      </c>
      <c r="F28" s="281">
        <v>125.7</v>
      </c>
      <c r="G28" s="278">
        <v>160.6</v>
      </c>
      <c r="H28" s="278">
        <v>168.5</v>
      </c>
      <c r="I28" s="279">
        <f>H28*'Income Statement'!I17/'Income Statement'!H17</f>
        <v>182.5810412216793</v>
      </c>
      <c r="J28" s="279">
        <f>I28*'Income Statement'!J17/'Income Statement'!I17</f>
        <v>191.30647325417979</v>
      </c>
      <c r="K28" s="279">
        <f>J28*'Income Statement'!K17/'Income Statement'!J17</f>
        <v>197.71286971540931</v>
      </c>
      <c r="L28" s="279">
        <f>K28*'Income Statement'!L17/'Income Statement'!K17</f>
        <v>202.68908357639876</v>
      </c>
      <c r="M28" s="279">
        <f>L28*'Income Statement'!M17/'Income Statement'!L17</f>
        <v>208.51920471320369</v>
      </c>
      <c r="N28"/>
      <c r="O28" s="344" t="s">
        <v>423</v>
      </c>
    </row>
    <row r="29" spans="2:15" ht="15" x14ac:dyDescent="0.2">
      <c r="B29" s="159" t="s">
        <v>175</v>
      </c>
      <c r="C29" s="173" t="s">
        <v>14</v>
      </c>
      <c r="D29" s="282">
        <v>106.4</v>
      </c>
      <c r="E29" s="282">
        <v>83.9</v>
      </c>
      <c r="F29" s="282">
        <v>73</v>
      </c>
      <c r="G29" s="280">
        <v>64.8</v>
      </c>
      <c r="H29" s="280">
        <v>57.2</v>
      </c>
      <c r="I29" s="216">
        <f>H29</f>
        <v>57.2</v>
      </c>
      <c r="J29" s="216">
        <f t="shared" ref="J29:M29" si="7">I29</f>
        <v>57.2</v>
      </c>
      <c r="K29" s="216">
        <f t="shared" si="7"/>
        <v>57.2</v>
      </c>
      <c r="L29" s="216">
        <f t="shared" si="7"/>
        <v>57.2</v>
      </c>
      <c r="M29" s="216">
        <f t="shared" si="7"/>
        <v>57.2</v>
      </c>
      <c r="N29"/>
      <c r="O29" s="344" t="s">
        <v>432</v>
      </c>
    </row>
    <row r="30" spans="2:15" ht="16" customHeight="1" x14ac:dyDescent="0.2">
      <c r="B30" s="159" t="s">
        <v>176</v>
      </c>
      <c r="C30" s="173" t="s">
        <v>14</v>
      </c>
      <c r="D30" s="282">
        <v>122.4</v>
      </c>
      <c r="E30" s="282">
        <v>111</v>
      </c>
      <c r="F30" s="282">
        <v>106.1</v>
      </c>
      <c r="G30" s="280">
        <v>130.80000000000001</v>
      </c>
      <c r="H30" s="280">
        <v>156.19999999999999</v>
      </c>
      <c r="I30" s="410">
        <f>H30*'Income Statement'!I19/'Income Statement'!H19</f>
        <v>168.08659148030048</v>
      </c>
      <c r="J30" s="410">
        <f>I30*'Income Statement'!J19/'Income Statement'!I19</f>
        <v>175.66843902452311</v>
      </c>
      <c r="K30" s="410">
        <f>J30*'Income Statement'!K19/'Income Statement'!J19</f>
        <v>181.08967577686923</v>
      </c>
      <c r="L30" s="410">
        <f>K30*'Income Statement'!L19/'Income Statement'!K19</f>
        <v>185.17897897480901</v>
      </c>
      <c r="M30" s="410">
        <f>L30*'Income Statement'!M19/'Income Statement'!L19</f>
        <v>190.02807663597841</v>
      </c>
      <c r="N30"/>
      <c r="O30" s="344" t="s">
        <v>433</v>
      </c>
    </row>
    <row r="31" spans="2:15" ht="15" x14ac:dyDescent="0.2">
      <c r="B31" s="159" t="s">
        <v>177</v>
      </c>
      <c r="C31" s="173" t="s">
        <v>14</v>
      </c>
      <c r="D31" s="282">
        <v>97.7</v>
      </c>
      <c r="E31" s="282">
        <v>112.7</v>
      </c>
      <c r="F31" s="282">
        <v>112.4</v>
      </c>
      <c r="G31" s="280">
        <v>114.1</v>
      </c>
      <c r="H31" s="280">
        <v>114.6</v>
      </c>
      <c r="I31" s="216">
        <f>H31</f>
        <v>114.6</v>
      </c>
      <c r="J31" s="216">
        <f t="shared" ref="J31:M31" si="8">I31</f>
        <v>114.6</v>
      </c>
      <c r="K31" s="216">
        <f t="shared" si="8"/>
        <v>114.6</v>
      </c>
      <c r="L31" s="216">
        <f t="shared" si="8"/>
        <v>114.6</v>
      </c>
      <c r="M31" s="216">
        <f t="shared" si="8"/>
        <v>114.6</v>
      </c>
      <c r="N31"/>
      <c r="O31" s="344" t="s">
        <v>424</v>
      </c>
    </row>
    <row r="32" spans="2:15" ht="15" x14ac:dyDescent="0.2">
      <c r="B32" s="159" t="s">
        <v>178</v>
      </c>
      <c r="C32" s="173" t="s">
        <v>14</v>
      </c>
      <c r="D32" s="282">
        <v>117.4</v>
      </c>
      <c r="E32" s="282">
        <v>116.1</v>
      </c>
      <c r="F32" s="282">
        <v>116.3</v>
      </c>
      <c r="G32" s="280">
        <v>144.69999999999999</v>
      </c>
      <c r="H32" s="280">
        <v>172.6</v>
      </c>
      <c r="I32" s="410">
        <f>H32*'Income Statement'!I13/'Income Statement'!H13</f>
        <v>186.07390669063463</v>
      </c>
      <c r="J32" s="410">
        <f>I32*'Income Statement'!J13/'Income Statement'!I13</f>
        <v>194.11458392974288</v>
      </c>
      <c r="K32" s="410">
        <f>J32*'Income Statement'!K13/'Income Statement'!J13</f>
        <v>199.74532268239042</v>
      </c>
      <c r="L32" s="410">
        <f>K32*'Income Statement'!L13/'Income Statement'!K13</f>
        <v>203.86100470643041</v>
      </c>
      <c r="M32" s="410">
        <f>L32*'Income Statement'!M13/'Income Statement'!L13</f>
        <v>208.78054339374154</v>
      </c>
      <c r="N32"/>
      <c r="O32" s="344" t="s">
        <v>425</v>
      </c>
    </row>
    <row r="33" spans="1:15" ht="15" x14ac:dyDescent="0.2">
      <c r="B33" s="159" t="s">
        <v>179</v>
      </c>
      <c r="C33" s="173" t="s">
        <v>14</v>
      </c>
      <c r="D33" s="282">
        <v>0</v>
      </c>
      <c r="E33" s="282">
        <v>0</v>
      </c>
      <c r="F33" s="282">
        <v>2.4</v>
      </c>
      <c r="G33" s="280">
        <v>7.3</v>
      </c>
      <c r="H33" s="280">
        <v>6.5</v>
      </c>
      <c r="I33" s="216">
        <f>H33</f>
        <v>6.5</v>
      </c>
      <c r="J33" s="216">
        <f t="shared" ref="J33:M33" si="9">I33</f>
        <v>6.5</v>
      </c>
      <c r="K33" s="216">
        <f t="shared" si="9"/>
        <v>6.5</v>
      </c>
      <c r="L33" s="216">
        <f t="shared" si="9"/>
        <v>6.5</v>
      </c>
      <c r="M33" s="216">
        <f t="shared" si="9"/>
        <v>6.5</v>
      </c>
      <c r="N33"/>
      <c r="O33" s="344" t="s">
        <v>426</v>
      </c>
    </row>
    <row r="34" spans="1:15" ht="15" x14ac:dyDescent="0.2">
      <c r="B34" s="271" t="s">
        <v>409</v>
      </c>
      <c r="C34" s="272" t="s">
        <v>14</v>
      </c>
      <c r="D34" s="415">
        <f t="shared" ref="D34:I34" si="10">SUM(D28:D33)</f>
        <v>571.6</v>
      </c>
      <c r="E34" s="415">
        <f t="shared" si="10"/>
        <v>558</v>
      </c>
      <c r="F34" s="415">
        <f t="shared" si="10"/>
        <v>535.89999999999986</v>
      </c>
      <c r="G34" s="415">
        <f t="shared" si="10"/>
        <v>622.29999999999995</v>
      </c>
      <c r="H34" s="415">
        <f t="shared" si="10"/>
        <v>675.6</v>
      </c>
      <c r="I34" s="415">
        <f t="shared" si="10"/>
        <v>715.04153939261448</v>
      </c>
      <c r="J34" s="415">
        <f t="shared" ref="J34:M34" si="11">SUM(J28:J33)</f>
        <v>739.38949620844573</v>
      </c>
      <c r="K34" s="415">
        <f t="shared" si="11"/>
        <v>756.84786817466897</v>
      </c>
      <c r="L34" s="415">
        <f t="shared" si="11"/>
        <v>770.02906725763819</v>
      </c>
      <c r="M34" s="415">
        <f t="shared" si="11"/>
        <v>785.62782474292362</v>
      </c>
      <c r="N34"/>
      <c r="O34" s="344"/>
    </row>
    <row r="35" spans="1:15" ht="15" x14ac:dyDescent="0.2">
      <c r="B35" s="170"/>
      <c r="C35" s="83"/>
      <c r="D35" s="170"/>
      <c r="E35" s="170"/>
      <c r="F35" s="170"/>
      <c r="G35" s="270"/>
      <c r="H35" s="270"/>
      <c r="I35" s="270"/>
      <c r="J35" s="270"/>
      <c r="K35" s="270"/>
      <c r="L35" s="270"/>
      <c r="M35" s="270"/>
      <c r="N35"/>
      <c r="O35" s="344"/>
    </row>
    <row r="36" spans="1:15" ht="16" thickBot="1" x14ac:dyDescent="0.25">
      <c r="B36" s="167" t="s">
        <v>406</v>
      </c>
      <c r="C36" s="167"/>
      <c r="D36" s="287"/>
      <c r="E36" s="287"/>
      <c r="F36" s="287"/>
      <c r="G36" s="167"/>
      <c r="H36" s="167"/>
      <c r="I36" s="167"/>
      <c r="J36" s="167"/>
      <c r="K36" s="167"/>
      <c r="L36" s="167"/>
      <c r="M36" s="167"/>
      <c r="N36"/>
      <c r="O36" s="3"/>
    </row>
    <row r="37" spans="1:15" ht="15" x14ac:dyDescent="0.2">
      <c r="B37" s="3" t="s">
        <v>180</v>
      </c>
      <c r="C37" s="55" t="s">
        <v>14</v>
      </c>
      <c r="D37" s="284">
        <v>917.9</v>
      </c>
      <c r="E37" s="284">
        <v>989.1</v>
      </c>
      <c r="F37" s="284">
        <v>912.2</v>
      </c>
      <c r="G37" s="267">
        <v>786.3</v>
      </c>
      <c r="H37" s="267">
        <v>426</v>
      </c>
      <c r="I37" s="416">
        <f>H37</f>
        <v>426</v>
      </c>
      <c r="J37" s="416">
        <f t="shared" ref="J37:M37" si="12">I37</f>
        <v>426</v>
      </c>
      <c r="K37" s="416">
        <f t="shared" si="12"/>
        <v>426</v>
      </c>
      <c r="L37" s="416">
        <f t="shared" si="12"/>
        <v>426</v>
      </c>
      <c r="M37" s="416">
        <f t="shared" si="12"/>
        <v>426</v>
      </c>
      <c r="N37"/>
      <c r="O37" s="344" t="s">
        <v>434</v>
      </c>
    </row>
    <row r="38" spans="1:15" ht="16" customHeight="1" x14ac:dyDescent="0.2">
      <c r="B38" s="159" t="s">
        <v>181</v>
      </c>
      <c r="C38" s="173" t="s">
        <v>14</v>
      </c>
      <c r="D38" s="282">
        <v>1006.7</v>
      </c>
      <c r="E38" s="282">
        <v>1151.0999999999999</v>
      </c>
      <c r="F38" s="282">
        <v>1125.8</v>
      </c>
      <c r="G38" s="280">
        <v>1084.5</v>
      </c>
      <c r="H38" s="280">
        <v>1135.3</v>
      </c>
      <c r="I38" s="216">
        <f>H38</f>
        <v>1135.3</v>
      </c>
      <c r="J38" s="216">
        <f t="shared" ref="J38:M38" si="13">I38</f>
        <v>1135.3</v>
      </c>
      <c r="K38" s="216">
        <f t="shared" si="13"/>
        <v>1135.3</v>
      </c>
      <c r="L38" s="216">
        <f t="shared" si="13"/>
        <v>1135.3</v>
      </c>
      <c r="M38" s="216">
        <f t="shared" si="13"/>
        <v>1135.3</v>
      </c>
      <c r="N38"/>
      <c r="O38" s="344" t="s">
        <v>436</v>
      </c>
    </row>
    <row r="39" spans="1:15" ht="15" x14ac:dyDescent="0.2">
      <c r="B39" s="159" t="s">
        <v>182</v>
      </c>
      <c r="C39" s="173" t="s">
        <v>14</v>
      </c>
      <c r="D39" s="280">
        <v>82</v>
      </c>
      <c r="E39" s="280">
        <v>54.3</v>
      </c>
      <c r="F39" s="280">
        <v>57.4</v>
      </c>
      <c r="G39" s="280">
        <v>60.6</v>
      </c>
      <c r="H39" s="280">
        <v>70.8</v>
      </c>
      <c r="I39" s="410">
        <f>H39+'Cash Flow'!I27</f>
        <v>75.8</v>
      </c>
      <c r="J39" s="410">
        <f>I39+'Cash Flow'!J27</f>
        <v>80.8</v>
      </c>
      <c r="K39" s="410">
        <f>J39+'Cash Flow'!K27</f>
        <v>85.8</v>
      </c>
      <c r="L39" s="410">
        <f>K39+'Cash Flow'!L27</f>
        <v>90.8</v>
      </c>
      <c r="M39" s="410">
        <f>L39+'Cash Flow'!M27</f>
        <v>95.8</v>
      </c>
      <c r="N39"/>
      <c r="O39" s="344" t="s">
        <v>435</v>
      </c>
    </row>
    <row r="40" spans="1:15" ht="15" x14ac:dyDescent="0.2">
      <c r="B40" s="271" t="s">
        <v>183</v>
      </c>
      <c r="C40" s="272" t="s">
        <v>14</v>
      </c>
      <c r="D40" s="415">
        <f t="shared" ref="D40:I40" si="14">D34+SUM(D37:D39)</f>
        <v>2578.1999999999998</v>
      </c>
      <c r="E40" s="415">
        <f t="shared" si="14"/>
        <v>2752.5</v>
      </c>
      <c r="F40" s="415">
        <f t="shared" si="14"/>
        <v>2631.3</v>
      </c>
      <c r="G40" s="415">
        <f t="shared" si="14"/>
        <v>2553.6999999999998</v>
      </c>
      <c r="H40" s="415">
        <f t="shared" si="14"/>
        <v>2307.6999999999998</v>
      </c>
      <c r="I40" s="415">
        <f t="shared" si="14"/>
        <v>2352.1415393926145</v>
      </c>
      <c r="J40" s="415">
        <f t="shared" ref="J40:M40" si="15">J34+SUM(J37:J39)</f>
        <v>2381.4894962084454</v>
      </c>
      <c r="K40" s="415">
        <f t="shared" si="15"/>
        <v>2403.9478681746687</v>
      </c>
      <c r="L40" s="415">
        <f t="shared" si="15"/>
        <v>2422.1290672576379</v>
      </c>
      <c r="M40" s="415">
        <f t="shared" si="15"/>
        <v>2442.7278247429235</v>
      </c>
      <c r="N40"/>
      <c r="O40" s="344"/>
    </row>
    <row r="41" spans="1:15" ht="15" customHeight="1" x14ac:dyDescent="0.2">
      <c r="N41"/>
      <c r="O41" s="344"/>
    </row>
    <row r="42" spans="1:15" ht="16" thickBot="1" x14ac:dyDescent="0.25">
      <c r="B42" s="203" t="s">
        <v>184</v>
      </c>
      <c r="C42" s="203"/>
      <c r="D42" s="285"/>
      <c r="E42" s="285"/>
      <c r="F42" s="285"/>
      <c r="G42" s="203"/>
      <c r="H42" s="203"/>
      <c r="I42" s="203"/>
      <c r="J42" s="203"/>
      <c r="K42" s="203"/>
      <c r="L42" s="203"/>
      <c r="M42" s="203"/>
      <c r="N42"/>
      <c r="O42" s="344"/>
    </row>
    <row r="43" spans="1:15" ht="16" customHeight="1" x14ac:dyDescent="0.2">
      <c r="B43" s="204" t="s">
        <v>185</v>
      </c>
      <c r="C43" s="215" t="s">
        <v>14</v>
      </c>
      <c r="D43" s="281">
        <v>7</v>
      </c>
      <c r="E43" s="281">
        <v>7</v>
      </c>
      <c r="F43" s="281">
        <v>6</v>
      </c>
      <c r="G43" s="278">
        <v>6</v>
      </c>
      <c r="H43" s="278">
        <v>6</v>
      </c>
      <c r="I43" s="417">
        <f>H43</f>
        <v>6</v>
      </c>
      <c r="J43" s="417">
        <f t="shared" ref="J43:M43" si="16">I43</f>
        <v>6</v>
      </c>
      <c r="K43" s="417">
        <f t="shared" si="16"/>
        <v>6</v>
      </c>
      <c r="L43" s="417">
        <f t="shared" si="16"/>
        <v>6</v>
      </c>
      <c r="M43" s="417">
        <f t="shared" si="16"/>
        <v>6</v>
      </c>
      <c r="N43"/>
      <c r="O43" s="344" t="s">
        <v>427</v>
      </c>
    </row>
    <row r="44" spans="1:15" ht="15" x14ac:dyDescent="0.2">
      <c r="B44" s="159" t="s">
        <v>186</v>
      </c>
      <c r="C44" s="173" t="s">
        <v>14</v>
      </c>
      <c r="D44" s="282">
        <v>685.4</v>
      </c>
      <c r="E44" s="282">
        <v>690.9</v>
      </c>
      <c r="F44" s="282">
        <v>690</v>
      </c>
      <c r="G44" s="280">
        <v>707.8</v>
      </c>
      <c r="H44" s="280">
        <v>714.5</v>
      </c>
      <c r="I44" s="410">
        <f>H44+'Income Statement'!I55</f>
        <v>749.32708441727857</v>
      </c>
      <c r="J44" s="410">
        <f>I44+'Income Statement'!J55</f>
        <v>785.65912646112054</v>
      </c>
      <c r="K44" s="410">
        <f>J44+'Income Statement'!K55</f>
        <v>823.04506272021183</v>
      </c>
      <c r="L44" s="410">
        <f>K44+'Income Statement'!L55</f>
        <v>861.2013230286833</v>
      </c>
      <c r="M44" s="410">
        <f>L44+'Income Statement'!M55</f>
        <v>900.2783636453895</v>
      </c>
      <c r="N44"/>
      <c r="O44" s="344" t="s">
        <v>429</v>
      </c>
    </row>
    <row r="45" spans="1:15" ht="15" x14ac:dyDescent="0.2">
      <c r="B45" s="159" t="s">
        <v>187</v>
      </c>
      <c r="C45" s="173" t="s">
        <v>14</v>
      </c>
      <c r="D45" s="282">
        <v>-4.7</v>
      </c>
      <c r="E45" s="282">
        <v>-5.3</v>
      </c>
      <c r="F45" s="282">
        <v>-6</v>
      </c>
      <c r="G45" s="280">
        <v>-6.3</v>
      </c>
      <c r="H45" s="280">
        <v>-6.4</v>
      </c>
      <c r="I45" s="216">
        <f>H45</f>
        <v>-6.4</v>
      </c>
      <c r="J45" s="216">
        <f t="shared" ref="J45:M45" si="17">I45</f>
        <v>-6.4</v>
      </c>
      <c r="K45" s="216">
        <f t="shared" si="17"/>
        <v>-6.4</v>
      </c>
      <c r="L45" s="216">
        <f t="shared" si="17"/>
        <v>-6.4</v>
      </c>
      <c r="M45" s="216">
        <f t="shared" si="17"/>
        <v>-6.4</v>
      </c>
      <c r="N45"/>
      <c r="O45" s="344" t="s">
        <v>428</v>
      </c>
    </row>
    <row r="46" spans="1:15" ht="15" x14ac:dyDescent="0.2">
      <c r="A46" s="1"/>
      <c r="B46" s="159" t="s">
        <v>188</v>
      </c>
      <c r="C46" s="173" t="s">
        <v>14</v>
      </c>
      <c r="D46" s="282">
        <v>-266.10000000000002</v>
      </c>
      <c r="E46" s="282">
        <v>-148.4</v>
      </c>
      <c r="F46" s="282">
        <v>-351.9</v>
      </c>
      <c r="G46" s="280">
        <v>-196.6</v>
      </c>
      <c r="H46" s="280">
        <v>186.5</v>
      </c>
      <c r="I46" s="410">
        <f>H46+'Income Statement'!I40+'Cash Flow'!I25</f>
        <v>652.99295600904134</v>
      </c>
      <c r="J46" s="410">
        <f>I46+'Income Statement'!J40+'Cash Flow'!J25</f>
        <v>1107.1035587982938</v>
      </c>
      <c r="K46" s="410">
        <f>J46+'Income Statement'!K40+'Cash Flow'!K25</f>
        <v>1551.5149199187276</v>
      </c>
      <c r="L46" s="410">
        <f>K46+'Income Statement'!L40+'Cash Flow'!L25</f>
        <v>1981.8766030648662</v>
      </c>
      <c r="M46" s="410">
        <f>L46+'Income Statement'!M40+'Cash Flow'!M25</f>
        <v>2409.6024702217064</v>
      </c>
      <c r="N46"/>
      <c r="O46" s="344" t="s">
        <v>430</v>
      </c>
    </row>
    <row r="47" spans="1:15" ht="15" x14ac:dyDescent="0.2">
      <c r="B47" s="159" t="s">
        <v>189</v>
      </c>
      <c r="C47" s="173" t="s">
        <v>14</v>
      </c>
      <c r="D47" s="280">
        <v>-724.9</v>
      </c>
      <c r="E47" s="280">
        <v>-812.3</v>
      </c>
      <c r="F47" s="280">
        <v>-482.4</v>
      </c>
      <c r="G47" s="280">
        <v>-471.5</v>
      </c>
      <c r="H47" s="280">
        <v>-529.70000000000005</v>
      </c>
      <c r="I47" s="410">
        <f>H47-Assumptions!I71</f>
        <v>-803.68294838949851</v>
      </c>
      <c r="J47" s="410">
        <f>I47-Assumptions!J71</f>
        <v>-1060.7363078922308</v>
      </c>
      <c r="K47" s="410">
        <f>J47-Assumptions!K71</f>
        <v>-1302.8562579161357</v>
      </c>
      <c r="L47" s="410">
        <f>K47-Assumptions!L71</f>
        <v>-1532.5516712226868</v>
      </c>
      <c r="M47" s="410">
        <f>L47-Assumptions!M71</f>
        <v>-1754.8110331852383</v>
      </c>
      <c r="N47"/>
      <c r="O47" s="344" t="s">
        <v>431</v>
      </c>
    </row>
    <row r="48" spans="1:15" ht="15" x14ac:dyDescent="0.2">
      <c r="B48" s="271" t="s">
        <v>190</v>
      </c>
      <c r="C48" s="272" t="s">
        <v>14</v>
      </c>
      <c r="D48" s="415">
        <f t="shared" ref="D48:I48" si="18">SUM(D43:D47)</f>
        <v>-303.30000000000007</v>
      </c>
      <c r="E48" s="415">
        <f t="shared" si="18"/>
        <v>-268.09999999999991</v>
      </c>
      <c r="F48" s="415">
        <f t="shared" si="18"/>
        <v>-144.29999999999995</v>
      </c>
      <c r="G48" s="415">
        <f t="shared" si="18"/>
        <v>39.399999999999977</v>
      </c>
      <c r="H48" s="415">
        <f t="shared" si="18"/>
        <v>370.9</v>
      </c>
      <c r="I48" s="415">
        <f t="shared" si="18"/>
        <v>598.23709203682142</v>
      </c>
      <c r="J48" s="415">
        <f t="shared" ref="J48:M48" si="19">SUM(J43:J47)</f>
        <v>831.62637736718352</v>
      </c>
      <c r="K48" s="415">
        <f t="shared" si="19"/>
        <v>1071.3037247228035</v>
      </c>
      <c r="L48" s="415">
        <f t="shared" si="19"/>
        <v>1310.1262548708628</v>
      </c>
      <c r="M48" s="415">
        <f t="shared" si="19"/>
        <v>1554.6698006818576</v>
      </c>
      <c r="N48"/>
      <c r="O48" s="289"/>
    </row>
    <row r="49" spans="2:15" ht="16" thickBot="1" x14ac:dyDescent="0.25">
      <c r="N49"/>
      <c r="O49" s="289"/>
    </row>
    <row r="50" spans="2:15" ht="16" thickBot="1" x14ac:dyDescent="0.25">
      <c r="B50" s="274" t="s">
        <v>191</v>
      </c>
      <c r="C50" s="275" t="s">
        <v>14</v>
      </c>
      <c r="D50" s="286">
        <f t="shared" ref="D50:I50" si="20">D40+D48</f>
        <v>2274.8999999999996</v>
      </c>
      <c r="E50" s="286">
        <f t="shared" si="20"/>
        <v>2484.4</v>
      </c>
      <c r="F50" s="286">
        <f t="shared" si="20"/>
        <v>2487</v>
      </c>
      <c r="G50" s="286">
        <f t="shared" si="20"/>
        <v>2593.1</v>
      </c>
      <c r="H50" s="286">
        <f t="shared" si="20"/>
        <v>2678.6</v>
      </c>
      <c r="I50" s="286">
        <f t="shared" si="20"/>
        <v>2950.3786314294357</v>
      </c>
      <c r="J50" s="286">
        <f t="shared" ref="J50:M50" si="21">J40+J48</f>
        <v>3213.1158735756289</v>
      </c>
      <c r="K50" s="286">
        <f t="shared" si="21"/>
        <v>3475.2515928974722</v>
      </c>
      <c r="L50" s="286">
        <f t="shared" si="21"/>
        <v>3732.2553221285007</v>
      </c>
      <c r="M50" s="286">
        <f t="shared" si="21"/>
        <v>3997.3976254247809</v>
      </c>
      <c r="N50"/>
      <c r="O50" s="289"/>
    </row>
    <row r="51" spans="2:15" ht="15" x14ac:dyDescent="0.2">
      <c r="N51"/>
      <c r="O51"/>
    </row>
    <row r="52" spans="2:15" ht="16" customHeight="1" outlineLevel="1" x14ac:dyDescent="0.2">
      <c r="B52" s="4" t="s">
        <v>192</v>
      </c>
      <c r="C52" s="151" t="s">
        <v>14</v>
      </c>
      <c r="D52" s="418">
        <f t="shared" ref="D52:I52" si="22">D24-D50</f>
        <v>0</v>
      </c>
      <c r="E52" s="418">
        <f t="shared" si="22"/>
        <v>0</v>
      </c>
      <c r="F52" s="418">
        <f t="shared" si="22"/>
        <v>0</v>
      </c>
      <c r="G52" s="418">
        <f t="shared" si="22"/>
        <v>0</v>
      </c>
      <c r="H52" s="418">
        <f t="shared" si="22"/>
        <v>0</v>
      </c>
      <c r="I52" s="418">
        <f t="shared" si="22"/>
        <v>0</v>
      </c>
      <c r="J52" s="418">
        <f t="shared" ref="J52:M52" si="23">J24-J50</f>
        <v>0</v>
      </c>
      <c r="K52" s="418">
        <f t="shared" si="23"/>
        <v>0</v>
      </c>
      <c r="L52" s="418">
        <f t="shared" si="23"/>
        <v>0</v>
      </c>
      <c r="M52" s="418">
        <f t="shared" si="23"/>
        <v>0</v>
      </c>
      <c r="N52"/>
      <c r="O52" s="273"/>
    </row>
    <row r="53" spans="2:15" ht="15" outlineLevel="1" x14ac:dyDescent="0.2">
      <c r="B53" s="4" t="s">
        <v>584</v>
      </c>
      <c r="C53" s="151" t="s">
        <v>14</v>
      </c>
      <c r="D53" s="593">
        <f>IFERROR(D10-'Cash Flow'!D32,0)</f>
        <v>5.6843418860808015E-14</v>
      </c>
      <c r="E53" s="593">
        <f>IFERROR(E10-'Cash Flow'!E32,0)</f>
        <v>8.8817841970012523E-14</v>
      </c>
      <c r="F53" s="593">
        <f>IFERROR(F10-'Cash Flow'!F32,0)</f>
        <v>7.9936057773011271E-14</v>
      </c>
      <c r="G53" s="593">
        <f>G10-'Cash Flow'!G32</f>
        <v>1.2789769243681803E-13</v>
      </c>
      <c r="H53" s="593">
        <f>H10-'Cash Flow'!H32</f>
        <v>4.9737991503207013E-14</v>
      </c>
      <c r="I53" s="291"/>
      <c r="J53" s="291"/>
      <c r="K53" s="291"/>
      <c r="L53" s="291"/>
      <c r="M53" s="291"/>
      <c r="N53"/>
      <c r="O53" s="290"/>
    </row>
    <row r="54" spans="2:15" ht="15" x14ac:dyDescent="0.2">
      <c r="B54"/>
      <c r="C54"/>
      <c r="D54"/>
      <c r="E54"/>
      <c r="F54"/>
      <c r="G54"/>
      <c r="H54"/>
      <c r="I54"/>
      <c r="J54"/>
      <c r="K54"/>
      <c r="L54"/>
      <c r="M54"/>
      <c r="N54"/>
    </row>
    <row r="55" spans="2:15" ht="15" x14ac:dyDescent="0.2">
      <c r="B55"/>
      <c r="C55"/>
      <c r="D55"/>
      <c r="E55"/>
      <c r="F55"/>
      <c r="G55"/>
      <c r="H55"/>
      <c r="I55"/>
      <c r="J55"/>
      <c r="K55"/>
      <c r="L55"/>
      <c r="M55"/>
      <c r="N55"/>
    </row>
    <row r="56" spans="2:15" ht="15" x14ac:dyDescent="0.2">
      <c r="B56"/>
      <c r="C56"/>
      <c r="D56"/>
      <c r="E56"/>
      <c r="F56"/>
      <c r="G56"/>
      <c r="H56"/>
      <c r="I56"/>
      <c r="J56"/>
      <c r="K56"/>
      <c r="L56"/>
      <c r="M56"/>
      <c r="N56"/>
    </row>
    <row r="57" spans="2:15" ht="15" x14ac:dyDescent="0.2">
      <c r="B57"/>
      <c r="C57"/>
      <c r="D57"/>
      <c r="E57"/>
      <c r="F57"/>
      <c r="G57"/>
      <c r="H57"/>
      <c r="I57"/>
      <c r="J57"/>
      <c r="K57"/>
      <c r="L57"/>
      <c r="M57"/>
      <c r="N57"/>
    </row>
    <row r="58" spans="2:15" ht="15" x14ac:dyDescent="0.2">
      <c r="B58"/>
      <c r="C58"/>
      <c r="D58"/>
      <c r="E58"/>
      <c r="F58"/>
      <c r="G58"/>
      <c r="H58"/>
      <c r="I58"/>
      <c r="J58"/>
      <c r="K58"/>
      <c r="L58"/>
      <c r="M58"/>
      <c r="N58"/>
    </row>
    <row r="59" spans="2:15" ht="15" x14ac:dyDescent="0.2">
      <c r="B59"/>
      <c r="C59"/>
      <c r="D59"/>
      <c r="E59"/>
      <c r="F59"/>
      <c r="G59"/>
      <c r="H59"/>
      <c r="I59"/>
      <c r="J59"/>
      <c r="K59"/>
      <c r="L59"/>
      <c r="M59"/>
      <c r="N59"/>
    </row>
    <row r="60" spans="2:15" ht="15" x14ac:dyDescent="0.2">
      <c r="B60"/>
      <c r="C60"/>
      <c r="D60"/>
      <c r="E60"/>
      <c r="F60"/>
      <c r="G60"/>
      <c r="H60"/>
      <c r="I60"/>
      <c r="J60"/>
      <c r="K60"/>
      <c r="L60"/>
      <c r="M60"/>
      <c r="N60"/>
    </row>
    <row r="61" spans="2:15" ht="15" x14ac:dyDescent="0.2">
      <c r="B61"/>
      <c r="C61"/>
      <c r="D61"/>
      <c r="E61"/>
      <c r="F61"/>
      <c r="G61"/>
      <c r="H61"/>
      <c r="I61"/>
      <c r="J61"/>
      <c r="K61"/>
      <c r="L61"/>
      <c r="M61"/>
      <c r="N61"/>
    </row>
    <row r="62" spans="2:15" ht="15" x14ac:dyDescent="0.2">
      <c r="B62"/>
      <c r="C62"/>
      <c r="D62"/>
      <c r="E62"/>
      <c r="F62"/>
      <c r="G62"/>
      <c r="H62"/>
      <c r="I62"/>
      <c r="J62"/>
      <c r="K62"/>
      <c r="L62"/>
      <c r="M62"/>
      <c r="N62"/>
    </row>
    <row r="63" spans="2:15" ht="15" x14ac:dyDescent="0.2">
      <c r="B63"/>
      <c r="C63"/>
      <c r="D63"/>
      <c r="E63"/>
      <c r="F63"/>
      <c r="G63"/>
      <c r="H63"/>
      <c r="I63"/>
      <c r="J63"/>
      <c r="K63"/>
      <c r="L63"/>
      <c r="M63"/>
      <c r="N63"/>
    </row>
    <row r="64" spans="2:15" ht="15" x14ac:dyDescent="0.2">
      <c r="B64"/>
      <c r="C64"/>
      <c r="D64"/>
      <c r="E64"/>
      <c r="F64"/>
      <c r="G64"/>
      <c r="H64"/>
      <c r="I64"/>
      <c r="J64"/>
      <c r="K64"/>
      <c r="L64"/>
      <c r="M64"/>
      <c r="N64"/>
    </row>
    <row r="65" spans="2:14" ht="15" x14ac:dyDescent="0.2">
      <c r="B65"/>
      <c r="C65"/>
      <c r="D65"/>
      <c r="E65"/>
      <c r="F65"/>
      <c r="G65"/>
      <c r="H65"/>
      <c r="I65"/>
      <c r="J65"/>
      <c r="K65"/>
      <c r="L65"/>
      <c r="M65"/>
      <c r="N65"/>
    </row>
    <row r="66" spans="2:14" ht="15" x14ac:dyDescent="0.2">
      <c r="B66"/>
      <c r="C66"/>
      <c r="D66"/>
      <c r="E66"/>
      <c r="F66"/>
      <c r="G66"/>
      <c r="H66"/>
      <c r="I66"/>
      <c r="J66"/>
      <c r="K66"/>
      <c r="L66"/>
      <c r="M66"/>
      <c r="N66"/>
    </row>
    <row r="67" spans="2:14" ht="15" x14ac:dyDescent="0.2">
      <c r="B67"/>
      <c r="C67"/>
      <c r="D67"/>
      <c r="E67"/>
      <c r="F67"/>
      <c r="G67"/>
      <c r="H67"/>
      <c r="I67"/>
      <c r="J67"/>
      <c r="K67"/>
      <c r="L67"/>
      <c r="M67"/>
      <c r="N67"/>
    </row>
    <row r="68" spans="2:14" ht="15" x14ac:dyDescent="0.2">
      <c r="B68"/>
      <c r="C68"/>
      <c r="D68"/>
      <c r="E68"/>
      <c r="F68"/>
      <c r="G68"/>
      <c r="H68"/>
      <c r="I68"/>
      <c r="J68"/>
      <c r="K68"/>
      <c r="L68"/>
      <c r="M68"/>
      <c r="N68"/>
    </row>
    <row r="69" spans="2:14" ht="15" x14ac:dyDescent="0.2">
      <c r="B69"/>
      <c r="C69"/>
      <c r="D69"/>
      <c r="E69"/>
      <c r="F69"/>
      <c r="G69"/>
      <c r="H69"/>
      <c r="I69"/>
      <c r="J69"/>
      <c r="K69"/>
      <c r="L69"/>
      <c r="M69"/>
      <c r="N69"/>
    </row>
    <row r="70" spans="2:14" ht="15" x14ac:dyDescent="0.2">
      <c r="B70"/>
      <c r="C70"/>
      <c r="D70"/>
      <c r="E70"/>
      <c r="F70"/>
      <c r="G70"/>
      <c r="H70"/>
      <c r="I70"/>
      <c r="J70"/>
      <c r="K70"/>
      <c r="L70"/>
      <c r="M70"/>
      <c r="N70"/>
    </row>
    <row r="71" spans="2:14" ht="15" x14ac:dyDescent="0.2">
      <c r="B71"/>
      <c r="C71"/>
      <c r="D71"/>
      <c r="E71"/>
      <c r="F71"/>
      <c r="G71"/>
      <c r="H71"/>
      <c r="I71"/>
      <c r="J71"/>
      <c r="K71"/>
      <c r="L71"/>
      <c r="M71"/>
      <c r="N71"/>
    </row>
    <row r="72" spans="2:14" ht="15" x14ac:dyDescent="0.2">
      <c r="B72"/>
      <c r="C72"/>
      <c r="D72"/>
      <c r="E72"/>
      <c r="F72"/>
      <c r="G72"/>
      <c r="H72"/>
      <c r="I72"/>
      <c r="J72"/>
      <c r="K72"/>
      <c r="L72"/>
      <c r="M72"/>
      <c r="N72"/>
    </row>
    <row r="73" spans="2:14" ht="15" x14ac:dyDescent="0.2">
      <c r="B73"/>
      <c r="C73"/>
      <c r="D73"/>
      <c r="E73"/>
      <c r="F73"/>
      <c r="G73"/>
      <c r="H73"/>
      <c r="I73"/>
      <c r="J73"/>
      <c r="K73"/>
      <c r="L73"/>
      <c r="M73"/>
      <c r="N73"/>
    </row>
    <row r="74" spans="2:14" ht="15" x14ac:dyDescent="0.2">
      <c r="B74"/>
      <c r="C74"/>
      <c r="D74"/>
      <c r="E74"/>
      <c r="F74"/>
      <c r="G74"/>
      <c r="H74"/>
      <c r="I74"/>
      <c r="J74"/>
      <c r="K74"/>
      <c r="L74"/>
      <c r="M74"/>
      <c r="N74"/>
    </row>
    <row r="75" spans="2:14" ht="15" x14ac:dyDescent="0.2">
      <c r="B75"/>
      <c r="C75"/>
      <c r="D75"/>
      <c r="E75"/>
      <c r="F75"/>
      <c r="G75"/>
      <c r="H75"/>
      <c r="I75"/>
      <c r="J75"/>
      <c r="K75"/>
      <c r="L75"/>
      <c r="M75"/>
      <c r="N75"/>
    </row>
    <row r="76" spans="2:14" ht="15" x14ac:dyDescent="0.2">
      <c r="B76"/>
      <c r="C76"/>
      <c r="D76"/>
      <c r="E76"/>
      <c r="F76"/>
      <c r="G76"/>
      <c r="H76"/>
      <c r="I76"/>
      <c r="J76"/>
      <c r="K76"/>
      <c r="L76"/>
      <c r="M76"/>
      <c r="N76"/>
    </row>
    <row r="77" spans="2:14" ht="15" x14ac:dyDescent="0.2">
      <c r="B77"/>
      <c r="C77"/>
      <c r="D77"/>
      <c r="E77"/>
      <c r="F77"/>
      <c r="G77"/>
      <c r="H77"/>
      <c r="I77"/>
      <c r="J77"/>
      <c r="K77"/>
      <c r="L77"/>
      <c r="M77"/>
      <c r="N77"/>
    </row>
    <row r="78" spans="2:14" ht="15" x14ac:dyDescent="0.2">
      <c r="B78"/>
      <c r="C78"/>
      <c r="D78"/>
      <c r="E78"/>
      <c r="F78"/>
      <c r="G78"/>
      <c r="H78"/>
      <c r="I78"/>
      <c r="J78"/>
      <c r="K78"/>
      <c r="L78"/>
      <c r="M78"/>
      <c r="N78"/>
    </row>
    <row r="79" spans="2:14" ht="15" x14ac:dyDescent="0.2">
      <c r="B79"/>
      <c r="C79"/>
      <c r="D79"/>
      <c r="E79"/>
      <c r="F79"/>
      <c r="G79"/>
      <c r="H79"/>
      <c r="I79"/>
      <c r="J79"/>
      <c r="K79"/>
      <c r="L79"/>
      <c r="M79"/>
      <c r="N79"/>
    </row>
    <row r="80" spans="2:14" ht="15" x14ac:dyDescent="0.2">
      <c r="B80"/>
      <c r="C80"/>
      <c r="D80"/>
      <c r="E80"/>
      <c r="F80"/>
      <c r="G80"/>
      <c r="H80"/>
      <c r="I80"/>
      <c r="J80"/>
      <c r="K80"/>
      <c r="L80"/>
      <c r="M80"/>
      <c r="N80"/>
    </row>
    <row r="81" spans="2:14" ht="15" x14ac:dyDescent="0.2">
      <c r="B81"/>
      <c r="C81"/>
      <c r="D81"/>
      <c r="E81"/>
      <c r="F81"/>
      <c r="G81"/>
      <c r="H81"/>
      <c r="I81"/>
      <c r="J81"/>
      <c r="K81"/>
      <c r="L81"/>
      <c r="M81"/>
      <c r="N81"/>
    </row>
    <row r="82" spans="2:14" ht="15" x14ac:dyDescent="0.2">
      <c r="B82"/>
      <c r="C82"/>
      <c r="D82"/>
      <c r="E82"/>
      <c r="F82"/>
      <c r="G82"/>
      <c r="H82"/>
      <c r="I82"/>
      <c r="J82"/>
      <c r="K82"/>
      <c r="L82"/>
      <c r="M82"/>
      <c r="N82"/>
    </row>
  </sheetData>
  <pageMargins left="0.75" right="0.75" top="1" bottom="1" header="0.5" footer="0.5"/>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O53"/>
  <sheetViews>
    <sheetView showGridLines="0" workbookViewId="0"/>
  </sheetViews>
  <sheetFormatPr baseColWidth="10" defaultColWidth="8.83203125" defaultRowHeight="14" x14ac:dyDescent="0.2"/>
  <cols>
    <col min="1" max="1" width="3.5" style="3" customWidth="1"/>
    <col min="2" max="2" width="35" style="3" customWidth="1"/>
    <col min="3" max="3" width="8" style="3" customWidth="1"/>
    <col min="4" max="13" width="12" style="3" customWidth="1"/>
    <col min="14" max="14" width="8.83203125" style="3" customWidth="1"/>
    <col min="15" max="15" width="50" style="4" customWidth="1"/>
    <col min="16" max="17" width="8.83203125" style="3" customWidth="1"/>
    <col min="18" max="16384" width="8.83203125" style="3"/>
  </cols>
  <sheetData>
    <row r="2" spans="2:15" ht="19" customHeight="1" x14ac:dyDescent="0.2">
      <c r="B2" s="21" t="s">
        <v>54</v>
      </c>
      <c r="C2"/>
      <c r="D2"/>
      <c r="E2"/>
      <c r="F2"/>
      <c r="G2"/>
      <c r="H2"/>
      <c r="I2"/>
      <c r="J2"/>
      <c r="K2"/>
      <c r="L2"/>
      <c r="M2"/>
      <c r="N2"/>
    </row>
    <row r="3" spans="2:15" ht="15" x14ac:dyDescent="0.2">
      <c r="B3" s="14" t="s">
        <v>131</v>
      </c>
      <c r="C3"/>
      <c r="D3"/>
      <c r="E3"/>
      <c r="F3"/>
      <c r="G3"/>
      <c r="H3"/>
      <c r="I3"/>
      <c r="J3"/>
      <c r="K3"/>
      <c r="L3"/>
      <c r="M3"/>
      <c r="N3"/>
    </row>
    <row r="4" spans="2:15" ht="15" x14ac:dyDescent="0.2">
      <c r="B4" s="14" t="s">
        <v>0</v>
      </c>
      <c r="C4"/>
      <c r="D4"/>
      <c r="E4"/>
      <c r="F4"/>
      <c r="G4"/>
      <c r="H4"/>
      <c r="I4"/>
      <c r="J4"/>
      <c r="K4"/>
      <c r="L4"/>
      <c r="M4"/>
      <c r="N4"/>
    </row>
    <row r="5" spans="2:15" ht="15" x14ac:dyDescent="0.2">
      <c r="B5" s="14"/>
      <c r="C5"/>
      <c r="D5"/>
      <c r="E5"/>
      <c r="F5"/>
      <c r="G5"/>
      <c r="H5"/>
      <c r="I5"/>
      <c r="J5"/>
      <c r="K5"/>
      <c r="L5"/>
      <c r="M5"/>
      <c r="N5"/>
    </row>
    <row r="6" spans="2:15" ht="15" x14ac:dyDescent="0.2">
      <c r="B6" s="14"/>
      <c r="C6"/>
      <c r="D6"/>
      <c r="E6"/>
      <c r="F6"/>
      <c r="G6"/>
      <c r="H6"/>
      <c r="I6"/>
      <c r="J6"/>
      <c r="K6"/>
      <c r="L6"/>
      <c r="M6"/>
      <c r="N6"/>
    </row>
    <row r="7" spans="2:15" ht="15" x14ac:dyDescent="0.2">
      <c r="B7" s="47"/>
      <c r="C7" s="58" t="s">
        <v>12</v>
      </c>
      <c r="D7" s="58" t="str">
        <f>IF('Cover Page'!$C$63+0&lt;'Cover Page'!$C$64,"FY"&amp;TEXT(MOD('Cover Page'!$C$63+0,100),"00")&amp;"A","FY"&amp;TEXT(MOD('Cover Page'!$C$63+0,100),"00")&amp;"E")</f>
        <v>FY21A</v>
      </c>
      <c r="E7" s="58" t="str">
        <f>IF('Cover Page'!$C$63+1&lt;'Cover Page'!$C$64,"FY"&amp;TEXT(MOD('Cover Page'!$C$63+1,100),"00")&amp;"A","FY"&amp;TEXT(MOD('Cover Page'!$C$63+1,100),"00")&amp;"E")</f>
        <v>FY22A</v>
      </c>
      <c r="F7" s="58" t="str">
        <f>IF('Cover Page'!$C$63+2&lt;'Cover Page'!$C$64,"FY"&amp;TEXT(MOD('Cover Page'!$C$63+2,100),"00")&amp;"A","FY"&amp;TEXT(MOD('Cover Page'!$C$63+2,100),"00")&amp;"E")</f>
        <v>FY23A</v>
      </c>
      <c r="G7" s="58" t="str">
        <f>IF('Cover Page'!$C$63+3&lt;'Cover Page'!$C$64,"FY"&amp;TEXT(MOD('Cover Page'!$C$63+3,100),"00")&amp;"A","FY"&amp;TEXT(MOD('Cover Page'!$C$63+3,100),"00")&amp;"E")</f>
        <v>FY24A</v>
      </c>
      <c r="H7" s="58" t="str">
        <f>IF('Cover Page'!$C$63+4&lt;'Cover Page'!$C$64,"FY"&amp;TEXT(MOD('Cover Page'!$C$63+4,100),"00")&amp;"A","FY"&amp;TEXT(MOD('Cover Page'!$C$63+4,100),"00")&amp;"E")</f>
        <v>FY25A</v>
      </c>
      <c r="I7" s="59" t="str">
        <f>IF('Cover Page'!$C$63+5&lt;'Cover Page'!$C$64,"FY"&amp;TEXT(MOD('Cover Page'!$C$63+5,100),"00")&amp;"A","FY"&amp;TEXT(MOD('Cover Page'!$C$63+5,100),"00")&amp;"E")</f>
        <v>FY26E</v>
      </c>
      <c r="J7" s="59" t="str">
        <f>IF('Cover Page'!$C$63+6&lt;'Cover Page'!$C$64,"FY"&amp;TEXT(MOD('Cover Page'!$C$63+6,100),"00")&amp;"A","FY"&amp;TEXT(MOD('Cover Page'!$C$63+6,100),"00")&amp;"E")</f>
        <v>FY27E</v>
      </c>
      <c r="K7" s="59" t="str">
        <f>IF('Cover Page'!$C$63+7&lt;'Cover Page'!$C$64,"FY"&amp;TEXT(MOD('Cover Page'!$C$63+7,100),"00")&amp;"A","FY"&amp;TEXT(MOD('Cover Page'!$C$63+7,100),"00")&amp;"E")</f>
        <v>FY28E</v>
      </c>
      <c r="L7" s="59" t="str">
        <f>IF('Cover Page'!$C$63+8&lt;'Cover Page'!$C$64,"FY"&amp;TEXT(MOD('Cover Page'!$C$63+8,100),"00")&amp;"A","FY"&amp;TEXT(MOD('Cover Page'!$C$63+8,100),"00")&amp;"E")</f>
        <v>FY29E</v>
      </c>
      <c r="M7" s="59" t="str">
        <f>IF('Cover Page'!$C$63+9&lt;'Cover Page'!$C$64,"FY"&amp;TEXT(MOD('Cover Page'!$C$63+9,100),"00")&amp;"A","FY"&amp;TEXT(MOD('Cover Page'!$C$63+9,100),"00")&amp;"E")</f>
        <v>FY30E</v>
      </c>
      <c r="N7"/>
      <c r="O7" s="13" t="s">
        <v>60</v>
      </c>
    </row>
    <row r="8" spans="2:15" ht="16" customHeight="1" x14ac:dyDescent="0.2">
      <c r="B8"/>
      <c r="C8"/>
      <c r="D8"/>
      <c r="E8"/>
      <c r="F8"/>
      <c r="G8"/>
      <c r="H8"/>
      <c r="I8"/>
      <c r="J8"/>
      <c r="K8"/>
      <c r="L8"/>
      <c r="M8"/>
      <c r="N8"/>
      <c r="O8" s="3"/>
    </row>
    <row r="9" spans="2:15" ht="16" thickBot="1" x14ac:dyDescent="0.25">
      <c r="B9" s="167" t="s">
        <v>437</v>
      </c>
      <c r="C9" s="167"/>
      <c r="D9" s="167"/>
      <c r="E9" s="167"/>
      <c r="F9" s="167"/>
      <c r="G9" s="167"/>
      <c r="H9" s="167"/>
      <c r="I9" s="167"/>
      <c r="J9" s="167"/>
      <c r="K9" s="167"/>
      <c r="L9" s="167"/>
      <c r="M9" s="167"/>
      <c r="N9"/>
    </row>
    <row r="10" spans="2:15" ht="16" customHeight="1" x14ac:dyDescent="0.2">
      <c r="B10" s="53" t="s">
        <v>193</v>
      </c>
      <c r="C10" s="259" t="s">
        <v>14</v>
      </c>
      <c r="D10" s="362">
        <f>'Income Statement'!D40</f>
        <v>131.60000000000019</v>
      </c>
      <c r="E10" s="362">
        <f>'Income Statement'!E40</f>
        <v>117.60000000000046</v>
      </c>
      <c r="F10" s="362">
        <f>'Income Statement'!F40</f>
        <v>116.9999999999998</v>
      </c>
      <c r="G10" s="362">
        <f>'Income Statement'!G40</f>
        <v>155.30000000000038</v>
      </c>
      <c r="H10" s="362">
        <f>'Income Statement'!H40</f>
        <v>383.1</v>
      </c>
      <c r="I10" s="362">
        <f>'Income Statement'!I40</f>
        <v>466.49295600904134</v>
      </c>
      <c r="J10" s="362">
        <f>'Income Statement'!J40</f>
        <v>454.11060278925243</v>
      </c>
      <c r="K10" s="362">
        <f>'Income Statement'!K40</f>
        <v>444.41136112043387</v>
      </c>
      <c r="L10" s="362">
        <f>'Income Statement'!L40</f>
        <v>430.3616831461386</v>
      </c>
      <c r="M10" s="362">
        <f>'Income Statement'!M40</f>
        <v>427.7258671568402</v>
      </c>
      <c r="N10"/>
      <c r="O10" s="4" t="s">
        <v>440</v>
      </c>
    </row>
    <row r="11" spans="2:15" ht="15" x14ac:dyDescent="0.2">
      <c r="B11" s="5" t="s">
        <v>194</v>
      </c>
      <c r="C11" s="94" t="s">
        <v>14</v>
      </c>
      <c r="D11" s="294">
        <f>'Income Statement'!D26</f>
        <v>150.19999999999999</v>
      </c>
      <c r="E11" s="294">
        <f>'Income Statement'!E26</f>
        <v>164.4</v>
      </c>
      <c r="F11" s="294">
        <f>'Income Statement'!F26</f>
        <v>168.5</v>
      </c>
      <c r="G11" s="294">
        <f>'Income Statement'!G26</f>
        <v>170.8</v>
      </c>
      <c r="H11" s="294">
        <f>'Income Statement'!H26</f>
        <v>206.6</v>
      </c>
      <c r="I11" s="294">
        <f>'Income Statement'!I26</f>
        <v>226.37604871231105</v>
      </c>
      <c r="J11" s="294">
        <f>'Income Statement'!J26</f>
        <v>242.21361362561336</v>
      </c>
      <c r="K11" s="294">
        <f>'Income Statement'!K26</f>
        <v>249.2395750606087</v>
      </c>
      <c r="L11" s="294">
        <f>'Income Statement'!L26</f>
        <v>260.73444544122174</v>
      </c>
      <c r="M11" s="294">
        <f>'Income Statement'!M26</f>
        <v>267.02644421415937</v>
      </c>
      <c r="N11"/>
      <c r="O11" s="4" t="s">
        <v>441</v>
      </c>
    </row>
    <row r="12" spans="2:15" ht="15" x14ac:dyDescent="0.2">
      <c r="B12" s="5" t="s">
        <v>195</v>
      </c>
      <c r="C12" s="94" t="s">
        <v>14</v>
      </c>
      <c r="D12" s="294">
        <f>'Income Statement'!D55</f>
        <v>11.7</v>
      </c>
      <c r="E12" s="294">
        <f>'Income Statement'!E55</f>
        <v>14.4</v>
      </c>
      <c r="F12" s="294">
        <f>'Income Statement'!F55</f>
        <v>14.4</v>
      </c>
      <c r="G12" s="294">
        <f>'Income Statement'!G55</f>
        <v>25.9</v>
      </c>
      <c r="H12" s="294">
        <f>'Income Statement'!H55</f>
        <v>31.4</v>
      </c>
      <c r="I12" s="294">
        <f>'Income Statement'!I55</f>
        <v>34.82708441727862</v>
      </c>
      <c r="J12" s="294">
        <f>'Income Statement'!J55</f>
        <v>36.332042043842002</v>
      </c>
      <c r="K12" s="294">
        <f>'Income Statement'!K55</f>
        <v>37.385936259091302</v>
      </c>
      <c r="L12" s="294">
        <f>'Income Statement'!L55</f>
        <v>38.156260308471467</v>
      </c>
      <c r="M12" s="294">
        <f>'Income Statement'!M55</f>
        <v>39.077040616706249</v>
      </c>
      <c r="N12"/>
      <c r="O12" s="4" t="s">
        <v>442</v>
      </c>
    </row>
    <row r="13" spans="2:15" ht="15" x14ac:dyDescent="0.2">
      <c r="B13" s="5" t="s">
        <v>196</v>
      </c>
      <c r="C13" s="94" t="s">
        <v>14</v>
      </c>
      <c r="D13" s="10">
        <v>9.8000000000000007</v>
      </c>
      <c r="E13" s="10">
        <v>20.3</v>
      </c>
      <c r="F13" s="10">
        <v>24</v>
      </c>
      <c r="G13" s="10">
        <v>28.7</v>
      </c>
      <c r="H13" s="10">
        <v>25.7</v>
      </c>
      <c r="I13" s="10">
        <v>0</v>
      </c>
      <c r="J13" s="10">
        <v>0</v>
      </c>
      <c r="K13" s="10">
        <v>0</v>
      </c>
      <c r="L13" s="10">
        <v>0</v>
      </c>
      <c r="M13" s="10">
        <v>0</v>
      </c>
      <c r="N13"/>
      <c r="O13" s="4" t="s">
        <v>443</v>
      </c>
    </row>
    <row r="14" spans="2:15" ht="15" x14ac:dyDescent="0.2">
      <c r="B14" s="5" t="s">
        <v>197</v>
      </c>
      <c r="C14" s="94" t="s">
        <v>14</v>
      </c>
      <c r="D14" s="10">
        <v>-12.5</v>
      </c>
      <c r="E14" s="10">
        <v>-11.7</v>
      </c>
      <c r="F14" s="10">
        <v>-30.9</v>
      </c>
      <c r="G14" s="10">
        <v>-20.6</v>
      </c>
      <c r="H14" s="10">
        <v>12.6</v>
      </c>
      <c r="I14" s="10">
        <v>0</v>
      </c>
      <c r="J14" s="10">
        <v>0</v>
      </c>
      <c r="K14" s="10">
        <v>0</v>
      </c>
      <c r="L14" s="10">
        <v>0</v>
      </c>
      <c r="M14" s="10">
        <v>0</v>
      </c>
      <c r="N14"/>
      <c r="O14" s="4" t="s">
        <v>444</v>
      </c>
    </row>
    <row r="15" spans="2:15" ht="15" x14ac:dyDescent="0.2">
      <c r="B15" s="5" t="s">
        <v>198</v>
      </c>
      <c r="C15" s="94" t="s">
        <v>14</v>
      </c>
      <c r="D15" s="37">
        <f>369.7-SUM(D10:D14)</f>
        <v>78.899999999999807</v>
      </c>
      <c r="E15" s="37">
        <f>252.2-SUM(E10:E14)</f>
        <v>-52.800000000000466</v>
      </c>
      <c r="F15" s="37">
        <f>256.3-SUM(F10:F14)</f>
        <v>-36.699999999999761</v>
      </c>
      <c r="G15" s="37">
        <f>421.9-SUM(G10:G14)</f>
        <v>61.79999999999967</v>
      </c>
      <c r="H15" s="37">
        <f>679-SUM(H10:H14)</f>
        <v>19.599999999999909</v>
      </c>
      <c r="I15" s="294">
        <f>-('Balance Sheet'!I11-'Balance Sheet'!H11)-('Balance Sheet'!I12-'Balance Sheet'!H12)-('Balance Sheet'!I13-'Balance Sheet'!H13)-('Balance Sheet'!I14-'Balance Sheet'!H14)+('Balance Sheet'!I28-'Balance Sheet'!H28)+('Balance Sheet'!I30-'Balance Sheet'!H30)+('Balance Sheet'!I32-'Balance Sheet'!H32)+('Balance Sheet'!I33-'Balance Sheet'!H33)</f>
        <v>24.972375724068133</v>
      </c>
      <c r="J15" s="294">
        <f>-('Balance Sheet'!J11-'Balance Sheet'!I11)-('Balance Sheet'!J12-'Balance Sheet'!I12)-('Balance Sheet'!J13-'Balance Sheet'!I13)-('Balance Sheet'!J14-'Balance Sheet'!I14)+('Balance Sheet'!J28-'Balance Sheet'!I28)+('Balance Sheet'!J30-'Balance Sheet'!I30)+('Balance Sheet'!J32-'Balance Sheet'!I32)+('Balance Sheet'!J33-'Balance Sheet'!I33)</f>
        <v>15.646244362465872</v>
      </c>
      <c r="K15" s="294">
        <f>-('Balance Sheet'!K11-'Balance Sheet'!J11)-('Balance Sheet'!K12-'Balance Sheet'!J12)-('Balance Sheet'!K13-'Balance Sheet'!J13)-('Balance Sheet'!K14-'Balance Sheet'!J14)+('Balance Sheet'!K28-'Balance Sheet'!J28)+('Balance Sheet'!K30-'Balance Sheet'!J30)+('Balance Sheet'!K32-'Balance Sheet'!J32)+('Balance Sheet'!K33-'Balance Sheet'!J33)</f>
        <v>11.384203273408517</v>
      </c>
      <c r="L15" s="294">
        <f>-('Balance Sheet'!L11-'Balance Sheet'!K11)-('Balance Sheet'!L12-'Balance Sheet'!K12)-('Balance Sheet'!L13-'Balance Sheet'!K13)-('Balance Sheet'!L14-'Balance Sheet'!K14)+('Balance Sheet'!L28-'Balance Sheet'!K28)+('Balance Sheet'!L30-'Balance Sheet'!K30)+('Balance Sheet'!L32-'Balance Sheet'!K32)+('Balance Sheet'!L33-'Balance Sheet'!K33)</f>
        <v>8.7432339982400933</v>
      </c>
      <c r="M15" s="294">
        <f>-('Balance Sheet'!M11-'Balance Sheet'!L11)-('Balance Sheet'!M12-'Balance Sheet'!L12)-('Balance Sheet'!M13-'Balance Sheet'!L13)-('Balance Sheet'!M14-'Balance Sheet'!L14)+('Balance Sheet'!M28-'Balance Sheet'!L28)+('Balance Sheet'!M30-'Balance Sheet'!L30)+('Balance Sheet'!M32-'Balance Sheet'!L32)+('Balance Sheet'!M33-'Balance Sheet'!L33)</f>
        <v>10.280016665478428</v>
      </c>
      <c r="N15"/>
      <c r="O15" s="4" t="s">
        <v>445</v>
      </c>
    </row>
    <row r="16" spans="2:15" ht="15" x14ac:dyDescent="0.2">
      <c r="B16" s="271" t="s">
        <v>69</v>
      </c>
      <c r="C16" s="297" t="s">
        <v>14</v>
      </c>
      <c r="D16" s="412">
        <f>SUM(D10:D15)</f>
        <v>369.7</v>
      </c>
      <c r="E16" s="412">
        <f>SUM(E10:E15)</f>
        <v>252.2</v>
      </c>
      <c r="F16" s="412">
        <f>SUM(F10:F15)</f>
        <v>256.3</v>
      </c>
      <c r="G16" s="412">
        <f>SUM(G10:G15)</f>
        <v>421.9</v>
      </c>
      <c r="H16" s="412">
        <f>SUM(H10:H15)</f>
        <v>679</v>
      </c>
      <c r="I16" s="412">
        <f t="shared" ref="I16:M16" si="0">SUM(I10:I15)</f>
        <v>752.66846486269912</v>
      </c>
      <c r="J16" s="412">
        <f t="shared" si="0"/>
        <v>748.30250282117356</v>
      </c>
      <c r="K16" s="412">
        <f t="shared" si="0"/>
        <v>742.42107571354234</v>
      </c>
      <c r="L16" s="412">
        <f t="shared" si="0"/>
        <v>737.99562289407186</v>
      </c>
      <c r="M16" s="412">
        <f t="shared" si="0"/>
        <v>744.10936865318422</v>
      </c>
      <c r="N16"/>
    </row>
    <row r="17" spans="2:15" ht="15" x14ac:dyDescent="0.2">
      <c r="N17"/>
    </row>
    <row r="18" spans="2:15" ht="16" thickBot="1" x14ac:dyDescent="0.25">
      <c r="B18" s="167" t="s">
        <v>438</v>
      </c>
      <c r="C18" s="167"/>
      <c r="D18" s="167"/>
      <c r="E18" s="167"/>
      <c r="F18" s="167"/>
      <c r="G18" s="167"/>
      <c r="H18" s="167"/>
      <c r="I18" s="167"/>
      <c r="J18" s="167"/>
      <c r="K18" s="167"/>
      <c r="L18" s="167"/>
      <c r="M18" s="167"/>
      <c r="N18"/>
    </row>
    <row r="19" spans="2:15" ht="16" customHeight="1" x14ac:dyDescent="0.2">
      <c r="B19" s="292" t="s">
        <v>199</v>
      </c>
      <c r="C19" s="298" t="s">
        <v>14</v>
      </c>
      <c r="D19" s="295">
        <v>-94</v>
      </c>
      <c r="E19" s="295">
        <v>-150.30000000000001</v>
      </c>
      <c r="F19" s="295">
        <v>-184.9</v>
      </c>
      <c r="G19" s="295">
        <v>-198.9</v>
      </c>
      <c r="H19" s="295">
        <v>-265.3</v>
      </c>
      <c r="I19" s="296">
        <f>-Assumptions!I66</f>
        <v>-261.20313312958967</v>
      </c>
      <c r="J19" s="296">
        <f>-Assumptions!J66</f>
        <v>-264.92113990301459</v>
      </c>
      <c r="K19" s="296">
        <f>-Assumptions!K66</f>
        <v>-264.81704850189669</v>
      </c>
      <c r="L19" s="296">
        <f>-Assumptions!L66</f>
        <v>-262.32428962074135</v>
      </c>
      <c r="M19" s="296">
        <f>-Assumptions!M66</f>
        <v>-260.513604111375</v>
      </c>
      <c r="N19"/>
      <c r="O19" s="4" t="s">
        <v>446</v>
      </c>
    </row>
    <row r="20" spans="2:15" ht="15" x14ac:dyDescent="0.2">
      <c r="B20" s="5" t="s">
        <v>200</v>
      </c>
      <c r="C20" s="94" t="s">
        <v>14</v>
      </c>
      <c r="D20" s="10">
        <v>3.1</v>
      </c>
      <c r="E20" s="10">
        <v>-83.9</v>
      </c>
      <c r="F20" s="10">
        <v>10.7</v>
      </c>
      <c r="G20" s="10">
        <v>6.7</v>
      </c>
      <c r="H20" s="10">
        <v>1.9</v>
      </c>
      <c r="I20" s="10">
        <v>2</v>
      </c>
      <c r="J20" s="10">
        <v>2</v>
      </c>
      <c r="K20" s="10">
        <v>2</v>
      </c>
      <c r="L20" s="10">
        <v>2</v>
      </c>
      <c r="M20" s="10">
        <v>2</v>
      </c>
      <c r="N20"/>
      <c r="O20" s="4" t="s">
        <v>447</v>
      </c>
    </row>
    <row r="21" spans="2:15" ht="15" x14ac:dyDescent="0.2">
      <c r="B21" s="271" t="s">
        <v>70</v>
      </c>
      <c r="C21" s="297" t="s">
        <v>14</v>
      </c>
      <c r="D21" s="412">
        <f t="shared" ref="D21:M21" si="1">D19+D20</f>
        <v>-90.9</v>
      </c>
      <c r="E21" s="412">
        <f t="shared" si="1"/>
        <v>-234.20000000000002</v>
      </c>
      <c r="F21" s="412">
        <f t="shared" si="1"/>
        <v>-174.20000000000002</v>
      </c>
      <c r="G21" s="412">
        <f t="shared" si="1"/>
        <v>-192.20000000000002</v>
      </c>
      <c r="H21" s="412">
        <f t="shared" si="1"/>
        <v>-263.40000000000003</v>
      </c>
      <c r="I21" s="412">
        <f t="shared" si="1"/>
        <v>-259.20313312958967</v>
      </c>
      <c r="J21" s="412">
        <f t="shared" si="1"/>
        <v>-262.92113990301459</v>
      </c>
      <c r="K21" s="412">
        <f t="shared" si="1"/>
        <v>-262.81704850189669</v>
      </c>
      <c r="L21" s="412">
        <f t="shared" si="1"/>
        <v>-260.32428962074135</v>
      </c>
      <c r="M21" s="412">
        <f t="shared" si="1"/>
        <v>-258.513604111375</v>
      </c>
      <c r="N21"/>
    </row>
    <row r="22" spans="2:15" ht="15" x14ac:dyDescent="0.2">
      <c r="N22"/>
    </row>
    <row r="23" spans="2:15" ht="16" thickBot="1" x14ac:dyDescent="0.25">
      <c r="B23" s="203" t="s">
        <v>439</v>
      </c>
      <c r="C23" s="203"/>
      <c r="D23" s="203"/>
      <c r="E23" s="203"/>
      <c r="F23" s="203"/>
      <c r="G23" s="203"/>
      <c r="H23" s="203"/>
      <c r="I23" s="203"/>
      <c r="J23" s="203"/>
      <c r="K23" s="203"/>
      <c r="L23" s="203"/>
      <c r="M23" s="203"/>
      <c r="N23"/>
    </row>
    <row r="24" spans="2:15" ht="15" x14ac:dyDescent="0.2">
      <c r="B24" s="292" t="s">
        <v>201</v>
      </c>
      <c r="C24" s="298" t="s">
        <v>14</v>
      </c>
      <c r="D24" s="295">
        <v>-4.2</v>
      </c>
      <c r="E24" s="295">
        <v>-100.9</v>
      </c>
      <c r="F24" s="295">
        <v>-5</v>
      </c>
      <c r="G24" s="295">
        <v>-25.8</v>
      </c>
      <c r="H24" s="295">
        <v>-90.2</v>
      </c>
      <c r="I24" s="296">
        <f>-Assumptions!I71</f>
        <v>-273.98294838949846</v>
      </c>
      <c r="J24" s="296">
        <f>-Assumptions!J71</f>
        <v>-257.05335950273223</v>
      </c>
      <c r="K24" s="296">
        <f>-Assumptions!K71</f>
        <v>-242.11995002390492</v>
      </c>
      <c r="L24" s="296">
        <f>-Assumptions!L71</f>
        <v>-229.69541330655099</v>
      </c>
      <c r="M24" s="296">
        <f>-Assumptions!M71</f>
        <v>-222.25936196255148</v>
      </c>
      <c r="N24"/>
      <c r="O24" s="4" t="s">
        <v>448</v>
      </c>
    </row>
    <row r="25" spans="2:15" ht="16" customHeight="1" x14ac:dyDescent="0.2">
      <c r="B25" s="5" t="s">
        <v>202</v>
      </c>
      <c r="C25" s="94" t="s">
        <v>14</v>
      </c>
      <c r="D25" s="10">
        <v>-1.5</v>
      </c>
      <c r="E25" s="10">
        <v>-1.1000000000000001</v>
      </c>
      <c r="F25" s="10">
        <v>-0.6</v>
      </c>
      <c r="G25" s="10">
        <v>-0.2</v>
      </c>
      <c r="H25" s="10">
        <v>0</v>
      </c>
      <c r="I25" s="294">
        <f>-Assumptions!I72</f>
        <v>0</v>
      </c>
      <c r="J25" s="294">
        <f>-Assumptions!J72</f>
        <v>0</v>
      </c>
      <c r="K25" s="294">
        <f>-Assumptions!K72</f>
        <v>0</v>
      </c>
      <c r="L25" s="294">
        <f>-Assumptions!L72</f>
        <v>0</v>
      </c>
      <c r="M25" s="294">
        <f>-Assumptions!M72</f>
        <v>0</v>
      </c>
      <c r="N25"/>
      <c r="O25" s="4" t="s">
        <v>449</v>
      </c>
    </row>
    <row r="26" spans="2:15" ht="15" x14ac:dyDescent="0.2">
      <c r="B26" s="5" t="s">
        <v>203</v>
      </c>
      <c r="C26" s="94" t="s">
        <v>14</v>
      </c>
      <c r="D26" s="10">
        <v>-321.60000000000002</v>
      </c>
      <c r="E26" s="10">
        <v>76.3</v>
      </c>
      <c r="F26" s="10">
        <v>-82.1</v>
      </c>
      <c r="G26" s="10">
        <v>-181.4</v>
      </c>
      <c r="H26" s="10">
        <v>-375.8</v>
      </c>
      <c r="I26" s="10">
        <v>0</v>
      </c>
      <c r="J26" s="10">
        <v>0</v>
      </c>
      <c r="K26" s="10">
        <v>0</v>
      </c>
      <c r="L26" s="10">
        <v>0</v>
      </c>
      <c r="M26" s="10">
        <v>0</v>
      </c>
      <c r="N26"/>
      <c r="O26" s="4" t="s">
        <v>450</v>
      </c>
    </row>
    <row r="27" spans="2:15" ht="15" x14ac:dyDescent="0.2">
      <c r="B27" s="5" t="s">
        <v>204</v>
      </c>
      <c r="C27" s="94" t="s">
        <v>14</v>
      </c>
      <c r="D27" s="10">
        <v>28.5</v>
      </c>
      <c r="E27" s="10">
        <v>-2.7</v>
      </c>
      <c r="F27" s="10">
        <v>7.2</v>
      </c>
      <c r="G27" s="10">
        <v>27.2</v>
      </c>
      <c r="H27" s="10">
        <v>4.7</v>
      </c>
      <c r="I27" s="10">
        <v>5</v>
      </c>
      <c r="J27" s="10">
        <v>5</v>
      </c>
      <c r="K27" s="10">
        <v>5</v>
      </c>
      <c r="L27" s="10">
        <v>5</v>
      </c>
      <c r="M27" s="10">
        <v>5</v>
      </c>
      <c r="N27"/>
      <c r="O27" s="4" t="s">
        <v>451</v>
      </c>
    </row>
    <row r="28" spans="2:15" ht="15" x14ac:dyDescent="0.2">
      <c r="B28" s="271" t="s">
        <v>71</v>
      </c>
      <c r="C28" s="297" t="s">
        <v>14</v>
      </c>
      <c r="D28" s="412">
        <f t="shared" ref="D28:M28" si="2">SUM(D24:D27)</f>
        <v>-298.8</v>
      </c>
      <c r="E28" s="412">
        <f t="shared" si="2"/>
        <v>-28.400000000000002</v>
      </c>
      <c r="F28" s="412">
        <f t="shared" si="2"/>
        <v>-80.499999999999986</v>
      </c>
      <c r="G28" s="412">
        <f t="shared" si="2"/>
        <v>-180.20000000000002</v>
      </c>
      <c r="H28" s="412">
        <f t="shared" si="2"/>
        <v>-461.3</v>
      </c>
      <c r="I28" s="412">
        <f t="shared" si="2"/>
        <v>-268.98294838949846</v>
      </c>
      <c r="J28" s="412">
        <f t="shared" si="2"/>
        <v>-252.05335950273223</v>
      </c>
      <c r="K28" s="412">
        <f t="shared" si="2"/>
        <v>-237.11995002390492</v>
      </c>
      <c r="L28" s="412">
        <f t="shared" si="2"/>
        <v>-224.69541330655099</v>
      </c>
      <c r="M28" s="412">
        <f t="shared" si="2"/>
        <v>-217.25936196255148</v>
      </c>
      <c r="N28"/>
    </row>
    <row r="29" spans="2:15" ht="15" x14ac:dyDescent="0.2">
      <c r="N29"/>
    </row>
    <row r="30" spans="2:15" ht="15" x14ac:dyDescent="0.2">
      <c r="B30" s="68" t="s">
        <v>205</v>
      </c>
      <c r="C30" s="259" t="s">
        <v>14</v>
      </c>
      <c r="D30" s="419">
        <f t="shared" ref="D30:M30" si="3">D16+D21+D28</f>
        <v>-20.000000000000057</v>
      </c>
      <c r="E30" s="419">
        <f t="shared" si="3"/>
        <v>-10.400000000000031</v>
      </c>
      <c r="F30" s="419">
        <f t="shared" si="3"/>
        <v>1.6000000000000085</v>
      </c>
      <c r="G30" s="419">
        <f t="shared" si="3"/>
        <v>49.499999999999943</v>
      </c>
      <c r="H30" s="419">
        <f t="shared" si="3"/>
        <v>-45.700000000000045</v>
      </c>
      <c r="I30" s="419">
        <f t="shared" si="3"/>
        <v>224.48238334361099</v>
      </c>
      <c r="J30" s="419">
        <f t="shared" si="3"/>
        <v>233.32800341542674</v>
      </c>
      <c r="K30" s="419">
        <f t="shared" si="3"/>
        <v>242.48407718774072</v>
      </c>
      <c r="L30" s="419">
        <f t="shared" si="3"/>
        <v>252.97591996677951</v>
      </c>
      <c r="M30" s="419">
        <f t="shared" si="3"/>
        <v>268.33640257925776</v>
      </c>
      <c r="N30"/>
      <c r="O30" s="4" t="s">
        <v>452</v>
      </c>
    </row>
    <row r="31" spans="2:15" ht="15" x14ac:dyDescent="0.2">
      <c r="B31" s="5" t="s">
        <v>206</v>
      </c>
      <c r="C31" s="94" t="s">
        <v>14</v>
      </c>
      <c r="D31" s="10">
        <v>43.9</v>
      </c>
      <c r="E31" s="37">
        <f>D32</f>
        <v>23.899999999999942</v>
      </c>
      <c r="F31" s="37">
        <f>E32</f>
        <v>13.499999999999911</v>
      </c>
      <c r="G31" s="37">
        <f>F32</f>
        <v>15.09999999999992</v>
      </c>
      <c r="H31" s="10">
        <v>64.599999999999994</v>
      </c>
      <c r="I31" s="294">
        <f>'Balance Sheet'!H10</f>
        <v>18.899999999999999</v>
      </c>
      <c r="J31" s="37">
        <f>I32</f>
        <v>243.382383343611</v>
      </c>
      <c r="K31" s="37">
        <f>J32</f>
        <v>476.71038675903776</v>
      </c>
      <c r="L31" s="37">
        <f>K32</f>
        <v>719.19446394677846</v>
      </c>
      <c r="M31" s="37">
        <f>L32</f>
        <v>972.170383913558</v>
      </c>
      <c r="N31"/>
      <c r="O31" s="4" t="s">
        <v>453</v>
      </c>
    </row>
    <row r="32" spans="2:15" ht="16" customHeight="1" x14ac:dyDescent="0.2">
      <c r="B32" s="271" t="s">
        <v>207</v>
      </c>
      <c r="C32" s="297" t="s">
        <v>14</v>
      </c>
      <c r="D32" s="412">
        <f t="shared" ref="D32:M32" si="4">D30+D31</f>
        <v>23.899999999999942</v>
      </c>
      <c r="E32" s="412">
        <f t="shared" si="4"/>
        <v>13.499999999999911</v>
      </c>
      <c r="F32" s="412">
        <f t="shared" si="4"/>
        <v>15.09999999999992</v>
      </c>
      <c r="G32" s="412">
        <f t="shared" si="4"/>
        <v>64.599999999999866</v>
      </c>
      <c r="H32" s="412">
        <f t="shared" si="4"/>
        <v>18.899999999999949</v>
      </c>
      <c r="I32" s="412">
        <f t="shared" si="4"/>
        <v>243.382383343611</v>
      </c>
      <c r="J32" s="412">
        <f t="shared" si="4"/>
        <v>476.71038675903776</v>
      </c>
      <c r="K32" s="412">
        <f t="shared" si="4"/>
        <v>719.19446394677846</v>
      </c>
      <c r="L32" s="412">
        <f t="shared" si="4"/>
        <v>972.170383913558</v>
      </c>
      <c r="M32" s="412">
        <f t="shared" si="4"/>
        <v>1240.5067864928158</v>
      </c>
      <c r="N32"/>
    </row>
    <row r="33" spans="2:15" ht="15" x14ac:dyDescent="0.2">
      <c r="C33" s="55"/>
      <c r="N33"/>
    </row>
    <row r="34" spans="2:15" ht="16" thickBot="1" x14ac:dyDescent="0.25">
      <c r="B34" s="203" t="s">
        <v>73</v>
      </c>
      <c r="C34" s="228"/>
      <c r="D34" s="203"/>
      <c r="E34" s="203"/>
      <c r="F34" s="203"/>
      <c r="G34" s="203"/>
      <c r="H34" s="203"/>
      <c r="I34" s="203"/>
      <c r="J34" s="203"/>
      <c r="K34" s="203"/>
      <c r="L34" s="203"/>
      <c r="M34" s="203"/>
      <c r="N34"/>
    </row>
    <row r="35" spans="2:15" ht="15" x14ac:dyDescent="0.2">
      <c r="B35" s="292" t="s">
        <v>72</v>
      </c>
      <c r="C35" s="298" t="s">
        <v>14</v>
      </c>
      <c r="D35" s="420">
        <f t="shared" ref="D35:M35" si="5">D16</f>
        <v>369.7</v>
      </c>
      <c r="E35" s="420">
        <f t="shared" si="5"/>
        <v>252.2</v>
      </c>
      <c r="F35" s="420">
        <f t="shared" si="5"/>
        <v>256.3</v>
      </c>
      <c r="G35" s="420">
        <f t="shared" si="5"/>
        <v>421.9</v>
      </c>
      <c r="H35" s="420">
        <f t="shared" si="5"/>
        <v>679</v>
      </c>
      <c r="I35" s="420">
        <f t="shared" si="5"/>
        <v>752.66846486269912</v>
      </c>
      <c r="J35" s="420">
        <f t="shared" si="5"/>
        <v>748.30250282117356</v>
      </c>
      <c r="K35" s="420">
        <f t="shared" si="5"/>
        <v>742.42107571354234</v>
      </c>
      <c r="L35" s="420">
        <f t="shared" si="5"/>
        <v>737.99562289407186</v>
      </c>
      <c r="M35" s="420">
        <f t="shared" si="5"/>
        <v>744.10936865318422</v>
      </c>
      <c r="N35"/>
      <c r="O35" s="4" t="s">
        <v>454</v>
      </c>
    </row>
    <row r="36" spans="2:15" ht="15" x14ac:dyDescent="0.2">
      <c r="B36" s="5" t="s">
        <v>208</v>
      </c>
      <c r="C36" s="94" t="s">
        <v>14</v>
      </c>
      <c r="D36" s="37">
        <f t="shared" ref="D36:M36" si="6">D19</f>
        <v>-94</v>
      </c>
      <c r="E36" s="37">
        <f t="shared" si="6"/>
        <v>-150.30000000000001</v>
      </c>
      <c r="F36" s="37">
        <f t="shared" si="6"/>
        <v>-184.9</v>
      </c>
      <c r="G36" s="37">
        <f t="shared" si="6"/>
        <v>-198.9</v>
      </c>
      <c r="H36" s="37">
        <f t="shared" si="6"/>
        <v>-265.3</v>
      </c>
      <c r="I36" s="37">
        <f t="shared" si="6"/>
        <v>-261.20313312958967</v>
      </c>
      <c r="J36" s="37">
        <f t="shared" si="6"/>
        <v>-264.92113990301459</v>
      </c>
      <c r="K36" s="37">
        <f t="shared" si="6"/>
        <v>-264.81704850189669</v>
      </c>
      <c r="L36" s="37">
        <f t="shared" si="6"/>
        <v>-262.32428962074135</v>
      </c>
      <c r="M36" s="37">
        <f t="shared" si="6"/>
        <v>-260.513604111375</v>
      </c>
      <c r="N36"/>
      <c r="O36" s="4" t="s">
        <v>455</v>
      </c>
    </row>
    <row r="37" spans="2:15" ht="15" x14ac:dyDescent="0.2">
      <c r="B37" s="5" t="s">
        <v>461</v>
      </c>
      <c r="C37" s="94" t="s">
        <v>14</v>
      </c>
      <c r="D37" s="294">
        <f>-'Income Statement'!D55</f>
        <v>-11.7</v>
      </c>
      <c r="E37" s="294">
        <f>-'Income Statement'!E55</f>
        <v>-14.4</v>
      </c>
      <c r="F37" s="294">
        <f>-'Income Statement'!F55</f>
        <v>-14.4</v>
      </c>
      <c r="G37" s="294">
        <f>-'Income Statement'!G55</f>
        <v>-25.9</v>
      </c>
      <c r="H37" s="294">
        <f>-'Income Statement'!H55</f>
        <v>-31.4</v>
      </c>
      <c r="I37" s="294">
        <f>-'Income Statement'!I55</f>
        <v>-34.82708441727862</v>
      </c>
      <c r="J37" s="294">
        <f>-'Income Statement'!J55</f>
        <v>-36.332042043842002</v>
      </c>
      <c r="K37" s="294">
        <f>-'Income Statement'!K55</f>
        <v>-37.385936259091302</v>
      </c>
      <c r="L37" s="294">
        <f>-'Income Statement'!L55</f>
        <v>-38.156260308471467</v>
      </c>
      <c r="M37" s="294">
        <f>-'Income Statement'!M55</f>
        <v>-39.077040616706249</v>
      </c>
      <c r="N37"/>
    </row>
    <row r="38" spans="2:15" ht="16" customHeight="1" x14ac:dyDescent="0.2">
      <c r="B38" s="293" t="s">
        <v>73</v>
      </c>
      <c r="C38" s="299" t="s">
        <v>14</v>
      </c>
      <c r="D38" s="459">
        <f>D35+D36+D37</f>
        <v>264</v>
      </c>
      <c r="E38" s="459">
        <f t="shared" ref="E38:M38" si="7">E35+E36+E37</f>
        <v>87.499999999999972</v>
      </c>
      <c r="F38" s="459">
        <f t="shared" si="7"/>
        <v>57.000000000000007</v>
      </c>
      <c r="G38" s="459">
        <f t="shared" si="7"/>
        <v>197.09999999999997</v>
      </c>
      <c r="H38" s="459">
        <f t="shared" si="7"/>
        <v>382.3</v>
      </c>
      <c r="I38" s="459">
        <f t="shared" si="7"/>
        <v>456.63824731583082</v>
      </c>
      <c r="J38" s="459">
        <f t="shared" si="7"/>
        <v>447.04932087431695</v>
      </c>
      <c r="K38" s="459">
        <f t="shared" si="7"/>
        <v>440.21809095255435</v>
      </c>
      <c r="L38" s="459">
        <f t="shared" si="7"/>
        <v>437.51507296485903</v>
      </c>
      <c r="M38" s="459">
        <f t="shared" si="7"/>
        <v>444.51872392510296</v>
      </c>
      <c r="N38"/>
      <c r="O38" s="4" t="s">
        <v>456</v>
      </c>
    </row>
    <row r="39" spans="2:15" ht="15" x14ac:dyDescent="0.2">
      <c r="B39" s="5" t="s">
        <v>209</v>
      </c>
      <c r="C39" s="94" t="s">
        <v>2</v>
      </c>
      <c r="D39" s="356">
        <f>D38/'Income Statement'!D13</f>
        <v>7.9094014021211578E-2</v>
      </c>
      <c r="E39" s="356">
        <f>E38/'Income Statement'!E13</f>
        <v>2.300149838332325E-2</v>
      </c>
      <c r="F39" s="356">
        <f>F38/'Income Statement'!F13</f>
        <v>1.4059840655139244E-2</v>
      </c>
      <c r="G39" s="356">
        <f>G38/'Income Statement'!G13</f>
        <v>4.4642250458653249E-2</v>
      </c>
      <c r="H39" s="356">
        <f>H38/'Income Statement'!H13</f>
        <v>7.1004048883771043E-2</v>
      </c>
      <c r="I39" s="356">
        <f>I38/'Income Statement'!I13</f>
        <v>7.8669504775877377E-2</v>
      </c>
      <c r="J39" s="356">
        <f>J38/'Income Statement'!J13</f>
        <v>7.3827282320359691E-2</v>
      </c>
      <c r="K39" s="356">
        <f>K38/'Income Statement'!K13</f>
        <v>7.0649790001528379E-2</v>
      </c>
      <c r="L39" s="356">
        <f>L38/'Income Statement'!L13</f>
        <v>6.8798420405113192E-2</v>
      </c>
      <c r="M39" s="356">
        <f>M38/'Income Statement'!M13</f>
        <v>6.8252669635642055E-2</v>
      </c>
      <c r="N39" s="465"/>
      <c r="O39" s="472" t="s">
        <v>457</v>
      </c>
    </row>
    <row r="40" spans="2:15" ht="15" x14ac:dyDescent="0.2">
      <c r="B40" s="5" t="s">
        <v>210</v>
      </c>
      <c r="C40" s="94" t="s">
        <v>36</v>
      </c>
      <c r="D40" s="294">
        <f>D38/'Income Statement'!D44</f>
        <v>5.6531049250535332</v>
      </c>
      <c r="E40" s="294">
        <f>E38/'Income Statement'!E44</f>
        <v>1.9273127753303958</v>
      </c>
      <c r="F40" s="294">
        <f>F38/'Income Statement'!F44</f>
        <v>1.2582781456953644</v>
      </c>
      <c r="G40" s="294">
        <f>G38/'Income Statement'!G44</f>
        <v>4.379999999999999</v>
      </c>
      <c r="H40" s="294">
        <f>H38/'Income Statement'!H44</f>
        <v>8.4021978021978025</v>
      </c>
      <c r="I40" s="294">
        <f>I38/'Income Statement'!I44</f>
        <v>10.360140489089664</v>
      </c>
      <c r="J40" s="294">
        <f>J38/'Income Statement'!J44</f>
        <v>10.454204055749475</v>
      </c>
      <c r="K40" s="294">
        <f>K38/'Income Statement'!K44</f>
        <v>10.596434924090063</v>
      </c>
      <c r="L40" s="294">
        <f>L38/'Income Statement'!L44</f>
        <v>10.828544535976867</v>
      </c>
      <c r="M40" s="294">
        <f>M38/'Income Statement'!M44</f>
        <v>11.307026059435813</v>
      </c>
      <c r="N40"/>
      <c r="O40" s="4" t="s">
        <v>458</v>
      </c>
    </row>
    <row r="41" spans="2:15" ht="15" x14ac:dyDescent="0.2">
      <c r="B41"/>
      <c r="C41"/>
      <c r="D41"/>
      <c r="E41"/>
      <c r="F41"/>
      <c r="G41"/>
      <c r="H41"/>
      <c r="I41"/>
      <c r="J41"/>
      <c r="K41"/>
      <c r="L41"/>
      <c r="M41"/>
      <c r="N41"/>
    </row>
    <row r="42" spans="2:15" ht="15" x14ac:dyDescent="0.2">
      <c r="B42"/>
      <c r="C42"/>
      <c r="D42"/>
      <c r="E42"/>
      <c r="F42"/>
      <c r="G42"/>
      <c r="H42"/>
      <c r="I42"/>
      <c r="J42"/>
      <c r="K42"/>
      <c r="L42"/>
      <c r="M42"/>
      <c r="N42"/>
    </row>
    <row r="43" spans="2:15" ht="15" x14ac:dyDescent="0.2">
      <c r="B43"/>
      <c r="C43"/>
      <c r="D43"/>
      <c r="E43"/>
      <c r="F43"/>
      <c r="G43"/>
      <c r="H43"/>
      <c r="I43"/>
      <c r="J43"/>
      <c r="K43"/>
      <c r="L43"/>
      <c r="M43"/>
      <c r="N43"/>
    </row>
    <row r="44" spans="2:15" ht="15" x14ac:dyDescent="0.2">
      <c r="B44"/>
      <c r="C44"/>
      <c r="D44"/>
      <c r="E44"/>
      <c r="F44"/>
      <c r="G44"/>
      <c r="H44"/>
      <c r="I44"/>
      <c r="J44"/>
      <c r="K44"/>
      <c r="L44"/>
      <c r="M44"/>
      <c r="N44"/>
    </row>
    <row r="45" spans="2:15" ht="15" x14ac:dyDescent="0.2">
      <c r="B45"/>
      <c r="C45"/>
      <c r="D45"/>
      <c r="E45"/>
      <c r="F45"/>
      <c r="G45"/>
      <c r="H45"/>
      <c r="I45"/>
      <c r="J45"/>
      <c r="K45"/>
      <c r="L45"/>
      <c r="M45"/>
      <c r="N45"/>
      <c r="O45" s="1"/>
    </row>
    <row r="46" spans="2:15" ht="15" x14ac:dyDescent="0.2">
      <c r="B46"/>
      <c r="C46"/>
      <c r="D46"/>
      <c r="E46"/>
      <c r="F46"/>
      <c r="G46"/>
      <c r="H46"/>
      <c r="I46"/>
      <c r="J46"/>
      <c r="K46"/>
      <c r="L46"/>
      <c r="M46"/>
      <c r="N46"/>
    </row>
    <row r="47" spans="2:15" ht="15" x14ac:dyDescent="0.2">
      <c r="B47"/>
      <c r="C47"/>
      <c r="D47"/>
      <c r="E47"/>
      <c r="F47"/>
      <c r="G47"/>
      <c r="H47"/>
      <c r="I47"/>
      <c r="J47"/>
      <c r="K47"/>
      <c r="L47"/>
      <c r="M47"/>
      <c r="N47"/>
    </row>
    <row r="48" spans="2:15" ht="15" x14ac:dyDescent="0.2">
      <c r="B48"/>
      <c r="C48"/>
      <c r="D48"/>
      <c r="E48"/>
      <c r="F48"/>
      <c r="G48"/>
      <c r="H48"/>
      <c r="I48"/>
      <c r="J48"/>
      <c r="K48"/>
      <c r="L48"/>
      <c r="M48"/>
      <c r="N48"/>
    </row>
    <row r="49" spans="2:14" ht="15" x14ac:dyDescent="0.2">
      <c r="B49"/>
      <c r="C49"/>
      <c r="D49"/>
      <c r="E49"/>
      <c r="F49"/>
      <c r="G49"/>
      <c r="H49"/>
      <c r="I49"/>
      <c r="J49"/>
      <c r="K49"/>
      <c r="L49"/>
      <c r="M49"/>
      <c r="N49"/>
    </row>
    <row r="50" spans="2:14" ht="15" x14ac:dyDescent="0.2">
      <c r="B50"/>
      <c r="C50"/>
      <c r="D50"/>
      <c r="E50"/>
      <c r="F50"/>
      <c r="G50"/>
      <c r="H50"/>
      <c r="I50"/>
      <c r="J50"/>
      <c r="K50"/>
      <c r="L50"/>
      <c r="M50"/>
      <c r="N50"/>
    </row>
    <row r="51" spans="2:14" ht="15" x14ac:dyDescent="0.2">
      <c r="B51"/>
      <c r="C51"/>
      <c r="D51"/>
      <c r="E51"/>
      <c r="F51"/>
      <c r="G51"/>
      <c r="H51"/>
      <c r="I51"/>
      <c r="J51"/>
      <c r="K51"/>
      <c r="L51"/>
      <c r="M51"/>
      <c r="N51"/>
    </row>
    <row r="52" spans="2:14" ht="15" x14ac:dyDescent="0.2">
      <c r="B52"/>
      <c r="C52"/>
      <c r="D52"/>
      <c r="E52"/>
      <c r="F52"/>
      <c r="G52"/>
      <c r="H52"/>
      <c r="I52"/>
      <c r="J52"/>
      <c r="K52"/>
      <c r="L52"/>
      <c r="M52"/>
      <c r="N52"/>
    </row>
    <row r="53" spans="2:14" ht="15" x14ac:dyDescent="0.2">
      <c r="B53"/>
      <c r="C53"/>
      <c r="D53"/>
      <c r="E53"/>
      <c r="F53"/>
      <c r="G53"/>
      <c r="H53"/>
      <c r="I53"/>
      <c r="J53"/>
      <c r="K53"/>
      <c r="L53"/>
      <c r="M53"/>
      <c r="N53"/>
    </row>
  </sheetData>
  <pageMargins left="0.75" right="0.75" top="1" bottom="1" header="0.5" footer="0.5"/>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O85"/>
  <sheetViews>
    <sheetView showGridLines="0" zoomScaleNormal="100" workbookViewId="0"/>
  </sheetViews>
  <sheetFormatPr baseColWidth="10" defaultColWidth="8.83203125" defaultRowHeight="14" outlineLevelRow="1" x14ac:dyDescent="0.2"/>
  <cols>
    <col min="1" max="1" width="2.33203125" style="3" customWidth="1"/>
    <col min="2" max="2" width="35" style="3" customWidth="1"/>
    <col min="3" max="13" width="10.83203125" style="3" customWidth="1"/>
    <col min="14" max="14" width="8.83203125" style="3" customWidth="1"/>
    <col min="15" max="15" width="53.33203125" style="3" customWidth="1"/>
    <col min="16" max="17" width="8.83203125" style="3" customWidth="1"/>
    <col min="18" max="16384" width="8.83203125" style="3"/>
  </cols>
  <sheetData>
    <row r="2" spans="2:15" ht="19" customHeight="1" x14ac:dyDescent="0.2">
      <c r="B2" s="21" t="s">
        <v>459</v>
      </c>
    </row>
    <row r="3" spans="2:15" x14ac:dyDescent="0.2">
      <c r="B3" s="2" t="s">
        <v>131</v>
      </c>
    </row>
    <row r="4" spans="2:15" x14ac:dyDescent="0.2">
      <c r="B4" s="2" t="s">
        <v>0</v>
      </c>
    </row>
    <row r="5" spans="2:15" x14ac:dyDescent="0.2">
      <c r="B5" s="2"/>
    </row>
    <row r="6" spans="2:15" x14ac:dyDescent="0.2">
      <c r="B6" s="302" t="s">
        <v>472</v>
      </c>
      <c r="O6" s="4"/>
    </row>
    <row r="7" spans="2:15" x14ac:dyDescent="0.2">
      <c r="B7" s="2" t="s">
        <v>460</v>
      </c>
    </row>
    <row r="8" spans="2:15" ht="26" customHeight="1" x14ac:dyDescent="0.2">
      <c r="B8" s="376" t="s">
        <v>542</v>
      </c>
      <c r="C8" s="376"/>
      <c r="D8" s="376"/>
      <c r="E8" s="376"/>
      <c r="F8" s="376"/>
      <c r="G8" s="376"/>
      <c r="H8" s="376"/>
      <c r="I8" s="376"/>
      <c r="J8" s="376"/>
    </row>
    <row r="10" spans="2:15" ht="16" customHeight="1" thickBot="1" x14ac:dyDescent="0.25">
      <c r="B10" s="301" t="s">
        <v>473</v>
      </c>
      <c r="C10" s="38" t="s">
        <v>12</v>
      </c>
      <c r="D10" s="50"/>
      <c r="E10" s="50"/>
      <c r="F10" s="50"/>
      <c r="G10" s="50"/>
      <c r="H10" s="50"/>
      <c r="I10" s="50"/>
      <c r="J10" s="50"/>
      <c r="K10" s="50"/>
      <c r="L10" s="50"/>
      <c r="M10" s="50"/>
      <c r="O10" s="313" t="s">
        <v>60</v>
      </c>
    </row>
    <row r="11" spans="2:15" x14ac:dyDescent="0.2">
      <c r="B11" s="8" t="s">
        <v>1</v>
      </c>
      <c r="C11" s="23" t="s">
        <v>2</v>
      </c>
      <c r="D11" s="505">
        <f>Assumptions!D78</f>
        <v>4.3099999999999999E-2</v>
      </c>
      <c r="E11" s="506"/>
      <c r="F11" s="506"/>
      <c r="G11" s="506"/>
      <c r="H11" s="506"/>
      <c r="I11" s="506"/>
      <c r="J11" s="506"/>
      <c r="K11" s="506"/>
      <c r="L11" s="506"/>
      <c r="M11" s="506"/>
      <c r="N11" s="507"/>
      <c r="O11" s="508" t="s">
        <v>543</v>
      </c>
    </row>
    <row r="12" spans="2:15" x14ac:dyDescent="0.2">
      <c r="B12" s="7" t="s">
        <v>3</v>
      </c>
      <c r="C12" s="25" t="s">
        <v>2</v>
      </c>
      <c r="D12" s="509">
        <f>Assumptions!D79</f>
        <v>5.5E-2</v>
      </c>
      <c r="E12" s="319"/>
      <c r="F12" s="319"/>
      <c r="G12" s="319"/>
      <c r="H12" s="319"/>
      <c r="I12" s="319"/>
      <c r="J12" s="319"/>
      <c r="K12" s="319"/>
      <c r="L12" s="319"/>
      <c r="M12" s="319"/>
      <c r="N12" s="507"/>
      <c r="O12" s="508"/>
    </row>
    <row r="13" spans="2:15" x14ac:dyDescent="0.2">
      <c r="B13" s="7" t="s">
        <v>98</v>
      </c>
      <c r="C13" s="25" t="s">
        <v>4</v>
      </c>
      <c r="D13" s="303">
        <f>Assumptions!D81</f>
        <v>1.1675</v>
      </c>
      <c r="E13" s="5"/>
      <c r="F13" s="5"/>
      <c r="G13" s="5"/>
      <c r="H13" s="5"/>
      <c r="I13" s="5"/>
      <c r="J13" s="5"/>
      <c r="K13" s="5"/>
      <c r="L13" s="5"/>
      <c r="M13" s="5"/>
      <c r="O13" s="368"/>
    </row>
    <row r="14" spans="2:15" x14ac:dyDescent="0.2">
      <c r="B14" s="7" t="s">
        <v>5</v>
      </c>
      <c r="C14" s="25" t="s">
        <v>2</v>
      </c>
      <c r="D14" s="356">
        <f>Assumptions!D82</f>
        <v>0.10731250000000001</v>
      </c>
      <c r="E14" s="319"/>
      <c r="F14" s="319"/>
      <c r="G14" s="319"/>
      <c r="H14" s="319"/>
      <c r="I14" s="319"/>
      <c r="J14" s="319"/>
      <c r="K14" s="319"/>
      <c r="L14" s="319"/>
      <c r="M14" s="319"/>
      <c r="N14" s="507"/>
      <c r="O14" s="508"/>
    </row>
    <row r="15" spans="2:15" x14ac:dyDescent="0.2">
      <c r="B15" s="7" t="s">
        <v>6</v>
      </c>
      <c r="C15" s="25" t="s">
        <v>2</v>
      </c>
      <c r="D15" s="509">
        <f>Assumptions!D83</f>
        <v>7.8757557436517536E-2</v>
      </c>
      <c r="E15" s="319"/>
      <c r="F15" s="319"/>
      <c r="G15" s="319"/>
      <c r="H15" s="319"/>
      <c r="I15" s="319"/>
      <c r="J15" s="319"/>
      <c r="K15" s="319"/>
      <c r="L15" s="319"/>
      <c r="M15" s="319"/>
      <c r="N15" s="507"/>
      <c r="O15" s="508"/>
    </row>
    <row r="16" spans="2:15" x14ac:dyDescent="0.2">
      <c r="B16" s="7" t="s">
        <v>7</v>
      </c>
      <c r="C16" s="25" t="s">
        <v>2</v>
      </c>
      <c r="D16" s="356">
        <f>Assumptions!M59</f>
        <v>0.23</v>
      </c>
      <c r="E16" s="319"/>
      <c r="F16" s="319"/>
      <c r="G16" s="319"/>
      <c r="H16" s="319"/>
      <c r="I16" s="319"/>
      <c r="J16" s="319"/>
      <c r="K16" s="319"/>
      <c r="L16" s="319"/>
      <c r="M16" s="319"/>
      <c r="N16" s="507"/>
      <c r="O16" s="508"/>
    </row>
    <row r="17" spans="2:15" x14ac:dyDescent="0.2">
      <c r="B17" s="7" t="s">
        <v>8</v>
      </c>
      <c r="C17" s="25" t="s">
        <v>2</v>
      </c>
      <c r="D17" s="383">
        <f>D15*(1-D16)</f>
        <v>6.0643319226118507E-2</v>
      </c>
      <c r="E17" s="319"/>
      <c r="F17" s="319"/>
      <c r="G17" s="319"/>
      <c r="H17" s="319"/>
      <c r="I17" s="319"/>
      <c r="J17" s="319"/>
      <c r="K17" s="319"/>
      <c r="L17" s="319"/>
      <c r="M17" s="319"/>
      <c r="N17" s="507"/>
      <c r="O17" s="508"/>
    </row>
    <row r="18" spans="2:15" x14ac:dyDescent="0.2">
      <c r="B18" s="7" t="s">
        <v>9</v>
      </c>
      <c r="C18" s="25" t="s">
        <v>2</v>
      </c>
      <c r="D18" s="509">
        <f>Assumptions!D86</f>
        <v>5.2788104089219329E-2</v>
      </c>
      <c r="E18" s="319"/>
      <c r="F18" s="319"/>
      <c r="G18" s="319"/>
      <c r="H18" s="319"/>
      <c r="I18" s="319"/>
      <c r="J18" s="319"/>
      <c r="K18" s="319"/>
      <c r="L18" s="319"/>
      <c r="M18" s="319"/>
      <c r="N18" s="507"/>
      <c r="O18" s="508"/>
    </row>
    <row r="19" spans="2:15" x14ac:dyDescent="0.2">
      <c r="B19" s="7" t="s">
        <v>10</v>
      </c>
      <c r="C19" s="25" t="s">
        <v>2</v>
      </c>
      <c r="D19" s="383">
        <f>1-D18</f>
        <v>0.9472118959107807</v>
      </c>
      <c r="E19" s="319"/>
      <c r="F19" s="319"/>
      <c r="G19" s="319"/>
      <c r="H19" s="319"/>
      <c r="I19" s="319"/>
      <c r="J19" s="319"/>
      <c r="K19" s="319"/>
      <c r="L19" s="319"/>
      <c r="M19" s="319"/>
      <c r="N19" s="507"/>
      <c r="O19" s="508"/>
    </row>
    <row r="20" spans="2:15" x14ac:dyDescent="0.2">
      <c r="B20" s="300" t="s">
        <v>11</v>
      </c>
      <c r="C20" s="136" t="s">
        <v>2</v>
      </c>
      <c r="D20" s="510">
        <f>Assumptions!D87</f>
        <v>0.10509837015593605</v>
      </c>
      <c r="E20" s="319"/>
      <c r="F20" s="319"/>
      <c r="G20" s="319"/>
      <c r="H20" s="319"/>
      <c r="I20" s="319"/>
      <c r="J20" s="319"/>
      <c r="K20" s="319"/>
      <c r="L20" s="319"/>
      <c r="M20" s="319"/>
      <c r="N20" s="507"/>
      <c r="O20" s="508"/>
    </row>
    <row r="21" spans="2:15" x14ac:dyDescent="0.2">
      <c r="C21" s="304"/>
    </row>
    <row r="22" spans="2:15" ht="16" customHeight="1" thickBot="1" x14ac:dyDescent="0.25">
      <c r="B22" s="301" t="s">
        <v>474</v>
      </c>
      <c r="C22" s="38" t="s">
        <v>12</v>
      </c>
      <c r="D22" s="305" t="str">
        <f>IF('Cover Page'!$C$63+0&lt;'Cover Page'!$C$64,"FY"&amp;TEXT(MOD('Cover Page'!$C$63+0,100),"00")&amp;"A","FY"&amp;TEXT(MOD('Cover Page'!$C$63+0,100),"00")&amp;"E")</f>
        <v>FY21A</v>
      </c>
      <c r="E22" s="305" t="str">
        <f>IF('Cover Page'!$C$63+1&lt;'Cover Page'!$C$64,"FY"&amp;TEXT(MOD('Cover Page'!$C$63+1,100),"00")&amp;"A","FY"&amp;TEXT(MOD('Cover Page'!$C$63+1,100),"00")&amp;"E")</f>
        <v>FY22A</v>
      </c>
      <c r="F22" s="305" t="str">
        <f>IF('Cover Page'!$C$63+2&lt;'Cover Page'!$C$64,"FY"&amp;TEXT(MOD('Cover Page'!$C$63+2,100),"00")&amp;"A","FY"&amp;TEXT(MOD('Cover Page'!$C$63+2,100),"00")&amp;"E")</f>
        <v>FY23A</v>
      </c>
      <c r="G22" s="305" t="str">
        <f>IF('Cover Page'!$C$63+3&lt;'Cover Page'!$C$64,"FY"&amp;TEXT(MOD('Cover Page'!$C$63+3,100),"00")&amp;"A","FY"&amp;TEXT(MOD('Cover Page'!$C$63+3,100),"00")&amp;"E")</f>
        <v>FY24A</v>
      </c>
      <c r="H22" s="305" t="str">
        <f>IF('Cover Page'!$C$63+4&lt;'Cover Page'!$C$64,"FY"&amp;TEXT(MOD('Cover Page'!$C$63+4,100),"00")&amp;"A","FY"&amp;TEXT(MOD('Cover Page'!$C$63+4,100),"00")&amp;"E")</f>
        <v>FY25A</v>
      </c>
      <c r="I22" s="306" t="str">
        <f>IF('Cover Page'!$C$63+5&lt;'Cover Page'!$C$64,"FY"&amp;TEXT(MOD('Cover Page'!$C$63+5,100),"00")&amp;"A","FY"&amp;TEXT(MOD('Cover Page'!$C$63+5,100),"00")&amp;"E")</f>
        <v>FY26E</v>
      </c>
      <c r="J22" s="306" t="str">
        <f>IF('Cover Page'!$C$63+6&lt;'Cover Page'!$C$64,"FY"&amp;TEXT(MOD('Cover Page'!$C$63+6,100),"00")&amp;"A","FY"&amp;TEXT(MOD('Cover Page'!$C$63+6,100),"00")&amp;"E")</f>
        <v>FY27E</v>
      </c>
      <c r="K22" s="306" t="str">
        <f>IF('Cover Page'!$C$63+7&lt;'Cover Page'!$C$64,"FY"&amp;TEXT(MOD('Cover Page'!$C$63+7,100),"00")&amp;"A","FY"&amp;TEXT(MOD('Cover Page'!$C$63+7,100),"00")&amp;"E")</f>
        <v>FY28E</v>
      </c>
      <c r="L22" s="306" t="str">
        <f>IF('Cover Page'!$C$63+8&lt;'Cover Page'!$C$64,"FY"&amp;TEXT(MOD('Cover Page'!$C$63+8,100),"00")&amp;"A","FY"&amp;TEXT(MOD('Cover Page'!$C$63+8,100),"00")&amp;"E")</f>
        <v>FY29E</v>
      </c>
      <c r="M22" s="306" t="str">
        <f>IF('Cover Page'!$C$63+9&lt;'Cover Page'!$C$64,"FY"&amp;TEXT(MOD('Cover Page'!$C$63+9,100),"00")&amp;"A","FY"&amp;TEXT(MOD('Cover Page'!$C$63+9,100),"00")&amp;"E")</f>
        <v>FY30E</v>
      </c>
    </row>
    <row r="23" spans="2:15" x14ac:dyDescent="0.2">
      <c r="B23" s="8" t="s">
        <v>13</v>
      </c>
      <c r="C23" s="8" t="s">
        <v>14</v>
      </c>
      <c r="D23" s="307"/>
      <c r="E23" s="307"/>
      <c r="F23" s="307"/>
      <c r="G23" s="307"/>
      <c r="H23" s="307"/>
      <c r="I23" s="9">
        <f>'Cash Flow'!I38</f>
        <v>456.63824731583082</v>
      </c>
      <c r="J23" s="9">
        <f>'Cash Flow'!J38</f>
        <v>447.04932087431695</v>
      </c>
      <c r="K23" s="9">
        <f>'Cash Flow'!K38</f>
        <v>440.21809095255435</v>
      </c>
      <c r="L23" s="9">
        <f>'Cash Flow'!L38</f>
        <v>437.51507296485903</v>
      </c>
      <c r="M23" s="9">
        <f>'Cash Flow'!M38</f>
        <v>444.51872392510296</v>
      </c>
      <c r="O23" s="368" t="s">
        <v>462</v>
      </c>
    </row>
    <row r="24" spans="2:15" x14ac:dyDescent="0.2">
      <c r="B24" s="7" t="s">
        <v>15</v>
      </c>
      <c r="C24" s="7" t="s">
        <v>16</v>
      </c>
      <c r="D24" s="308"/>
      <c r="E24" s="308"/>
      <c r="F24" s="308"/>
      <c r="G24" s="308"/>
      <c r="H24" s="308"/>
      <c r="I24" s="10">
        <v>1</v>
      </c>
      <c r="J24" s="10">
        <v>2</v>
      </c>
      <c r="K24" s="10">
        <v>3</v>
      </c>
      <c r="L24" s="10">
        <v>4</v>
      </c>
      <c r="M24" s="10">
        <v>5</v>
      </c>
      <c r="O24" s="368"/>
    </row>
    <row r="25" spans="2:15" x14ac:dyDescent="0.2">
      <c r="B25" s="7" t="s">
        <v>17</v>
      </c>
      <c r="C25" s="7" t="s">
        <v>4</v>
      </c>
      <c r="D25" s="308"/>
      <c r="E25" s="308"/>
      <c r="F25" s="308"/>
      <c r="G25" s="308"/>
      <c r="H25" s="308"/>
      <c r="I25" s="37">
        <f>1/(1+$D$20)^I24</f>
        <v>0.90489681914823017</v>
      </c>
      <c r="J25" s="37">
        <f>1/(1+$D$20)^J24</f>
        <v>0.81883825330458482</v>
      </c>
      <c r="K25" s="37">
        <f>1/(1+$D$20)^K24</f>
        <v>0.74096413081221157</v>
      </c>
      <c r="L25" s="37">
        <f>1/(1+$D$20)^L24</f>
        <v>0.67049608507490344</v>
      </c>
      <c r="M25" s="37">
        <f>1/(1+$D$20)^M24</f>
        <v>0.60672977463562128</v>
      </c>
      <c r="O25" s="368"/>
    </row>
    <row r="26" spans="2:15" x14ac:dyDescent="0.2">
      <c r="B26" s="7" t="s">
        <v>18</v>
      </c>
      <c r="C26" s="7" t="s">
        <v>14</v>
      </c>
      <c r="D26" s="308"/>
      <c r="E26" s="308"/>
      <c r="F26" s="308"/>
      <c r="G26" s="308"/>
      <c r="H26" s="308"/>
      <c r="I26" s="37">
        <f>I23*I25</f>
        <v>413.21049749751819</v>
      </c>
      <c r="J26" s="37">
        <f>J23*J25</f>
        <v>366.06108504572654</v>
      </c>
      <c r="K26" s="37">
        <f>K23*K25</f>
        <v>326.18581513047053</v>
      </c>
      <c r="L26" s="37">
        <f>L23*L25</f>
        <v>293.3521435841987</v>
      </c>
      <c r="M26" s="37">
        <f>M23*M25</f>
        <v>269.70274518839165</v>
      </c>
      <c r="O26" s="368"/>
    </row>
    <row r="28" spans="2:15" ht="16" customHeight="1" thickBot="1" x14ac:dyDescent="0.25">
      <c r="B28" s="301" t="s">
        <v>21</v>
      </c>
      <c r="C28" s="38" t="s">
        <v>12</v>
      </c>
      <c r="D28" s="54" t="s">
        <v>311</v>
      </c>
      <c r="O28" s="377" t="s">
        <v>463</v>
      </c>
    </row>
    <row r="29" spans="2:15" x14ac:dyDescent="0.2">
      <c r="B29" s="45" t="s">
        <v>475</v>
      </c>
      <c r="C29" s="32"/>
      <c r="D29" s="32"/>
      <c r="O29" s="377"/>
    </row>
    <row r="30" spans="2:15" x14ac:dyDescent="0.2">
      <c r="B30" s="7" t="s">
        <v>19</v>
      </c>
      <c r="C30" s="7" t="s">
        <v>2</v>
      </c>
      <c r="D30" s="509">
        <f>Assumptions!D88</f>
        <v>2.5000000000000001E-2</v>
      </c>
      <c r="E30" s="507"/>
      <c r="F30" s="507"/>
      <c r="G30" s="507"/>
      <c r="H30" s="507"/>
      <c r="I30" s="507"/>
      <c r="J30" s="507"/>
      <c r="K30" s="507"/>
      <c r="L30" s="507"/>
      <c r="M30" s="507"/>
      <c r="N30" s="507"/>
      <c r="O30" s="511"/>
    </row>
    <row r="31" spans="2:15" x14ac:dyDescent="0.2">
      <c r="B31" s="7" t="s">
        <v>20</v>
      </c>
      <c r="C31" s="6" t="s">
        <v>14</v>
      </c>
      <c r="D31" s="41">
        <f>M23</f>
        <v>444.51872392510296</v>
      </c>
      <c r="O31" s="377"/>
    </row>
    <row r="32" spans="2:15" x14ac:dyDescent="0.2">
      <c r="B32" s="7" t="s">
        <v>21</v>
      </c>
      <c r="C32" s="7" t="s">
        <v>14</v>
      </c>
      <c r="D32" s="41">
        <f>D31*(1+D30)/(D20-D30)</f>
        <v>5688.4015384608156</v>
      </c>
      <c r="O32" s="377"/>
    </row>
    <row r="33" spans="2:15" x14ac:dyDescent="0.2">
      <c r="B33" s="7" t="s">
        <v>22</v>
      </c>
      <c r="C33" s="7" t="s">
        <v>14</v>
      </c>
      <c r="D33" s="41">
        <f>D32*M25</f>
        <v>3451.3225834672521</v>
      </c>
    </row>
    <row r="34" spans="2:15" x14ac:dyDescent="0.2">
      <c r="D34" s="36"/>
    </row>
    <row r="35" spans="2:15" ht="15" customHeight="1" x14ac:dyDescent="0.2">
      <c r="B35" s="33" t="s">
        <v>476</v>
      </c>
      <c r="D35" s="36"/>
      <c r="O35" s="368" t="s">
        <v>464</v>
      </c>
    </row>
    <row r="36" spans="2:15" x14ac:dyDescent="0.2">
      <c r="B36" s="7" t="s">
        <v>23</v>
      </c>
      <c r="C36" s="7" t="s">
        <v>14</v>
      </c>
      <c r="D36" s="42">
        <f>'Income Statement'!M52</f>
        <v>884.65378389280875</v>
      </c>
      <c r="O36" s="368"/>
    </row>
    <row r="37" spans="2:15" x14ac:dyDescent="0.2">
      <c r="B37" s="7" t="s">
        <v>24</v>
      </c>
      <c r="C37" s="7" t="s">
        <v>4</v>
      </c>
      <c r="D37" s="11">
        <f>Assumptions!D89</f>
        <v>11</v>
      </c>
      <c r="O37" s="368"/>
    </row>
    <row r="38" spans="2:15" x14ac:dyDescent="0.2">
      <c r="B38" s="7" t="s">
        <v>21</v>
      </c>
      <c r="C38" s="6" t="s">
        <v>14</v>
      </c>
      <c r="D38" s="41">
        <f>D36*D37</f>
        <v>9731.1916228208956</v>
      </c>
      <c r="O38" s="368"/>
    </row>
    <row r="39" spans="2:15" x14ac:dyDescent="0.2">
      <c r="B39" s="7" t="s">
        <v>22</v>
      </c>
      <c r="C39" s="7" t="s">
        <v>14</v>
      </c>
      <c r="D39" s="41">
        <f>D38*M25</f>
        <v>5904.2037002501675</v>
      </c>
      <c r="O39" s="368"/>
    </row>
    <row r="40" spans="2:15" x14ac:dyDescent="0.2">
      <c r="D40" s="36"/>
    </row>
    <row r="41" spans="2:15" ht="15" thickBot="1" x14ac:dyDescent="0.25">
      <c r="B41" s="301" t="s">
        <v>477</v>
      </c>
      <c r="C41" s="38" t="s">
        <v>12</v>
      </c>
      <c r="D41" s="54" t="s">
        <v>311</v>
      </c>
    </row>
    <row r="42" spans="2:15" x14ac:dyDescent="0.2">
      <c r="B42" s="8" t="s">
        <v>25</v>
      </c>
      <c r="C42" s="8" t="s">
        <v>14</v>
      </c>
      <c r="D42" s="44">
        <f>SUM(I26:M26)</f>
        <v>1668.5122864463056</v>
      </c>
      <c r="O42" s="368" t="s">
        <v>544</v>
      </c>
    </row>
    <row r="43" spans="2:15" x14ac:dyDescent="0.2">
      <c r="B43" s="7" t="s">
        <v>26</v>
      </c>
      <c r="C43" s="7" t="s">
        <v>14</v>
      </c>
      <c r="D43" s="41">
        <f>D33</f>
        <v>3451.3225834672521</v>
      </c>
      <c r="O43" s="368"/>
    </row>
    <row r="44" spans="2:15" x14ac:dyDescent="0.2">
      <c r="B44" s="7" t="s">
        <v>27</v>
      </c>
      <c r="C44" s="7" t="s">
        <v>14</v>
      </c>
      <c r="D44" s="41">
        <f>D42+D43</f>
        <v>5119.8348699135577</v>
      </c>
      <c r="O44" s="368"/>
    </row>
    <row r="45" spans="2:15" x14ac:dyDescent="0.2">
      <c r="B45" s="7" t="s">
        <v>28</v>
      </c>
      <c r="C45" s="7" t="s">
        <v>14</v>
      </c>
      <c r="D45" s="41">
        <f>D39</f>
        <v>5904.2037002501675</v>
      </c>
      <c r="O45" s="368"/>
    </row>
    <row r="46" spans="2:15" x14ac:dyDescent="0.2">
      <c r="B46" s="7" t="s">
        <v>29</v>
      </c>
      <c r="C46" s="7" t="s">
        <v>14</v>
      </c>
      <c r="D46" s="41">
        <f>D42+D45</f>
        <v>7572.715986696473</v>
      </c>
      <c r="O46" s="368"/>
    </row>
    <row r="47" spans="2:15" x14ac:dyDescent="0.2">
      <c r="D47" s="36"/>
      <c r="O47" s="368"/>
    </row>
    <row r="48" spans="2:15" x14ac:dyDescent="0.2">
      <c r="B48" s="7" t="s">
        <v>30</v>
      </c>
      <c r="C48" s="7" t="s">
        <v>14</v>
      </c>
      <c r="D48" s="42">
        <f>'Balance Sheet'!H37-'Balance Sheet'!H10</f>
        <v>407.1</v>
      </c>
      <c r="O48" s="368"/>
    </row>
    <row r="49" spans="2:15" x14ac:dyDescent="0.2">
      <c r="B49" s="7" t="s">
        <v>31</v>
      </c>
      <c r="C49" s="7" t="s">
        <v>14</v>
      </c>
      <c r="D49" s="41">
        <f>D44-D48</f>
        <v>4712.7348699135573</v>
      </c>
      <c r="O49" s="368"/>
    </row>
    <row r="50" spans="2:15" x14ac:dyDescent="0.2">
      <c r="B50" s="7" t="s">
        <v>32</v>
      </c>
      <c r="C50" s="7" t="s">
        <v>14</v>
      </c>
      <c r="D50" s="41">
        <f>D46-D48</f>
        <v>7165.6159866964726</v>
      </c>
      <c r="O50" s="368"/>
    </row>
    <row r="51" spans="2:15" x14ac:dyDescent="0.2">
      <c r="B51" s="7" t="s">
        <v>33</v>
      </c>
      <c r="C51" s="7" t="s">
        <v>34</v>
      </c>
      <c r="D51" s="42">
        <f>Assumptions!H73</f>
        <v>45.5</v>
      </c>
      <c r="O51" s="368"/>
    </row>
    <row r="52" spans="2:15" x14ac:dyDescent="0.2">
      <c r="C52" s="304"/>
      <c r="D52" s="36"/>
      <c r="O52" s="368"/>
    </row>
    <row r="53" spans="2:15" ht="13" customHeight="1" x14ac:dyDescent="0.2">
      <c r="B53" s="7" t="s">
        <v>35</v>
      </c>
      <c r="C53" s="7" t="s">
        <v>36</v>
      </c>
      <c r="D53" s="41">
        <f>D49/D51</f>
        <v>103.57659054755071</v>
      </c>
      <c r="O53" s="368"/>
    </row>
    <row r="54" spans="2:15" ht="16" customHeight="1" x14ac:dyDescent="0.2">
      <c r="B54" s="7" t="s">
        <v>37</v>
      </c>
      <c r="C54" s="7" t="s">
        <v>36</v>
      </c>
      <c r="D54" s="41">
        <f>D50/D51</f>
        <v>157.48606564168071</v>
      </c>
      <c r="O54" s="368"/>
    </row>
    <row r="55" spans="2:15" x14ac:dyDescent="0.2">
      <c r="B55" s="7" t="s">
        <v>38</v>
      </c>
      <c r="C55" s="7" t="s">
        <v>36</v>
      </c>
      <c r="D55" s="43">
        <v>168</v>
      </c>
      <c r="O55" s="368"/>
    </row>
    <row r="56" spans="2:15" x14ac:dyDescent="0.2">
      <c r="B56" s="7" t="s">
        <v>39</v>
      </c>
      <c r="C56" s="7" t="s">
        <v>2</v>
      </c>
      <c r="D56" s="383">
        <f>D53/D55-1</f>
        <v>-0.3834726753121982</v>
      </c>
      <c r="E56" s="507"/>
      <c r="F56" s="507"/>
      <c r="G56" s="507"/>
      <c r="H56" s="507"/>
      <c r="I56" s="507"/>
      <c r="J56" s="507"/>
      <c r="K56" s="507"/>
      <c r="L56" s="507"/>
      <c r="M56" s="507"/>
      <c r="N56" s="507"/>
      <c r="O56" s="508"/>
    </row>
    <row r="57" spans="2:15" x14ac:dyDescent="0.2">
      <c r="B57" s="7" t="s">
        <v>40</v>
      </c>
      <c r="C57" s="7" t="s">
        <v>2</v>
      </c>
      <c r="D57" s="383">
        <f>D54/D55-1</f>
        <v>-6.2582942609043402E-2</v>
      </c>
      <c r="E57" s="507"/>
      <c r="F57" s="507"/>
      <c r="G57" s="507"/>
      <c r="H57" s="507"/>
      <c r="I57" s="507"/>
      <c r="J57" s="507"/>
      <c r="K57" s="507"/>
      <c r="L57" s="507"/>
      <c r="M57" s="507"/>
      <c r="N57" s="507"/>
      <c r="O57" s="508"/>
    </row>
    <row r="58" spans="2:15" x14ac:dyDescent="0.2">
      <c r="D58" s="36"/>
      <c r="O58" s="368"/>
    </row>
    <row r="59" spans="2:15" x14ac:dyDescent="0.2">
      <c r="B59" s="7" t="s">
        <v>41</v>
      </c>
      <c r="C59" s="7" t="s">
        <v>2</v>
      </c>
      <c r="D59" s="383">
        <f>D43/D44</f>
        <v>0.67410818340036105</v>
      </c>
      <c r="E59" s="507"/>
      <c r="F59" s="507"/>
      <c r="G59" s="507"/>
      <c r="H59" s="507"/>
      <c r="I59" s="507"/>
      <c r="J59" s="507"/>
      <c r="K59" s="507"/>
      <c r="L59" s="507"/>
      <c r="M59" s="507"/>
      <c r="N59" s="507"/>
      <c r="O59" s="508"/>
    </row>
    <row r="60" spans="2:15" x14ac:dyDescent="0.2">
      <c r="B60" s="7" t="s">
        <v>42</v>
      </c>
      <c r="C60" s="7" t="s">
        <v>2</v>
      </c>
      <c r="D60" s="383">
        <f>D45/D46</f>
        <v>0.77966791711487671</v>
      </c>
      <c r="E60" s="507"/>
      <c r="F60" s="507"/>
      <c r="G60" s="507"/>
      <c r="H60" s="507"/>
      <c r="I60" s="507"/>
      <c r="J60" s="507"/>
      <c r="K60" s="507"/>
      <c r="L60" s="507"/>
      <c r="M60" s="507"/>
      <c r="N60" s="507"/>
      <c r="O60" s="508"/>
    </row>
    <row r="64" spans="2:15" ht="15" thickBot="1" x14ac:dyDescent="0.25">
      <c r="B64" s="309" t="s">
        <v>478</v>
      </c>
      <c r="C64" s="310"/>
      <c r="D64" s="310"/>
      <c r="E64" s="310"/>
      <c r="F64" s="310"/>
      <c r="G64" s="310"/>
      <c r="H64" s="310"/>
      <c r="I64" s="310"/>
      <c r="O64" s="368" t="s">
        <v>465</v>
      </c>
    </row>
    <row r="65" spans="2:15" x14ac:dyDescent="0.2">
      <c r="B65" s="4" t="s">
        <v>212</v>
      </c>
      <c r="O65" s="368"/>
    </row>
    <row r="66" spans="2:15" x14ac:dyDescent="0.2">
      <c r="B66" s="311" t="s">
        <v>213</v>
      </c>
      <c r="C66" s="421">
        <v>1.4999999999999999E-2</v>
      </c>
      <c r="D66" s="421">
        <v>0.02</v>
      </c>
      <c r="E66" s="421">
        <v>2.5000000000000001E-2</v>
      </c>
      <c r="F66" s="421">
        <v>0.03</v>
      </c>
      <c r="G66" s="421">
        <v>3.5000000000000003E-2</v>
      </c>
      <c r="H66" s="421">
        <v>0.04</v>
      </c>
      <c r="I66" s="421">
        <v>4.4999999999999998E-2</v>
      </c>
      <c r="O66" s="368"/>
    </row>
    <row r="67" spans="2:15" x14ac:dyDescent="0.2">
      <c r="B67" s="422">
        <v>0.09</v>
      </c>
      <c r="C67" s="423">
        <f>($I$23/(1+$B67)^1+$J$23/(1+$B67)^2+$K$23/(1+$B67)^3+$L$23/(1+$B67)^4+$M$23/(1+$B67)^5+$M$23*(1+C$66)/($B67-C$66)/(1+$B67)^5-$D$48)/$D$51</f>
        <v>115.09361386492134</v>
      </c>
      <c r="D67" s="423">
        <f t="shared" ref="D67:I73" si="0">($I$23/(1+$B67)^1+$J$23/(1+$B67)^2+$K$23/(1+$B67)^3+$L$23/(1+$B67)^4+$M$23/(1+$B67)^5+$M$23*(1+D$66)/($B67-D$66)/(1+$B67)^5-$D$48)/$D$51</f>
        <v>121.68510043360943</v>
      </c>
      <c r="E67" s="423">
        <f t="shared" si="0"/>
        <v>129.29066185901877</v>
      </c>
      <c r="F67" s="423">
        <f t="shared" si="0"/>
        <v>138.16381685532963</v>
      </c>
      <c r="G67" s="423">
        <f t="shared" si="0"/>
        <v>148.65027276006069</v>
      </c>
      <c r="H67" s="423">
        <f t="shared" si="0"/>
        <v>161.23401984573789</v>
      </c>
      <c r="I67" s="423">
        <f t="shared" si="0"/>
        <v>176.61415517267673</v>
      </c>
      <c r="O67" s="368"/>
    </row>
    <row r="68" spans="2:15" x14ac:dyDescent="0.2">
      <c r="B68" s="422">
        <v>9.5000000000000001E-2</v>
      </c>
      <c r="C68" s="423">
        <f t="shared" ref="C68:C73" si="1">($I$23/(1+$B68)^1+$J$23/(1+$B68)^2+$K$23/(1+$B68)^3+$L$23/(1+$B68)^4+$M$23/(1+$B68)^5+$M$23*(1+C$66)/($B68-C$66)/(1+$B68)^5-$D$48)/$D$51</f>
        <v>107.41386320427858</v>
      </c>
      <c r="D68" s="423">
        <f t="shared" si="0"/>
        <v>113.07678989538579</v>
      </c>
      <c r="E68" s="423">
        <f t="shared" si="0"/>
        <v>119.54870611379398</v>
      </c>
      <c r="F68" s="423">
        <f t="shared" si="0"/>
        <v>127.01630175041883</v>
      </c>
      <c r="G68" s="423">
        <f t="shared" si="0"/>
        <v>135.72849665981451</v>
      </c>
      <c r="H68" s="423">
        <f t="shared" si="0"/>
        <v>146.02472700728211</v>
      </c>
      <c r="I68" s="423">
        <f t="shared" si="0"/>
        <v>158.38020342424321</v>
      </c>
      <c r="O68" s="368"/>
    </row>
    <row r="69" spans="2:15" x14ac:dyDescent="0.2">
      <c r="B69" s="422">
        <v>0.1</v>
      </c>
      <c r="C69" s="423">
        <f t="shared" si="1"/>
        <v>100.6366600285611</v>
      </c>
      <c r="D69" s="423">
        <f t="shared" si="0"/>
        <v>105.54312850953326</v>
      </c>
      <c r="E69" s="423">
        <f t="shared" si="0"/>
        <v>111.10379278796833</v>
      </c>
      <c r="F69" s="423">
        <f t="shared" si="0"/>
        <v>117.45883767760844</v>
      </c>
      <c r="G69" s="423">
        <f t="shared" si="0"/>
        <v>124.79158178103937</v>
      </c>
      <c r="H69" s="423">
        <f t="shared" si="0"/>
        <v>133.34644990170875</v>
      </c>
      <c r="I69" s="423">
        <f t="shared" si="0"/>
        <v>143.45674858977256</v>
      </c>
      <c r="O69" s="368"/>
    </row>
    <row r="70" spans="2:15" x14ac:dyDescent="0.2">
      <c r="B70" s="422">
        <v>0.105</v>
      </c>
      <c r="C70" s="423">
        <f t="shared" si="1"/>
        <v>94.611596973195063</v>
      </c>
      <c r="D70" s="423">
        <f t="shared" si="0"/>
        <v>98.894498798364097</v>
      </c>
      <c r="E70" s="423">
        <f t="shared" si="0"/>
        <v>103.71276335167927</v>
      </c>
      <c r="F70" s="423">
        <f t="shared" si="0"/>
        <v>109.17346317876979</v>
      </c>
      <c r="G70" s="423">
        <f t="shared" si="0"/>
        <v>115.41426298115894</v>
      </c>
      <c r="H70" s="423">
        <f t="shared" si="0"/>
        <v>122.61518583006949</v>
      </c>
      <c r="I70" s="423">
        <f t="shared" si="0"/>
        <v>131.01626248713183</v>
      </c>
      <c r="O70" s="368"/>
    </row>
    <row r="71" spans="2:15" x14ac:dyDescent="0.2">
      <c r="B71" s="422">
        <v>0.11</v>
      </c>
      <c r="C71" s="423">
        <f t="shared" si="1"/>
        <v>89.21993099026659</v>
      </c>
      <c r="D71" s="423">
        <f t="shared" si="0"/>
        <v>92.983419866776771</v>
      </c>
      <c r="E71" s="423">
        <f t="shared" si="0"/>
        <v>97.189672140523456</v>
      </c>
      <c r="F71" s="423">
        <f t="shared" si="0"/>
        <v>101.92170594848848</v>
      </c>
      <c r="G71" s="423">
        <f t="shared" si="0"/>
        <v>107.2846775975155</v>
      </c>
      <c r="H71" s="423">
        <f t="shared" si="0"/>
        <v>113.41378805354637</v>
      </c>
      <c r="I71" s="423">
        <f t="shared" si="0"/>
        <v>120.48583857973587</v>
      </c>
      <c r="O71" s="368"/>
    </row>
    <row r="72" spans="2:15" x14ac:dyDescent="0.2">
      <c r="B72" s="422">
        <v>0.115</v>
      </c>
      <c r="C72" s="423">
        <f t="shared" si="1"/>
        <v>84.366667280028452</v>
      </c>
      <c r="D72" s="423">
        <f t="shared" si="0"/>
        <v>87.693458846078187</v>
      </c>
      <c r="E72" s="423">
        <f t="shared" si="0"/>
        <v>91.389893919466715</v>
      </c>
      <c r="F72" s="423">
        <f t="shared" si="0"/>
        <v>95.521203707371598</v>
      </c>
      <c r="G72" s="423">
        <f t="shared" si="0"/>
        <v>100.16892721876458</v>
      </c>
      <c r="H72" s="423">
        <f t="shared" si="0"/>
        <v>105.4363471983433</v>
      </c>
      <c r="I72" s="423">
        <f t="shared" si="0"/>
        <v>111.45625574643326</v>
      </c>
    </row>
    <row r="73" spans="2:15" hidden="1" outlineLevel="1" x14ac:dyDescent="0.2">
      <c r="B73" s="424">
        <v>0.12</v>
      </c>
      <c r="C73" s="425">
        <f t="shared" si="1"/>
        <v>79.974904955924131</v>
      </c>
      <c r="D73" s="425">
        <f t="shared" si="0"/>
        <v>82.931468904054427</v>
      </c>
      <c r="E73" s="425">
        <f t="shared" si="0"/>
        <v>86.199250109882641</v>
      </c>
      <c r="F73" s="425">
        <f t="shared" si="0"/>
        <v>89.830118116358435</v>
      </c>
      <c r="G73" s="425">
        <f t="shared" si="0"/>
        <v>93.888147064772554</v>
      </c>
      <c r="H73" s="425">
        <f t="shared" si="0"/>
        <v>98.45342963173843</v>
      </c>
      <c r="I73" s="425">
        <f t="shared" si="0"/>
        <v>103.62741654096645</v>
      </c>
    </row>
    <row r="74" spans="2:15" collapsed="1" x14ac:dyDescent="0.2"/>
    <row r="75" spans="2:15" ht="15" thickBot="1" x14ac:dyDescent="0.25">
      <c r="B75" s="309" t="s">
        <v>479</v>
      </c>
      <c r="C75" s="310"/>
      <c r="D75" s="310"/>
      <c r="E75" s="310"/>
      <c r="F75" s="310"/>
      <c r="G75" s="310"/>
      <c r="H75" s="310"/>
      <c r="I75" s="310"/>
      <c r="O75" s="368" t="s">
        <v>466</v>
      </c>
    </row>
    <row r="76" spans="2:15" x14ac:dyDescent="0.2">
      <c r="B76" s="4" t="s">
        <v>212</v>
      </c>
      <c r="O76" s="368"/>
    </row>
    <row r="77" spans="2:15" x14ac:dyDescent="0.2">
      <c r="B77" s="311" t="s">
        <v>214</v>
      </c>
      <c r="C77" s="426">
        <v>8</v>
      </c>
      <c r="D77" s="426">
        <v>9</v>
      </c>
      <c r="E77" s="426">
        <v>10</v>
      </c>
      <c r="F77" s="426">
        <v>11</v>
      </c>
      <c r="G77" s="426">
        <v>12</v>
      </c>
      <c r="H77" s="426">
        <v>13</v>
      </c>
      <c r="I77" s="426">
        <v>14</v>
      </c>
      <c r="O77" s="368"/>
    </row>
    <row r="78" spans="2:15" x14ac:dyDescent="0.2">
      <c r="B78" s="422">
        <v>0.09</v>
      </c>
      <c r="C78" s="423">
        <f>($I$23/(1+$B78)^1+$J$23/(1+$B78)^2+$K$23/(1+$B78)^3+$L$23/(1+$B78)^4+$M$23/(1+$B78)^5+$D$36*C$77/(1+$B78)^5-$D$48)/$D$51</f>
        <v>130.25501622751804</v>
      </c>
      <c r="D78" s="423">
        <f t="shared" ref="D78:I84" si="2">($I$23/(1+$B78)^1+$J$23/(1+$B78)^2+$K$23/(1+$B78)^3+$L$23/(1+$B78)^4+$M$23/(1+$B78)^5+$D$36*D$77/(1+$B78)^5-$D$48)/$D$51</f>
        <v>142.89159337388134</v>
      </c>
      <c r="E78" s="423">
        <f t="shared" si="2"/>
        <v>155.5281705202446</v>
      </c>
      <c r="F78" s="427">
        <f t="shared" si="2"/>
        <v>168.16474766660789</v>
      </c>
      <c r="G78" s="423">
        <f t="shared" si="2"/>
        <v>180.80132481297119</v>
      </c>
      <c r="H78" s="423">
        <f t="shared" si="2"/>
        <v>193.43790195933451</v>
      </c>
      <c r="I78" s="423">
        <f t="shared" si="2"/>
        <v>206.0744791056978</v>
      </c>
      <c r="O78" s="368"/>
    </row>
    <row r="79" spans="2:15" x14ac:dyDescent="0.2">
      <c r="B79" s="422">
        <v>9.5000000000000001E-2</v>
      </c>
      <c r="C79" s="423">
        <f t="shared" ref="C79:C84" si="3">($I$23/(1+$B79)^1+$J$23/(1+$B79)^2+$K$23/(1+$B79)^3+$L$23/(1+$B79)^4+$M$23/(1+$B79)^5+$D$36*C$77/(1+$B79)^5-$D$48)/$D$51</f>
        <v>127.48145850740636</v>
      </c>
      <c r="D79" s="423">
        <f t="shared" si="2"/>
        <v>139.83215208377985</v>
      </c>
      <c r="E79" s="423">
        <f t="shared" si="2"/>
        <v>152.1828456601533</v>
      </c>
      <c r="F79" s="423">
        <f t="shared" si="2"/>
        <v>164.53353923652679</v>
      </c>
      <c r="G79" s="423">
        <f t="shared" si="2"/>
        <v>176.88423281290028</v>
      </c>
      <c r="H79" s="423">
        <f t="shared" si="2"/>
        <v>189.23492638927377</v>
      </c>
      <c r="I79" s="423">
        <f t="shared" si="2"/>
        <v>201.58561996564723</v>
      </c>
      <c r="O79" s="368"/>
    </row>
    <row r="80" spans="2:15" x14ac:dyDescent="0.2">
      <c r="B80" s="422">
        <v>0.1</v>
      </c>
      <c r="C80" s="423">
        <f t="shared" si="3"/>
        <v>124.77963329424253</v>
      </c>
      <c r="D80" s="423">
        <f t="shared" si="2"/>
        <v>136.85216951279222</v>
      </c>
      <c r="E80" s="423">
        <f t="shared" si="2"/>
        <v>148.9247057313419</v>
      </c>
      <c r="F80" s="423">
        <f t="shared" si="2"/>
        <v>160.99724194989156</v>
      </c>
      <c r="G80" s="423">
        <f t="shared" si="2"/>
        <v>173.06977816844125</v>
      </c>
      <c r="H80" s="423">
        <f t="shared" si="2"/>
        <v>185.14231438699093</v>
      </c>
      <c r="I80" s="423">
        <f t="shared" si="2"/>
        <v>197.21485060554059</v>
      </c>
      <c r="O80" s="368"/>
    </row>
    <row r="81" spans="2:15" x14ac:dyDescent="0.2">
      <c r="B81" s="422">
        <v>0.105</v>
      </c>
      <c r="C81" s="423">
        <f t="shared" si="3"/>
        <v>122.14733817736587</v>
      </c>
      <c r="D81" s="423">
        <f t="shared" si="2"/>
        <v>133.94920073663064</v>
      </c>
      <c r="E81" s="423">
        <f t="shared" si="2"/>
        <v>145.75106329589536</v>
      </c>
      <c r="F81" s="423">
        <f t="shared" si="2"/>
        <v>157.55292585516011</v>
      </c>
      <c r="G81" s="427">
        <f t="shared" si="2"/>
        <v>169.35478841442486</v>
      </c>
      <c r="H81" s="423">
        <f t="shared" si="2"/>
        <v>181.15665097368961</v>
      </c>
      <c r="I81" s="423">
        <f t="shared" si="2"/>
        <v>192.95851353295436</v>
      </c>
      <c r="O81" s="368"/>
    </row>
    <row r="82" spans="2:15" x14ac:dyDescent="0.2">
      <c r="B82" s="422">
        <v>0.11</v>
      </c>
      <c r="C82" s="423">
        <f t="shared" si="3"/>
        <v>119.58244836574204</v>
      </c>
      <c r="D82" s="423">
        <f t="shared" si="2"/>
        <v>131.12088711130724</v>
      </c>
      <c r="E82" s="423">
        <f t="shared" si="2"/>
        <v>142.65932585687244</v>
      </c>
      <c r="F82" s="423">
        <f t="shared" si="2"/>
        <v>154.19776460243762</v>
      </c>
      <c r="G82" s="423">
        <f t="shared" si="2"/>
        <v>165.73620334800282</v>
      </c>
      <c r="H82" s="423">
        <f t="shared" si="2"/>
        <v>177.27464209356805</v>
      </c>
      <c r="I82" s="423">
        <f t="shared" si="2"/>
        <v>188.81308083913322</v>
      </c>
      <c r="O82" s="368"/>
    </row>
    <row r="83" spans="2:15" x14ac:dyDescent="0.2">
      <c r="B83" s="422">
        <v>0.115</v>
      </c>
      <c r="C83" s="423">
        <f t="shared" si="3"/>
        <v>117.08291361055628</v>
      </c>
      <c r="D83" s="423">
        <f t="shared" si="2"/>
        <v>128.36495284932391</v>
      </c>
      <c r="E83" s="423">
        <f t="shared" si="2"/>
        <v>139.64699208809157</v>
      </c>
      <c r="F83" s="423">
        <f t="shared" si="2"/>
        <v>150.92903132685919</v>
      </c>
      <c r="G83" s="423">
        <f t="shared" si="2"/>
        <v>162.21107056562684</v>
      </c>
      <c r="H83" s="423">
        <f t="shared" si="2"/>
        <v>173.49310980439446</v>
      </c>
      <c r="I83" s="423">
        <f t="shared" si="2"/>
        <v>184.77514904316212</v>
      </c>
      <c r="O83" s="368"/>
    </row>
    <row r="84" spans="2:15" x14ac:dyDescent="0.2">
      <c r="B84" s="422">
        <v>0.12</v>
      </c>
      <c r="C84" s="423">
        <f t="shared" si="3"/>
        <v>114.64675526311456</v>
      </c>
      <c r="D84" s="423">
        <f t="shared" si="2"/>
        <v>125.67920174649603</v>
      </c>
      <c r="E84" s="423">
        <f t="shared" si="2"/>
        <v>136.71164822987751</v>
      </c>
      <c r="F84" s="423">
        <f t="shared" si="2"/>
        <v>147.74409471325902</v>
      </c>
      <c r="G84" s="423">
        <f t="shared" si="2"/>
        <v>158.77654119664047</v>
      </c>
      <c r="H84" s="427">
        <f t="shared" si="2"/>
        <v>169.80898768002197</v>
      </c>
      <c r="I84" s="423">
        <f t="shared" si="2"/>
        <v>180.84143416340345</v>
      </c>
      <c r="O84" s="368"/>
    </row>
    <row r="85" spans="2:15" x14ac:dyDescent="0.2">
      <c r="O85" s="368"/>
    </row>
  </sheetData>
  <mergeCells count="8">
    <mergeCell ref="O42:O60"/>
    <mergeCell ref="O64:O71"/>
    <mergeCell ref="O75:O85"/>
    <mergeCell ref="B8:J8"/>
    <mergeCell ref="O11:O20"/>
    <mergeCell ref="O23:O26"/>
    <mergeCell ref="O28:O32"/>
    <mergeCell ref="O35:O39"/>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Q55"/>
  <sheetViews>
    <sheetView showGridLines="0" workbookViewId="0"/>
  </sheetViews>
  <sheetFormatPr baseColWidth="10" defaultColWidth="8.83203125" defaultRowHeight="14" x14ac:dyDescent="0.2"/>
  <cols>
    <col min="1" max="1" width="2" style="16" customWidth="1"/>
    <col min="2" max="2" width="12.5" style="16" customWidth="1"/>
    <col min="3" max="4" width="20.83203125" style="16" customWidth="1"/>
    <col min="5" max="11" width="13.83203125" style="16" customWidth="1"/>
    <col min="12" max="14" width="13.83203125" style="46" customWidth="1"/>
    <col min="15" max="15" width="11" style="46" customWidth="1"/>
    <col min="16" max="16" width="8.83203125" style="16" customWidth="1"/>
    <col min="17" max="16384" width="8.83203125" style="16"/>
  </cols>
  <sheetData>
    <row r="2" spans="2:17" ht="13" customHeight="1" x14ac:dyDescent="0.2">
      <c r="B2" s="21" t="s">
        <v>467</v>
      </c>
      <c r="C2"/>
      <c r="D2"/>
      <c r="E2"/>
      <c r="F2"/>
      <c r="G2"/>
      <c r="H2"/>
      <c r="I2"/>
      <c r="J2"/>
      <c r="K2"/>
      <c r="L2"/>
      <c r="M2"/>
      <c r="N2"/>
      <c r="O2"/>
      <c r="P2"/>
      <c r="Q2"/>
    </row>
    <row r="3" spans="2:17" ht="15" x14ac:dyDescent="0.2">
      <c r="B3" s="2" t="s">
        <v>131</v>
      </c>
      <c r="C3"/>
      <c r="D3"/>
      <c r="E3"/>
      <c r="F3"/>
      <c r="G3"/>
      <c r="H3"/>
      <c r="I3"/>
      <c r="J3"/>
      <c r="K3"/>
      <c r="L3"/>
      <c r="M3"/>
      <c r="N3"/>
      <c r="O3"/>
      <c r="P3"/>
      <c r="Q3"/>
    </row>
    <row r="4" spans="2:17" ht="15" x14ac:dyDescent="0.2">
      <c r="B4" s="2" t="s">
        <v>0</v>
      </c>
      <c r="C4"/>
      <c r="D4"/>
      <c r="E4"/>
      <c r="F4"/>
      <c r="G4"/>
      <c r="H4"/>
      <c r="I4"/>
      <c r="J4"/>
      <c r="K4"/>
      <c r="L4"/>
      <c r="M4"/>
      <c r="N4"/>
      <c r="O4"/>
      <c r="P4"/>
      <c r="Q4"/>
    </row>
    <row r="5" spans="2:17" ht="15" x14ac:dyDescent="0.2">
      <c r="B5" s="3"/>
      <c r="C5" s="3"/>
      <c r="D5" s="3"/>
      <c r="E5" s="3"/>
      <c r="F5" s="3"/>
      <c r="G5" s="3"/>
      <c r="H5" s="3"/>
      <c r="I5" s="3"/>
      <c r="J5" s="3"/>
      <c r="K5" s="3"/>
      <c r="L5" s="3"/>
      <c r="M5" s="3"/>
      <c r="N5" s="3"/>
      <c r="O5" s="3"/>
      <c r="P5"/>
      <c r="Q5"/>
    </row>
    <row r="6" spans="2:17" ht="15" x14ac:dyDescent="0.2">
      <c r="B6" s="195" t="s">
        <v>75</v>
      </c>
      <c r="C6" s="195" t="s">
        <v>74</v>
      </c>
      <c r="D6" s="305" t="s">
        <v>468</v>
      </c>
      <c r="E6" s="305" t="s">
        <v>469</v>
      </c>
      <c r="F6" s="305" t="s">
        <v>94</v>
      </c>
      <c r="G6" s="305" t="s">
        <v>470</v>
      </c>
      <c r="H6" s="305" t="s">
        <v>471</v>
      </c>
      <c r="I6" s="305" t="s">
        <v>545</v>
      </c>
      <c r="J6" s="305" t="s">
        <v>216</v>
      </c>
      <c r="K6" s="305" t="s">
        <v>217</v>
      </c>
      <c r="L6" s="305" t="s">
        <v>218</v>
      </c>
      <c r="M6" s="305" t="s">
        <v>219</v>
      </c>
      <c r="N6" s="305" t="s">
        <v>76</v>
      </c>
      <c r="O6" s="305" t="s">
        <v>77</v>
      </c>
      <c r="P6"/>
      <c r="Q6"/>
    </row>
    <row r="7" spans="2:17" ht="15" x14ac:dyDescent="0.2">
      <c r="B7" s="314" t="s">
        <v>220</v>
      </c>
      <c r="C7" s="314" t="s">
        <v>221</v>
      </c>
      <c r="D7" s="315">
        <v>168</v>
      </c>
      <c r="E7" s="428">
        <f>D7*'DCF &amp; Sensitivity'!D51</f>
        <v>7644</v>
      </c>
      <c r="F7" s="428">
        <f>'DCF &amp; Sensitivity'!D48</f>
        <v>407.1</v>
      </c>
      <c r="G7" s="429">
        <f>E7+F7</f>
        <v>8051.1</v>
      </c>
      <c r="H7" s="428">
        <f>'Income Statement'!I13</f>
        <v>5804.514069546437</v>
      </c>
      <c r="I7" s="428">
        <f>'Income Statement'!I52</f>
        <v>849.00457509503281</v>
      </c>
      <c r="J7" s="430">
        <f>'Income Statement'!I45</f>
        <v>10.583722650988818</v>
      </c>
      <c r="K7" s="431">
        <f>'Income Statement'!I14</f>
        <v>7.8064349308427872E-2</v>
      </c>
      <c r="L7" s="432">
        <f>I7/H7</f>
        <v>0.14626626189940026</v>
      </c>
      <c r="M7" s="433">
        <f>G7/H7</f>
        <v>1.3870411723593445</v>
      </c>
      <c r="N7" s="433">
        <f>G7/I7</f>
        <v>9.4829877672906591</v>
      </c>
      <c r="O7" s="433">
        <f>D7/J7</f>
        <v>15.873431829234873</v>
      </c>
      <c r="P7"/>
      <c r="Q7"/>
    </row>
    <row r="8" spans="2:17" ht="15" x14ac:dyDescent="0.2">
      <c r="B8" s="3"/>
      <c r="C8" s="3"/>
      <c r="D8" s="3"/>
      <c r="E8" s="3"/>
      <c r="F8" s="3"/>
      <c r="G8" s="3"/>
      <c r="H8" s="3"/>
      <c r="I8" s="3"/>
      <c r="J8" s="3"/>
      <c r="K8" s="3"/>
      <c r="L8" s="3"/>
      <c r="M8" s="3"/>
      <c r="N8" s="3"/>
      <c r="O8" s="3"/>
      <c r="P8"/>
      <c r="Q8"/>
    </row>
    <row r="9" spans="2:17" ht="16" thickBot="1" x14ac:dyDescent="0.25">
      <c r="B9" s="309" t="s">
        <v>222</v>
      </c>
      <c r="C9" s="310"/>
      <c r="D9" s="310"/>
      <c r="E9" s="310"/>
      <c r="F9" s="310"/>
      <c r="G9" s="310"/>
      <c r="H9" s="310"/>
      <c r="I9" s="310"/>
      <c r="J9" s="310"/>
      <c r="K9" s="310"/>
      <c r="L9" s="310"/>
      <c r="M9" s="310"/>
      <c r="N9" s="310"/>
      <c r="O9" s="310"/>
      <c r="P9"/>
      <c r="Q9"/>
    </row>
    <row r="10" spans="2:17" ht="15" x14ac:dyDescent="0.2">
      <c r="B10" s="292" t="s">
        <v>223</v>
      </c>
      <c r="C10" s="292" t="s">
        <v>224</v>
      </c>
      <c r="D10" s="316">
        <v>201.66</v>
      </c>
      <c r="E10" s="316">
        <v>23220</v>
      </c>
      <c r="F10" s="316">
        <v>7880</v>
      </c>
      <c r="G10" s="434">
        <f t="shared" ref="G10:G16" si="0">E10+F10</f>
        <v>31100</v>
      </c>
      <c r="H10" s="316">
        <v>13000</v>
      </c>
      <c r="I10" s="316">
        <v>1945</v>
      </c>
      <c r="J10" s="316">
        <v>10.85</v>
      </c>
      <c r="K10" s="317">
        <v>0.08</v>
      </c>
      <c r="L10" s="435">
        <f t="shared" ref="L10:L16" si="1">I10/H10</f>
        <v>0.14961538461538462</v>
      </c>
      <c r="M10" s="436">
        <f t="shared" ref="M10:M16" si="2">G10/H10</f>
        <v>2.3923076923076922</v>
      </c>
      <c r="N10" s="436">
        <f t="shared" ref="N10:N16" si="3">G10/I10</f>
        <v>15.989717223650386</v>
      </c>
      <c r="O10" s="436">
        <f t="shared" ref="O10:O16" si="4">D10/J10</f>
        <v>18.586175115207375</v>
      </c>
      <c r="P10"/>
      <c r="Q10"/>
    </row>
    <row r="11" spans="2:17" ht="15" x14ac:dyDescent="0.2">
      <c r="B11" s="5" t="s">
        <v>225</v>
      </c>
      <c r="C11" s="5" t="s">
        <v>226</v>
      </c>
      <c r="D11" s="43">
        <v>160</v>
      </c>
      <c r="E11" s="43">
        <v>10570</v>
      </c>
      <c r="F11" s="43">
        <v>-120</v>
      </c>
      <c r="G11" s="437">
        <f t="shared" si="0"/>
        <v>10450</v>
      </c>
      <c r="H11" s="43">
        <v>6280</v>
      </c>
      <c r="I11" s="43">
        <v>740</v>
      </c>
      <c r="J11" s="43">
        <v>6.85</v>
      </c>
      <c r="K11" s="318">
        <v>6.8000000000000005E-2</v>
      </c>
      <c r="L11" s="383">
        <f t="shared" si="1"/>
        <v>0.1178343949044586</v>
      </c>
      <c r="M11" s="438">
        <f t="shared" si="2"/>
        <v>1.6640127388535031</v>
      </c>
      <c r="N11" s="438">
        <f t="shared" si="3"/>
        <v>14.121621621621621</v>
      </c>
      <c r="O11" s="438">
        <f t="shared" si="4"/>
        <v>23.357664233576642</v>
      </c>
      <c r="P11"/>
      <c r="Q11"/>
    </row>
    <row r="12" spans="2:17" ht="15" x14ac:dyDescent="0.2">
      <c r="B12" s="5" t="s">
        <v>227</v>
      </c>
      <c r="C12" s="5" t="s">
        <v>228</v>
      </c>
      <c r="D12" s="43">
        <v>62</v>
      </c>
      <c r="E12" s="43">
        <v>2940</v>
      </c>
      <c r="F12" s="43">
        <v>350</v>
      </c>
      <c r="G12" s="437">
        <f t="shared" si="0"/>
        <v>3290</v>
      </c>
      <c r="H12" s="43">
        <v>3750</v>
      </c>
      <c r="I12" s="43">
        <v>335</v>
      </c>
      <c r="J12" s="43">
        <v>4.45</v>
      </c>
      <c r="K12" s="318">
        <v>4.4999999999999998E-2</v>
      </c>
      <c r="L12" s="383">
        <f t="shared" si="1"/>
        <v>8.9333333333333334E-2</v>
      </c>
      <c r="M12" s="438">
        <f t="shared" si="2"/>
        <v>0.8773333333333333</v>
      </c>
      <c r="N12" s="438">
        <f t="shared" si="3"/>
        <v>9.8208955223880601</v>
      </c>
      <c r="O12" s="438">
        <f t="shared" si="4"/>
        <v>13.932584269662922</v>
      </c>
      <c r="P12"/>
      <c r="Q12"/>
    </row>
    <row r="13" spans="2:17" ht="16" customHeight="1" x14ac:dyDescent="0.2">
      <c r="B13" s="5" t="s">
        <v>229</v>
      </c>
      <c r="C13" s="5" t="s">
        <v>230</v>
      </c>
      <c r="D13" s="43">
        <v>9.5</v>
      </c>
      <c r="E13" s="43">
        <v>810</v>
      </c>
      <c r="F13" s="43">
        <v>1100</v>
      </c>
      <c r="G13" s="437">
        <f t="shared" si="0"/>
        <v>1910</v>
      </c>
      <c r="H13" s="43">
        <v>4020</v>
      </c>
      <c r="I13" s="43">
        <v>340</v>
      </c>
      <c r="J13" s="43">
        <v>1.25</v>
      </c>
      <c r="K13" s="318">
        <v>-0.02</v>
      </c>
      <c r="L13" s="383">
        <f t="shared" si="1"/>
        <v>8.45771144278607E-2</v>
      </c>
      <c r="M13" s="438">
        <f t="shared" si="2"/>
        <v>0.47512437810945274</v>
      </c>
      <c r="N13" s="438">
        <f t="shared" si="3"/>
        <v>5.617647058823529</v>
      </c>
      <c r="O13" s="438">
        <f t="shared" si="4"/>
        <v>7.6</v>
      </c>
      <c r="P13"/>
      <c r="Q13"/>
    </row>
    <row r="14" spans="2:17" ht="15" x14ac:dyDescent="0.2">
      <c r="B14" s="5" t="s">
        <v>231</v>
      </c>
      <c r="C14" s="5" t="s">
        <v>232</v>
      </c>
      <c r="D14" s="43">
        <v>24</v>
      </c>
      <c r="E14" s="43">
        <v>365</v>
      </c>
      <c r="F14" s="43">
        <v>1080</v>
      </c>
      <c r="G14" s="437">
        <f t="shared" si="0"/>
        <v>1445</v>
      </c>
      <c r="H14" s="43">
        <v>800</v>
      </c>
      <c r="I14" s="43">
        <v>200</v>
      </c>
      <c r="J14" s="43">
        <v>4.8499999999999996</v>
      </c>
      <c r="K14" s="318">
        <v>-2.5000000000000001E-2</v>
      </c>
      <c r="L14" s="383">
        <f t="shared" si="1"/>
        <v>0.25</v>
      </c>
      <c r="M14" s="438">
        <f t="shared" si="2"/>
        <v>1.8062499999999999</v>
      </c>
      <c r="N14" s="438">
        <f t="shared" si="3"/>
        <v>7.2249999999999996</v>
      </c>
      <c r="O14" s="438">
        <f t="shared" si="4"/>
        <v>4.9484536082474229</v>
      </c>
      <c r="P14"/>
      <c r="Q14"/>
    </row>
    <row r="15" spans="2:17" ht="15" x14ac:dyDescent="0.2">
      <c r="B15" s="5" t="s">
        <v>233</v>
      </c>
      <c r="C15" s="5" t="s">
        <v>234</v>
      </c>
      <c r="D15" s="43">
        <v>42</v>
      </c>
      <c r="E15" s="43">
        <v>940</v>
      </c>
      <c r="F15" s="43">
        <v>540</v>
      </c>
      <c r="G15" s="437">
        <f t="shared" si="0"/>
        <v>1480</v>
      </c>
      <c r="H15" s="43">
        <v>3470</v>
      </c>
      <c r="I15" s="43">
        <v>205</v>
      </c>
      <c r="J15" s="43">
        <v>2.6</v>
      </c>
      <c r="K15" s="318">
        <v>0.01</v>
      </c>
      <c r="L15" s="383">
        <f t="shared" si="1"/>
        <v>5.9077809798270896E-2</v>
      </c>
      <c r="M15" s="438">
        <f t="shared" si="2"/>
        <v>0.4265129682997118</v>
      </c>
      <c r="N15" s="438">
        <f t="shared" si="3"/>
        <v>7.2195121951219514</v>
      </c>
      <c r="O15" s="438">
        <f t="shared" si="4"/>
        <v>16.153846153846153</v>
      </c>
      <c r="P15"/>
      <c r="Q15"/>
    </row>
    <row r="16" spans="2:17" ht="15" x14ac:dyDescent="0.2">
      <c r="B16" s="5" t="s">
        <v>235</v>
      </c>
      <c r="C16" s="5" t="s">
        <v>236</v>
      </c>
      <c r="D16" s="43">
        <v>37</v>
      </c>
      <c r="E16" s="43">
        <v>840</v>
      </c>
      <c r="F16" s="43">
        <v>45</v>
      </c>
      <c r="G16" s="437">
        <f t="shared" si="0"/>
        <v>885</v>
      </c>
      <c r="H16" s="43">
        <v>1435</v>
      </c>
      <c r="I16" s="43">
        <v>115</v>
      </c>
      <c r="J16" s="43">
        <v>1.95</v>
      </c>
      <c r="K16" s="318">
        <v>0.04</v>
      </c>
      <c r="L16" s="383">
        <f t="shared" si="1"/>
        <v>8.0139372822299645E-2</v>
      </c>
      <c r="M16" s="438">
        <f t="shared" si="2"/>
        <v>0.61672473867595823</v>
      </c>
      <c r="N16" s="438">
        <f t="shared" si="3"/>
        <v>7.6956521739130439</v>
      </c>
      <c r="O16" s="438">
        <f t="shared" si="4"/>
        <v>18.974358974358974</v>
      </c>
      <c r="P16"/>
      <c r="Q16"/>
    </row>
    <row r="17" spans="2:17" ht="15" x14ac:dyDescent="0.2">
      <c r="B17" s="3"/>
      <c r="C17" s="3"/>
      <c r="D17" s="3"/>
      <c r="E17" s="3"/>
      <c r="F17" s="3"/>
      <c r="G17" s="3"/>
      <c r="H17" s="3"/>
      <c r="I17" s="3"/>
      <c r="J17" s="3"/>
      <c r="K17" s="3"/>
      <c r="L17" s="3"/>
      <c r="M17" s="3"/>
      <c r="N17" s="3"/>
      <c r="O17" s="3"/>
      <c r="P17"/>
      <c r="Q17"/>
    </row>
    <row r="18" spans="2:17" ht="16" thickBot="1" x14ac:dyDescent="0.25">
      <c r="B18" s="309" t="s">
        <v>237</v>
      </c>
      <c r="C18" s="310"/>
      <c r="D18" s="310"/>
      <c r="E18" s="310"/>
      <c r="F18" s="310"/>
      <c r="G18" s="310"/>
      <c r="H18" s="310"/>
      <c r="I18" s="310"/>
      <c r="J18" s="310"/>
      <c r="K18" s="310"/>
      <c r="L18" s="310"/>
      <c r="M18" s="310"/>
      <c r="N18" s="310"/>
      <c r="O18" s="310"/>
      <c r="P18"/>
      <c r="Q18"/>
    </row>
    <row r="19" spans="2:17" ht="15" x14ac:dyDescent="0.2">
      <c r="B19" s="320" t="s">
        <v>238</v>
      </c>
      <c r="C19" s="292"/>
      <c r="D19" s="292"/>
      <c r="E19" s="292"/>
      <c r="F19" s="292"/>
      <c r="G19" s="292"/>
      <c r="H19" s="292"/>
      <c r="I19" s="292"/>
      <c r="J19" s="292"/>
      <c r="K19" s="439">
        <f>AVERAGE(K10:K16)</f>
        <v>2.8285714285714292E-2</v>
      </c>
      <c r="L19" s="439">
        <f>AVERAGE(L10:L16)</f>
        <v>0.11865391570022969</v>
      </c>
      <c r="M19" s="440">
        <f>AVERAGE(M10:M16)</f>
        <v>1.1797522642256646</v>
      </c>
      <c r="N19" s="440">
        <f>AVERAGE(N10:N16)</f>
        <v>9.6700065422169423</v>
      </c>
      <c r="O19" s="440">
        <f>AVERAGE(O10:O16)</f>
        <v>14.793297479271356</v>
      </c>
      <c r="P19"/>
      <c r="Q19"/>
    </row>
    <row r="20" spans="2:17" ht="15" x14ac:dyDescent="0.2">
      <c r="B20" s="321" t="s">
        <v>239</v>
      </c>
      <c r="C20" s="5"/>
      <c r="D20" s="5"/>
      <c r="E20" s="5"/>
      <c r="F20" s="5"/>
      <c r="G20" s="5"/>
      <c r="H20" s="5"/>
      <c r="I20" s="5"/>
      <c r="J20" s="5"/>
      <c r="K20" s="441">
        <f>MEDIAN(K10:K16)</f>
        <v>0.04</v>
      </c>
      <c r="L20" s="441">
        <f>MEDIAN(L10:L16)</f>
        <v>8.9333333333333334E-2</v>
      </c>
      <c r="M20" s="442">
        <f>MEDIAN(M10:M16)</f>
        <v>0.8773333333333333</v>
      </c>
      <c r="N20" s="442">
        <f>MEDIAN(N10:N16)</f>
        <v>7.6956521739130439</v>
      </c>
      <c r="O20" s="442">
        <f>MEDIAN(O10:O16)</f>
        <v>16.153846153846153</v>
      </c>
      <c r="P20"/>
      <c r="Q20"/>
    </row>
    <row r="21" spans="2:17" ht="15" x14ac:dyDescent="0.2">
      <c r="B21" s="322" t="s">
        <v>240</v>
      </c>
      <c r="C21" s="5"/>
      <c r="D21" s="5"/>
      <c r="E21" s="5"/>
      <c r="F21" s="5"/>
      <c r="G21" s="5"/>
      <c r="H21" s="5"/>
      <c r="I21" s="5"/>
      <c r="J21" s="5"/>
      <c r="K21" s="383">
        <f>MAX(K10:K16)</f>
        <v>0.08</v>
      </c>
      <c r="L21" s="383">
        <f>MAX(L10:L16)</f>
        <v>0.25</v>
      </c>
      <c r="M21" s="438">
        <f>MAX(M10:M16)</f>
        <v>2.3923076923076922</v>
      </c>
      <c r="N21" s="438">
        <f>MAX(N10:N16)</f>
        <v>15.989717223650386</v>
      </c>
      <c r="O21" s="438">
        <f>MAX(O10:O16)</f>
        <v>23.357664233576642</v>
      </c>
      <c r="P21"/>
      <c r="Q21"/>
    </row>
    <row r="22" spans="2:17" ht="15" x14ac:dyDescent="0.2">
      <c r="B22" s="322" t="s">
        <v>241</v>
      </c>
      <c r="C22" s="5"/>
      <c r="D22" s="5"/>
      <c r="E22" s="5"/>
      <c r="F22" s="5"/>
      <c r="G22" s="5"/>
      <c r="H22" s="5"/>
      <c r="I22" s="5"/>
      <c r="J22" s="5"/>
      <c r="K22" s="383">
        <f>MIN(K10:K16)</f>
        <v>-2.5000000000000001E-2</v>
      </c>
      <c r="L22" s="383">
        <f>MIN(L10:L16)</f>
        <v>5.9077809798270896E-2</v>
      </c>
      <c r="M22" s="438">
        <f>MIN(M10:M16)</f>
        <v>0.4265129682997118</v>
      </c>
      <c r="N22" s="438">
        <f>MIN(N10:N16)</f>
        <v>5.617647058823529</v>
      </c>
      <c r="O22" s="438">
        <f>MIN(O10:O16)</f>
        <v>4.9484536082474229</v>
      </c>
      <c r="P22"/>
      <c r="Q22"/>
    </row>
    <row r="23" spans="2:17" ht="15" x14ac:dyDescent="0.2">
      <c r="B23" s="3"/>
      <c r="C23" s="3"/>
      <c r="D23" s="3"/>
      <c r="E23" s="3"/>
      <c r="F23" s="3"/>
      <c r="G23" s="3"/>
      <c r="H23" s="3"/>
      <c r="I23" s="3"/>
      <c r="J23" s="3"/>
      <c r="K23" s="3"/>
      <c r="L23" s="3"/>
      <c r="M23" s="3"/>
      <c r="N23" s="3"/>
      <c r="O23" s="3"/>
      <c r="P23"/>
      <c r="Q23"/>
    </row>
    <row r="24" spans="2:17" ht="16" thickBot="1" x14ac:dyDescent="0.25">
      <c r="B24" s="309" t="s">
        <v>242</v>
      </c>
      <c r="C24" s="310"/>
      <c r="D24" s="310"/>
      <c r="E24" s="310"/>
      <c r="F24" s="310"/>
      <c r="G24" s="310"/>
      <c r="H24" s="310"/>
      <c r="I24" s="310"/>
      <c r="J24" s="3"/>
      <c r="K24" s="3"/>
      <c r="L24" s="3"/>
      <c r="M24" s="3"/>
      <c r="N24" s="3"/>
      <c r="O24" s="3"/>
      <c r="P24"/>
      <c r="Q24"/>
    </row>
    <row r="25" spans="2:17" ht="15" x14ac:dyDescent="0.2">
      <c r="B25" s="292" t="s">
        <v>243</v>
      </c>
      <c r="C25" s="292"/>
      <c r="D25" s="323" t="s">
        <v>546</v>
      </c>
      <c r="E25" s="323" t="s">
        <v>244</v>
      </c>
      <c r="F25" s="323" t="s">
        <v>245</v>
      </c>
      <c r="G25" s="323" t="s">
        <v>246</v>
      </c>
      <c r="H25" s="323" t="s">
        <v>247</v>
      </c>
      <c r="I25" s="323" t="s">
        <v>248</v>
      </c>
      <c r="J25" s="3"/>
      <c r="K25" s="3"/>
      <c r="L25" s="3"/>
      <c r="M25" s="3"/>
      <c r="N25" s="3"/>
      <c r="O25" s="3"/>
      <c r="P25"/>
      <c r="Q25"/>
    </row>
    <row r="26" spans="2:17" ht="15" x14ac:dyDescent="0.2">
      <c r="B26" s="5" t="s">
        <v>249</v>
      </c>
      <c r="C26" s="5"/>
      <c r="D26" s="403">
        <f>M20</f>
        <v>0.8773333333333333</v>
      </c>
      <c r="E26" s="443">
        <f>H7</f>
        <v>5804.514069546437</v>
      </c>
      <c r="F26" s="443">
        <f>D26*E26</f>
        <v>5092.4936770154072</v>
      </c>
      <c r="G26" s="443">
        <f>F26-F7</f>
        <v>4685.3936770154069</v>
      </c>
      <c r="H26" s="444">
        <f>G26/'DCF &amp; Sensitivity'!D51</f>
        <v>102.97568520912982</v>
      </c>
      <c r="I26" s="445">
        <f>H26/D7-1</f>
        <v>-0.38704949280279866</v>
      </c>
      <c r="J26" s="3"/>
      <c r="K26" s="3"/>
      <c r="L26" s="3"/>
      <c r="M26" s="3"/>
      <c r="N26" s="3"/>
      <c r="O26" s="3"/>
      <c r="P26"/>
      <c r="Q26"/>
    </row>
    <row r="27" spans="2:17" ht="15" x14ac:dyDescent="0.2">
      <c r="B27" s="5" t="s">
        <v>250</v>
      </c>
      <c r="C27" s="5"/>
      <c r="D27" s="403">
        <f>N20</f>
        <v>7.6956521739130439</v>
      </c>
      <c r="E27" s="443">
        <f>I7</f>
        <v>849.00457509503281</v>
      </c>
      <c r="F27" s="443">
        <f>D27*E27</f>
        <v>6533.6439039922097</v>
      </c>
      <c r="G27" s="443">
        <f>F27-F7</f>
        <v>6126.5439039922094</v>
      </c>
      <c r="H27" s="444">
        <f>G27/'DCF &amp; Sensitivity'!D51</f>
        <v>134.64931657125734</v>
      </c>
      <c r="I27" s="445">
        <f>H27/D7-1</f>
        <v>-0.19851597279013489</v>
      </c>
      <c r="J27" s="3"/>
      <c r="K27" s="3"/>
      <c r="L27" s="3"/>
      <c r="M27" s="3"/>
      <c r="N27" s="3"/>
      <c r="O27" s="3"/>
      <c r="P27"/>
      <c r="Q27"/>
    </row>
    <row r="28" spans="2:17" ht="15" x14ac:dyDescent="0.2">
      <c r="B28" s="5" t="s">
        <v>251</v>
      </c>
      <c r="C28" s="5"/>
      <c r="D28" s="403">
        <f>O20</f>
        <v>16.153846153846153</v>
      </c>
      <c r="E28" s="443">
        <f>J7</f>
        <v>10.583722650988818</v>
      </c>
      <c r="F28" s="324" t="s">
        <v>252</v>
      </c>
      <c r="G28" s="324" t="s">
        <v>252</v>
      </c>
      <c r="H28" s="443">
        <f>D28*E28</f>
        <v>170.96782743905013</v>
      </c>
      <c r="I28" s="445">
        <f>H28/D7-1</f>
        <v>1.7665639518155585E-2</v>
      </c>
      <c r="J28" s="3"/>
      <c r="K28" s="3"/>
      <c r="L28" s="3"/>
      <c r="M28" s="3"/>
      <c r="N28" s="3"/>
      <c r="O28" s="3"/>
      <c r="P28"/>
      <c r="Q28"/>
    </row>
    <row r="29" spans="2:17" ht="15" x14ac:dyDescent="0.2">
      <c r="B29" s="3"/>
      <c r="C29" s="3"/>
      <c r="D29" s="3"/>
      <c r="E29" s="3"/>
      <c r="F29" s="3"/>
      <c r="G29" s="3"/>
      <c r="H29" s="3"/>
      <c r="I29" s="3"/>
      <c r="J29" s="3"/>
      <c r="K29" s="3"/>
      <c r="L29" s="3"/>
      <c r="M29" s="3"/>
      <c r="N29" s="3"/>
      <c r="O29" s="3"/>
      <c r="P29"/>
      <c r="Q29"/>
    </row>
    <row r="30" spans="2:17" ht="16" thickBot="1" x14ac:dyDescent="0.25">
      <c r="B30" s="309" t="s">
        <v>253</v>
      </c>
      <c r="C30" s="310"/>
      <c r="D30" s="310"/>
      <c r="E30" s="310"/>
      <c r="F30" s="310"/>
      <c r="G30" s="310"/>
      <c r="H30" s="310"/>
      <c r="I30" s="310"/>
      <c r="J30" s="3"/>
      <c r="K30" s="3"/>
      <c r="L30" s="3"/>
      <c r="M30" s="3"/>
      <c r="N30" s="3"/>
      <c r="O30" s="3"/>
      <c r="P30"/>
      <c r="Q30"/>
    </row>
    <row r="31" spans="2:17" ht="15" customHeight="1" x14ac:dyDescent="0.2">
      <c r="B31" s="378" t="s">
        <v>547</v>
      </c>
      <c r="C31" s="378"/>
      <c r="D31" s="378"/>
      <c r="E31" s="378"/>
      <c r="F31" s="378"/>
      <c r="G31" s="378"/>
      <c r="H31" s="378"/>
      <c r="I31" s="378"/>
      <c r="J31" s="3"/>
      <c r="K31" s="3"/>
      <c r="L31" s="3"/>
      <c r="M31" s="3"/>
      <c r="N31" s="3"/>
      <c r="O31" s="3"/>
      <c r="P31"/>
      <c r="Q31"/>
    </row>
    <row r="32" spans="2:17" ht="15" x14ac:dyDescent="0.2">
      <c r="B32" s="364"/>
      <c r="C32" s="364"/>
      <c r="D32" s="364"/>
      <c r="E32" s="364"/>
      <c r="F32" s="364"/>
      <c r="G32" s="364"/>
      <c r="H32" s="364"/>
      <c r="I32" s="364"/>
      <c r="J32"/>
      <c r="K32"/>
      <c r="L32"/>
      <c r="M32"/>
      <c r="N32"/>
      <c r="O32"/>
      <c r="P32"/>
      <c r="Q32"/>
    </row>
    <row r="33" spans="2:17" ht="15" x14ac:dyDescent="0.2">
      <c r="B33" s="364"/>
      <c r="C33" s="364"/>
      <c r="D33" s="364"/>
      <c r="E33" s="364"/>
      <c r="F33" s="364"/>
      <c r="G33" s="364"/>
      <c r="H33" s="364"/>
      <c r="I33" s="364"/>
      <c r="J33"/>
      <c r="K33"/>
      <c r="L33"/>
      <c r="M33"/>
      <c r="N33"/>
      <c r="O33"/>
      <c r="P33"/>
      <c r="Q33"/>
    </row>
    <row r="34" spans="2:17" ht="15" x14ac:dyDescent="0.2">
      <c r="B34" s="364"/>
      <c r="C34" s="364"/>
      <c r="D34" s="364"/>
      <c r="E34" s="364"/>
      <c r="F34" s="364"/>
      <c r="G34" s="364"/>
      <c r="H34" s="364"/>
      <c r="I34" s="364"/>
      <c r="J34"/>
      <c r="K34"/>
      <c r="L34"/>
      <c r="M34"/>
      <c r="N34"/>
      <c r="O34"/>
      <c r="P34"/>
      <c r="Q34"/>
    </row>
    <row r="35" spans="2:17" ht="15" x14ac:dyDescent="0.2">
      <c r="B35" s="364"/>
      <c r="C35" s="364"/>
      <c r="D35" s="364"/>
      <c r="E35" s="364"/>
      <c r="F35" s="364"/>
      <c r="G35" s="364"/>
      <c r="H35" s="364"/>
      <c r="I35" s="364"/>
      <c r="J35"/>
      <c r="K35"/>
      <c r="L35" t="s">
        <v>548</v>
      </c>
      <c r="M35"/>
      <c r="N35"/>
      <c r="O35"/>
      <c r="P35"/>
      <c r="Q35"/>
    </row>
    <row r="36" spans="2:17" ht="15" x14ac:dyDescent="0.2">
      <c r="B36" s="364"/>
      <c r="C36" s="364"/>
      <c r="D36" s="364"/>
      <c r="E36" s="364"/>
      <c r="F36" s="364"/>
      <c r="G36" s="364"/>
      <c r="H36" s="364"/>
      <c r="I36" s="364"/>
      <c r="J36"/>
      <c r="K36"/>
      <c r="L36"/>
      <c r="M36"/>
      <c r="N36"/>
      <c r="O36"/>
      <c r="P36"/>
      <c r="Q36"/>
    </row>
    <row r="37" spans="2:17" ht="15" x14ac:dyDescent="0.2">
      <c r="B37" s="364"/>
      <c r="C37" s="364"/>
      <c r="D37" s="364"/>
      <c r="E37" s="364"/>
      <c r="F37" s="364"/>
      <c r="G37" s="364"/>
      <c r="H37" s="364"/>
      <c r="I37" s="364"/>
      <c r="J37"/>
      <c r="K37"/>
      <c r="L37"/>
      <c r="M37"/>
      <c r="N37"/>
      <c r="O37"/>
      <c r="P37"/>
      <c r="Q37"/>
    </row>
    <row r="38" spans="2:17" ht="15" x14ac:dyDescent="0.2">
      <c r="B38" s="364"/>
      <c r="C38" s="364"/>
      <c r="D38" s="364"/>
      <c r="E38" s="364"/>
      <c r="F38" s="364"/>
      <c r="G38" s="364"/>
      <c r="H38" s="364"/>
      <c r="I38" s="364"/>
      <c r="J38"/>
      <c r="K38"/>
      <c r="L38"/>
      <c r="M38"/>
      <c r="N38"/>
      <c r="O38"/>
      <c r="P38"/>
      <c r="Q38"/>
    </row>
    <row r="39" spans="2:17" ht="15" x14ac:dyDescent="0.2">
      <c r="B39" s="350"/>
      <c r="C39" s="350"/>
      <c r="D39" s="350"/>
      <c r="E39" s="350"/>
      <c r="F39" s="350"/>
      <c r="G39" s="350"/>
      <c r="H39" s="350"/>
      <c r="I39" s="350"/>
      <c r="J39"/>
      <c r="K39"/>
      <c r="L39"/>
      <c r="M39"/>
      <c r="N39"/>
      <c r="O39"/>
      <c r="P39"/>
      <c r="Q39"/>
    </row>
    <row r="40" spans="2:17" ht="15" x14ac:dyDescent="0.2">
      <c r="B40" s="350"/>
      <c r="C40" s="350"/>
      <c r="D40" s="350"/>
      <c r="E40" s="350"/>
      <c r="F40" s="350"/>
      <c r="G40" s="350"/>
      <c r="H40" s="350"/>
      <c r="I40" s="350"/>
      <c r="J40"/>
      <c r="K40"/>
      <c r="L40"/>
      <c r="M40"/>
      <c r="N40"/>
      <c r="O40"/>
      <c r="P40"/>
      <c r="Q40"/>
    </row>
    <row r="41" spans="2:17" ht="15" x14ac:dyDescent="0.2">
      <c r="B41" s="350"/>
      <c r="C41" s="350"/>
      <c r="D41" s="350"/>
      <c r="E41" s="350"/>
      <c r="F41" s="350"/>
      <c r="G41" s="350"/>
      <c r="H41" s="350"/>
      <c r="I41" s="350"/>
      <c r="J41"/>
      <c r="K41"/>
      <c r="L41"/>
      <c r="M41"/>
      <c r="N41"/>
      <c r="O41"/>
      <c r="P41"/>
      <c r="Q41"/>
    </row>
    <row r="42" spans="2:17" ht="15" x14ac:dyDescent="0.2">
      <c r="B42" s="350"/>
      <c r="C42" s="350"/>
      <c r="D42" s="350"/>
      <c r="E42" s="350"/>
      <c r="F42" s="350"/>
      <c r="G42" s="350"/>
      <c r="H42" s="350"/>
      <c r="I42" s="350"/>
      <c r="J42"/>
      <c r="K42"/>
      <c r="L42"/>
      <c r="M42"/>
      <c r="N42"/>
      <c r="O42"/>
      <c r="P42"/>
      <c r="Q42"/>
    </row>
    <row r="43" spans="2:17" ht="15" x14ac:dyDescent="0.2">
      <c r="B43"/>
      <c r="C43"/>
      <c r="D43"/>
      <c r="E43"/>
      <c r="F43"/>
      <c r="G43"/>
      <c r="H43"/>
      <c r="I43"/>
      <c r="J43"/>
      <c r="K43"/>
      <c r="L43"/>
      <c r="M43"/>
      <c r="N43"/>
      <c r="O43"/>
      <c r="P43"/>
      <c r="Q43"/>
    </row>
    <row r="44" spans="2:17" ht="15" x14ac:dyDescent="0.2">
      <c r="B44"/>
      <c r="C44"/>
      <c r="D44"/>
      <c r="E44"/>
      <c r="F44"/>
      <c r="G44"/>
      <c r="H44"/>
      <c r="I44"/>
      <c r="J44"/>
      <c r="K44"/>
      <c r="L44"/>
      <c r="M44"/>
      <c r="N44"/>
      <c r="O44"/>
      <c r="P44"/>
      <c r="Q44"/>
    </row>
    <row r="45" spans="2:17" ht="15" x14ac:dyDescent="0.2">
      <c r="B45"/>
      <c r="C45"/>
      <c r="D45"/>
      <c r="E45"/>
      <c r="F45"/>
      <c r="G45"/>
      <c r="H45"/>
      <c r="I45"/>
      <c r="J45"/>
      <c r="K45"/>
      <c r="L45"/>
      <c r="M45"/>
      <c r="N45"/>
      <c r="O45"/>
      <c r="P45"/>
      <c r="Q45"/>
    </row>
    <row r="46" spans="2:17" ht="15" x14ac:dyDescent="0.2">
      <c r="B46"/>
      <c r="C46"/>
      <c r="D46"/>
      <c r="E46"/>
      <c r="F46"/>
      <c r="G46"/>
      <c r="H46"/>
      <c r="I46"/>
      <c r="J46"/>
      <c r="K46"/>
      <c r="L46"/>
      <c r="M46"/>
      <c r="N46"/>
      <c r="O46"/>
      <c r="P46"/>
      <c r="Q46"/>
    </row>
    <row r="47" spans="2:17" ht="15" x14ac:dyDescent="0.2">
      <c r="B47"/>
      <c r="C47"/>
      <c r="D47"/>
      <c r="E47"/>
      <c r="F47"/>
      <c r="G47"/>
      <c r="H47"/>
      <c r="I47"/>
      <c r="J47"/>
      <c r="K47"/>
      <c r="L47"/>
      <c r="M47"/>
      <c r="N47"/>
      <c r="O47"/>
      <c r="P47"/>
      <c r="Q47"/>
    </row>
    <row r="48" spans="2:17" ht="15" x14ac:dyDescent="0.2">
      <c r="B48"/>
      <c r="C48"/>
      <c r="D48"/>
      <c r="E48"/>
      <c r="F48"/>
      <c r="G48"/>
      <c r="H48"/>
      <c r="I48"/>
      <c r="J48"/>
      <c r="K48"/>
      <c r="L48"/>
      <c r="M48"/>
      <c r="N48"/>
      <c r="O48"/>
      <c r="P48"/>
      <c r="Q48"/>
    </row>
    <row r="49" spans="2:17" ht="15" x14ac:dyDescent="0.2">
      <c r="B49"/>
      <c r="C49"/>
      <c r="D49"/>
      <c r="E49"/>
      <c r="F49"/>
      <c r="G49"/>
      <c r="H49"/>
      <c r="I49"/>
      <c r="J49"/>
      <c r="K49"/>
      <c r="L49"/>
      <c r="M49"/>
      <c r="N49"/>
      <c r="O49"/>
      <c r="P49"/>
      <c r="Q49"/>
    </row>
    <row r="50" spans="2:17" ht="15" x14ac:dyDescent="0.2">
      <c r="B50"/>
      <c r="C50"/>
      <c r="D50"/>
      <c r="E50"/>
      <c r="F50"/>
      <c r="G50"/>
      <c r="H50"/>
      <c r="I50"/>
      <c r="J50"/>
      <c r="K50"/>
      <c r="L50"/>
      <c r="M50"/>
      <c r="N50"/>
      <c r="O50"/>
      <c r="P50"/>
      <c r="Q50"/>
    </row>
    <row r="51" spans="2:17" ht="15" x14ac:dyDescent="0.2">
      <c r="B51"/>
      <c r="C51"/>
      <c r="D51"/>
      <c r="E51"/>
      <c r="F51"/>
      <c r="G51"/>
      <c r="H51"/>
      <c r="I51"/>
      <c r="J51"/>
      <c r="K51"/>
      <c r="L51"/>
      <c r="M51"/>
      <c r="N51"/>
      <c r="O51"/>
      <c r="P51"/>
      <c r="Q51"/>
    </row>
    <row r="52" spans="2:17" ht="15" x14ac:dyDescent="0.2">
      <c r="B52"/>
      <c r="C52"/>
      <c r="D52"/>
      <c r="E52"/>
      <c r="F52"/>
      <c r="G52"/>
      <c r="H52"/>
      <c r="I52"/>
      <c r="J52"/>
      <c r="K52"/>
      <c r="L52"/>
      <c r="M52"/>
      <c r="N52"/>
      <c r="O52"/>
      <c r="P52"/>
      <c r="Q52"/>
    </row>
    <row r="53" spans="2:17" ht="15" x14ac:dyDescent="0.2">
      <c r="B53"/>
      <c r="C53"/>
      <c r="D53"/>
      <c r="E53"/>
      <c r="F53"/>
      <c r="G53"/>
      <c r="H53"/>
      <c r="I53"/>
      <c r="J53"/>
      <c r="K53"/>
      <c r="L53"/>
      <c r="M53"/>
      <c r="N53"/>
      <c r="O53"/>
      <c r="P53"/>
      <c r="Q53"/>
    </row>
    <row r="54" spans="2:17" ht="15" x14ac:dyDescent="0.2">
      <c r="B54"/>
      <c r="C54"/>
      <c r="D54"/>
      <c r="E54"/>
      <c r="F54"/>
      <c r="G54"/>
      <c r="H54"/>
      <c r="I54"/>
      <c r="J54"/>
      <c r="K54"/>
      <c r="L54"/>
      <c r="M54"/>
      <c r="N54"/>
      <c r="O54"/>
      <c r="P54"/>
      <c r="Q54"/>
    </row>
    <row r="55" spans="2:17" ht="15" x14ac:dyDescent="0.2">
      <c r="B55"/>
      <c r="C55"/>
      <c r="D55"/>
      <c r="E55"/>
      <c r="F55"/>
      <c r="G55"/>
      <c r="H55"/>
      <c r="I55"/>
      <c r="J55"/>
      <c r="K55"/>
      <c r="L55"/>
      <c r="M55"/>
      <c r="N55"/>
      <c r="O55"/>
      <c r="P55"/>
      <c r="Q55"/>
    </row>
  </sheetData>
  <mergeCells count="1">
    <mergeCell ref="B31:I38"/>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277F8-AD1F-D04D-AB42-6FAF53AFD9A4}">
  <sheetPr>
    <tabColor theme="1"/>
  </sheetPr>
  <dimension ref="B18"/>
  <sheetViews>
    <sheetView showGridLines="0" workbookViewId="0"/>
  </sheetViews>
  <sheetFormatPr baseColWidth="10" defaultRowHeight="15" x14ac:dyDescent="0.2"/>
  <cols>
    <col min="1" max="1" width="3.83203125" customWidth="1"/>
  </cols>
  <sheetData>
    <row r="18" spans="2:2" ht="24" x14ac:dyDescent="0.3">
      <c r="B18" s="48" t="s">
        <v>90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B2:C33"/>
  <sheetViews>
    <sheetView showGridLines="0" workbookViewId="0"/>
  </sheetViews>
  <sheetFormatPr baseColWidth="10" defaultColWidth="8.83203125" defaultRowHeight="14" x14ac:dyDescent="0.2"/>
  <cols>
    <col min="1" max="1" width="4.1640625" style="16" customWidth="1"/>
    <col min="2" max="2" width="56.6640625" style="16" customWidth="1"/>
    <col min="3" max="3" width="141.5" style="16" customWidth="1"/>
    <col min="4" max="5" width="8.83203125" style="16" customWidth="1"/>
    <col min="6" max="16384" width="8.83203125" style="16"/>
  </cols>
  <sheetData>
    <row r="2" spans="2:3" ht="19" customHeight="1" x14ac:dyDescent="0.2">
      <c r="B2" s="64" t="s">
        <v>78</v>
      </c>
    </row>
    <row r="3" spans="2:3" ht="15" x14ac:dyDescent="0.2">
      <c r="B3" s="66" t="s">
        <v>266</v>
      </c>
    </row>
    <row r="5" spans="2:3" ht="15" customHeight="1" thickBot="1" x14ac:dyDescent="0.25">
      <c r="B5" s="67" t="s">
        <v>267</v>
      </c>
      <c r="C5" s="65"/>
    </row>
    <row r="6" spans="2:3" x14ac:dyDescent="0.2">
      <c r="B6" s="35" t="s">
        <v>268</v>
      </c>
      <c r="C6" s="35" t="s">
        <v>269</v>
      </c>
    </row>
    <row r="7" spans="2:3" x14ac:dyDescent="0.2">
      <c r="B7" s="30" t="s">
        <v>270</v>
      </c>
      <c r="C7" s="30" t="s">
        <v>271</v>
      </c>
    </row>
    <row r="8" spans="2:3" x14ac:dyDescent="0.2">
      <c r="B8" s="30" t="s">
        <v>272</v>
      </c>
      <c r="C8" s="30" t="s">
        <v>273</v>
      </c>
    </row>
    <row r="9" spans="2:3" x14ac:dyDescent="0.2">
      <c r="B9" s="25" t="s">
        <v>274</v>
      </c>
      <c r="C9" s="25" t="s">
        <v>275</v>
      </c>
    </row>
    <row r="10" spans="2:3" ht="15" customHeight="1" x14ac:dyDescent="0.2">
      <c r="B10" s="340" t="s">
        <v>276</v>
      </c>
      <c r="C10" s="25" t="s">
        <v>277</v>
      </c>
    </row>
    <row r="11" spans="2:3" x14ac:dyDescent="0.2">
      <c r="B11" s="339"/>
      <c r="C11" s="339"/>
    </row>
    <row r="12" spans="2:3" ht="15" thickBot="1" x14ac:dyDescent="0.25">
      <c r="B12" s="341" t="s">
        <v>278</v>
      </c>
      <c r="C12" s="342"/>
    </row>
    <row r="13" spans="2:3" x14ac:dyDescent="0.2">
      <c r="B13" s="35" t="s">
        <v>52</v>
      </c>
      <c r="C13" s="35" t="s">
        <v>279</v>
      </c>
    </row>
    <row r="14" spans="2:3" x14ac:dyDescent="0.2">
      <c r="B14" s="30" t="s">
        <v>53</v>
      </c>
      <c r="C14" s="30" t="s">
        <v>280</v>
      </c>
    </row>
    <row r="15" spans="2:3" x14ac:dyDescent="0.2">
      <c r="B15" s="30" t="s">
        <v>54</v>
      </c>
      <c r="C15" s="30" t="s">
        <v>281</v>
      </c>
    </row>
    <row r="16" spans="2:3" x14ac:dyDescent="0.2">
      <c r="B16" s="30" t="s">
        <v>282</v>
      </c>
      <c r="C16" s="30" t="s">
        <v>283</v>
      </c>
    </row>
    <row r="17" spans="2:3" x14ac:dyDescent="0.2">
      <c r="B17" s="30" t="s">
        <v>284</v>
      </c>
      <c r="C17" s="30" t="s">
        <v>285</v>
      </c>
    </row>
    <row r="18" spans="2:3" x14ac:dyDescent="0.2">
      <c r="B18" s="25" t="s">
        <v>286</v>
      </c>
      <c r="C18" s="25" t="s">
        <v>287</v>
      </c>
    </row>
    <row r="19" spans="2:3" ht="15" customHeight="1" x14ac:dyDescent="0.2">
      <c r="B19" s="25" t="s">
        <v>288</v>
      </c>
      <c r="C19" s="25" t="s">
        <v>289</v>
      </c>
    </row>
    <row r="20" spans="2:3" x14ac:dyDescent="0.2">
      <c r="B20" s="30" t="s">
        <v>290</v>
      </c>
      <c r="C20" s="30" t="s">
        <v>291</v>
      </c>
    </row>
    <row r="21" spans="2:3" x14ac:dyDescent="0.2">
      <c r="B21" s="30"/>
      <c r="C21" s="30"/>
    </row>
    <row r="22" spans="2:3" ht="15" thickBot="1" x14ac:dyDescent="0.25">
      <c r="B22" s="341" t="s">
        <v>292</v>
      </c>
      <c r="C22" s="342"/>
    </row>
    <row r="23" spans="2:3" x14ac:dyDescent="0.2">
      <c r="B23" s="35" t="s">
        <v>293</v>
      </c>
      <c r="C23" s="35" t="s">
        <v>294</v>
      </c>
    </row>
    <row r="24" spans="2:3" x14ac:dyDescent="0.2">
      <c r="B24" s="30" t="s">
        <v>295</v>
      </c>
      <c r="C24" s="30" t="s">
        <v>296</v>
      </c>
    </row>
    <row r="25" spans="2:3" x14ac:dyDescent="0.2">
      <c r="B25" s="25" t="s">
        <v>80</v>
      </c>
      <c r="C25" s="25" t="s">
        <v>297</v>
      </c>
    </row>
    <row r="26" spans="2:3" x14ac:dyDescent="0.2">
      <c r="B26" s="25" t="s">
        <v>298</v>
      </c>
      <c r="C26" s="25" t="s">
        <v>299</v>
      </c>
    </row>
    <row r="27" spans="2:3" x14ac:dyDescent="0.2">
      <c r="B27" s="25" t="s">
        <v>300</v>
      </c>
      <c r="C27" s="25" t="s">
        <v>301</v>
      </c>
    </row>
    <row r="29" spans="2:3" ht="15" thickBot="1" x14ac:dyDescent="0.25">
      <c r="B29" s="67" t="s">
        <v>302</v>
      </c>
      <c r="C29" s="65"/>
    </row>
    <row r="30" spans="2:3" x14ac:dyDescent="0.2">
      <c r="B30" s="343" t="s">
        <v>303</v>
      </c>
      <c r="C30" s="343" t="s">
        <v>304</v>
      </c>
    </row>
    <row r="31" spans="2:3" x14ac:dyDescent="0.2">
      <c r="B31" s="25" t="s">
        <v>305</v>
      </c>
      <c r="C31" s="25" t="s">
        <v>306</v>
      </c>
    </row>
    <row r="32" spans="2:3" x14ac:dyDescent="0.2">
      <c r="B32" s="25" t="s">
        <v>307</v>
      </c>
      <c r="C32" s="25" t="s">
        <v>308</v>
      </c>
    </row>
    <row r="33" spans="2:3" x14ac:dyDescent="0.2">
      <c r="B33" s="25" t="s">
        <v>309</v>
      </c>
      <c r="C33" s="25" t="s">
        <v>310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E2D10-67F9-5345-8ADB-D702D3E7F561}">
  <sheetPr>
    <tabColor rgb="FF808080"/>
  </sheetPr>
  <dimension ref="A2:O165"/>
  <sheetViews>
    <sheetView showGridLines="0" workbookViewId="0"/>
  </sheetViews>
  <sheetFormatPr baseColWidth="10" defaultRowHeight="15" x14ac:dyDescent="0.2"/>
  <cols>
    <col min="1" max="1" width="3.33203125" customWidth="1"/>
    <col min="2" max="2" width="40" customWidth="1"/>
    <col min="3" max="3" width="10" customWidth="1"/>
    <col min="4" max="4" width="13.33203125" customWidth="1"/>
    <col min="5" max="9" width="14.1640625" customWidth="1"/>
  </cols>
  <sheetData>
    <row r="2" spans="1:15" ht="16" x14ac:dyDescent="0.2">
      <c r="B2" s="64" t="s">
        <v>480</v>
      </c>
    </row>
    <row r="3" spans="1:15" x14ac:dyDescent="0.2">
      <c r="B3" s="4" t="s">
        <v>131</v>
      </c>
    </row>
    <row r="4" spans="1:15" x14ac:dyDescent="0.2">
      <c r="B4" s="312" t="s">
        <v>481</v>
      </c>
    </row>
    <row r="5" spans="1:15" ht="15" customHeight="1" x14ac:dyDescent="0.2">
      <c r="B5" s="595" t="s">
        <v>538</v>
      </c>
      <c r="C5" s="595"/>
      <c r="D5" s="595"/>
      <c r="E5" s="595"/>
      <c r="F5" s="595"/>
    </row>
    <row r="6" spans="1:15" x14ac:dyDescent="0.2">
      <c r="B6" s="595"/>
      <c r="C6" s="595"/>
      <c r="D6" s="595"/>
      <c r="E6" s="595"/>
      <c r="F6" s="595"/>
    </row>
    <row r="7" spans="1:15" x14ac:dyDescent="0.2">
      <c r="B7" s="595"/>
      <c r="C7" s="595"/>
      <c r="D7" s="595"/>
      <c r="E7" s="595"/>
      <c r="F7" s="595"/>
    </row>
    <row r="8" spans="1:15" x14ac:dyDescent="0.2">
      <c r="B8" s="595"/>
      <c r="C8" s="595"/>
      <c r="D8" s="595"/>
      <c r="E8" s="595"/>
      <c r="F8" s="595"/>
    </row>
    <row r="9" spans="1:15" x14ac:dyDescent="0.2">
      <c r="B9" s="595"/>
      <c r="C9" s="595"/>
      <c r="D9" s="595"/>
      <c r="E9" s="595"/>
      <c r="F9" s="595"/>
    </row>
    <row r="10" spans="1:15" x14ac:dyDescent="0.2">
      <c r="B10" s="337"/>
    </row>
    <row r="11" spans="1:15" ht="16" thickBot="1" x14ac:dyDescent="0.25">
      <c r="A11" s="3"/>
      <c r="B11" s="203" t="s">
        <v>482</v>
      </c>
      <c r="C11" s="329"/>
      <c r="D11" s="327" t="s">
        <v>311</v>
      </c>
      <c r="E11" s="3"/>
      <c r="F11" s="3"/>
      <c r="G11" s="3"/>
      <c r="H11" s="3"/>
      <c r="I11" s="3"/>
      <c r="J11" s="3"/>
      <c r="K11" s="3"/>
      <c r="L11" s="3"/>
      <c r="M11" s="3"/>
      <c r="N11" s="3"/>
      <c r="O11" s="3"/>
    </row>
    <row r="12" spans="1:15" x14ac:dyDescent="0.2">
      <c r="A12" s="3"/>
      <c r="B12" s="32" t="s">
        <v>11</v>
      </c>
      <c r="C12" s="32" t="s">
        <v>2</v>
      </c>
      <c r="D12" s="514">
        <f>Assumptions!D87</f>
        <v>0.10509837015593605</v>
      </c>
      <c r="E12" s="507"/>
      <c r="F12" s="507"/>
      <c r="G12" s="507"/>
      <c r="H12" s="507"/>
      <c r="I12" s="3"/>
      <c r="J12" s="3"/>
      <c r="K12" s="3"/>
      <c r="L12" s="3"/>
      <c r="M12" s="3"/>
      <c r="N12" s="3"/>
      <c r="O12" s="3"/>
    </row>
    <row r="13" spans="1:15" x14ac:dyDescent="0.2">
      <c r="A13" s="3"/>
      <c r="B13" s="5" t="s">
        <v>7</v>
      </c>
      <c r="C13" s="5" t="s">
        <v>2</v>
      </c>
      <c r="D13" s="356">
        <f>'DCF &amp; Sensitivity'!D16</f>
        <v>0.23</v>
      </c>
      <c r="E13" s="507"/>
      <c r="F13" s="507"/>
      <c r="G13" s="507"/>
      <c r="H13" s="507"/>
      <c r="I13" s="3"/>
      <c r="J13" s="3"/>
      <c r="K13" s="3"/>
      <c r="L13" s="3"/>
      <c r="M13" s="3"/>
      <c r="N13" s="3"/>
      <c r="O13" s="3"/>
    </row>
    <row r="14" spans="1:15" x14ac:dyDescent="0.2">
      <c r="A14" s="3"/>
      <c r="B14" s="5" t="s">
        <v>215</v>
      </c>
      <c r="C14" s="5" t="s">
        <v>14</v>
      </c>
      <c r="D14" s="42">
        <f>'DCF &amp; Sensitivity'!D48</f>
        <v>407.1</v>
      </c>
      <c r="E14" s="3"/>
      <c r="F14" s="3"/>
      <c r="G14" s="3"/>
      <c r="H14" s="3"/>
      <c r="I14" s="3"/>
      <c r="J14" s="3"/>
      <c r="K14" s="3"/>
      <c r="L14" s="3"/>
      <c r="M14" s="3"/>
      <c r="N14" s="3"/>
      <c r="O14" s="3"/>
    </row>
    <row r="15" spans="1:15" x14ac:dyDescent="0.2">
      <c r="A15" s="3"/>
      <c r="B15" s="5" t="s">
        <v>483</v>
      </c>
      <c r="C15" s="5" t="s">
        <v>34</v>
      </c>
      <c r="D15" s="42">
        <f>'DCF &amp; Sensitivity'!D51</f>
        <v>45.5</v>
      </c>
      <c r="E15" s="3"/>
      <c r="F15" s="3"/>
      <c r="G15" s="3"/>
      <c r="H15" s="3"/>
      <c r="I15" s="3"/>
      <c r="J15" s="3"/>
      <c r="K15" s="3"/>
      <c r="L15" s="3"/>
      <c r="M15" s="3"/>
      <c r="N15" s="3"/>
      <c r="O15" s="3"/>
    </row>
    <row r="16" spans="1:15" x14ac:dyDescent="0.2">
      <c r="A16" s="3"/>
      <c r="B16" s="5" t="s">
        <v>484</v>
      </c>
      <c r="C16" s="5" t="s">
        <v>14</v>
      </c>
      <c r="D16" s="257">
        <f>'Income Statement'!H13</f>
        <v>5384.2</v>
      </c>
      <c r="E16" s="3"/>
      <c r="F16" s="3"/>
      <c r="G16" s="3"/>
      <c r="H16" s="3"/>
      <c r="I16" s="3"/>
      <c r="J16" s="3"/>
      <c r="K16" s="3"/>
      <c r="L16" s="3"/>
      <c r="M16" s="3"/>
      <c r="N16" s="3"/>
      <c r="O16" s="3"/>
    </row>
    <row r="17" spans="1:15" x14ac:dyDescent="0.2">
      <c r="A17" s="3"/>
      <c r="B17" s="5" t="s">
        <v>485</v>
      </c>
      <c r="C17" s="5" t="s">
        <v>2</v>
      </c>
      <c r="D17" s="356">
        <f>'Income Statement'!H52/'Income Statement'!H13</f>
        <v>0.14122803759147134</v>
      </c>
      <c r="E17" s="507"/>
      <c r="F17" s="507"/>
      <c r="G17" s="507"/>
      <c r="H17" s="507"/>
      <c r="I17" s="3"/>
      <c r="J17" s="3"/>
      <c r="K17" s="3"/>
      <c r="L17" s="3"/>
      <c r="M17" s="3"/>
      <c r="N17" s="3"/>
      <c r="O17" s="3"/>
    </row>
    <row r="18" spans="1:15" x14ac:dyDescent="0.2">
      <c r="A18" s="3"/>
      <c r="B18" s="5" t="s">
        <v>486</v>
      </c>
      <c r="C18" s="5" t="s">
        <v>2</v>
      </c>
      <c r="D18" s="356">
        <f>-'Cash Flow'!H36/'Income Statement'!H13</f>
        <v>4.9273801121800825E-2</v>
      </c>
      <c r="E18" s="507"/>
      <c r="F18" s="507"/>
      <c r="G18" s="507"/>
      <c r="H18" s="507"/>
      <c r="I18" s="3"/>
      <c r="J18" s="3"/>
      <c r="K18" s="3"/>
      <c r="L18" s="3"/>
      <c r="M18" s="3"/>
      <c r="N18" s="3"/>
      <c r="O18" s="3"/>
    </row>
    <row r="19" spans="1:15" x14ac:dyDescent="0.2">
      <c r="A19" s="3"/>
      <c r="B19" s="5" t="s">
        <v>487</v>
      </c>
      <c r="C19" s="5" t="s">
        <v>2</v>
      </c>
      <c r="D19" s="356">
        <f>Assumptions!I64</f>
        <v>6.0000000000000001E-3</v>
      </c>
      <c r="E19" s="507"/>
      <c r="F19" s="507"/>
      <c r="G19" s="507"/>
      <c r="H19" s="507"/>
      <c r="I19" s="3"/>
      <c r="J19" s="3"/>
      <c r="K19" s="3"/>
      <c r="L19" s="3"/>
      <c r="M19" s="3"/>
      <c r="N19" s="3"/>
      <c r="O19" s="3"/>
    </row>
    <row r="20" spans="1:15" x14ac:dyDescent="0.2">
      <c r="A20" s="3"/>
      <c r="B20" s="5" t="s">
        <v>515</v>
      </c>
      <c r="C20" s="5" t="s">
        <v>14</v>
      </c>
      <c r="D20" s="256">
        <v>5795</v>
      </c>
      <c r="E20" s="3"/>
      <c r="F20" s="3"/>
      <c r="G20" s="3"/>
      <c r="H20" s="3"/>
      <c r="I20" s="3"/>
      <c r="J20" s="3"/>
      <c r="K20" s="3"/>
      <c r="L20" s="3"/>
      <c r="M20" s="3"/>
      <c r="N20" s="3"/>
      <c r="O20" s="3"/>
    </row>
    <row r="21" spans="1:15" x14ac:dyDescent="0.2">
      <c r="A21" s="3"/>
      <c r="B21" s="3" t="s">
        <v>537</v>
      </c>
      <c r="C21" s="3" t="s">
        <v>2</v>
      </c>
      <c r="D21" s="357">
        <f>'Income Statement'!I52/'Income Statement'!I13</f>
        <v>0.14626626189940026</v>
      </c>
      <c r="E21" s="507"/>
      <c r="F21" s="507"/>
      <c r="G21" s="507"/>
      <c r="H21" s="507"/>
      <c r="I21" s="3"/>
      <c r="J21" s="3"/>
      <c r="K21" s="3"/>
      <c r="L21" s="3"/>
      <c r="M21" s="3"/>
      <c r="N21" s="3"/>
      <c r="O21" s="3"/>
    </row>
    <row r="22" spans="1:15" x14ac:dyDescent="0.2">
      <c r="A22" s="3"/>
      <c r="B22" s="3"/>
      <c r="C22" s="3"/>
      <c r="D22" s="357"/>
      <c r="E22" s="507"/>
      <c r="F22" s="507"/>
      <c r="G22" s="507"/>
      <c r="H22" s="507"/>
      <c r="I22" s="3"/>
      <c r="J22" s="3"/>
      <c r="K22" s="3"/>
      <c r="L22" s="3"/>
      <c r="M22" s="3"/>
      <c r="N22" s="3"/>
      <c r="O22" s="3"/>
    </row>
    <row r="23" spans="1:15" ht="16" thickBot="1" x14ac:dyDescent="0.25">
      <c r="A23" s="3"/>
      <c r="B23" s="203" t="s">
        <v>488</v>
      </c>
      <c r="C23" s="329"/>
      <c r="D23" s="327" t="s">
        <v>47</v>
      </c>
      <c r="E23" s="327" t="s">
        <v>57</v>
      </c>
      <c r="F23" s="327" t="s">
        <v>48</v>
      </c>
      <c r="G23" s="3"/>
      <c r="H23" s="3"/>
      <c r="I23" s="3"/>
      <c r="J23" s="3"/>
      <c r="K23" s="3"/>
      <c r="L23" s="3"/>
      <c r="M23" s="3"/>
      <c r="N23" s="3"/>
      <c r="O23" s="3"/>
    </row>
    <row r="24" spans="1:15" x14ac:dyDescent="0.2">
      <c r="A24" s="3"/>
      <c r="B24" s="32" t="s">
        <v>514</v>
      </c>
      <c r="C24" s="32" t="s">
        <v>2</v>
      </c>
      <c r="D24" s="515">
        <f>Assumptions!E11</f>
        <v>0.01</v>
      </c>
      <c r="E24" s="514">
        <f>Assumptions!F11</f>
        <v>2.5000000000000001E-2</v>
      </c>
      <c r="F24" s="514">
        <f>Assumptions!G11</f>
        <v>0.04</v>
      </c>
      <c r="G24" s="507"/>
      <c r="H24" s="507"/>
      <c r="I24" s="3"/>
      <c r="J24" s="3"/>
      <c r="K24" s="3"/>
      <c r="L24" s="3"/>
      <c r="M24" s="3"/>
      <c r="N24" s="3"/>
      <c r="O24" s="3"/>
    </row>
    <row r="25" spans="1:15" x14ac:dyDescent="0.2">
      <c r="A25" s="3"/>
      <c r="B25" s="5" t="s">
        <v>489</v>
      </c>
      <c r="C25" s="5" t="s">
        <v>2</v>
      </c>
      <c r="D25" s="356">
        <f>1-(Assumptions!E15+Assumptions!E16+Assumptions!E17)*('Income Statement'!M11/'Income Statement'!M13)-Assumptions!E18</f>
        <v>0.10122144199400189</v>
      </c>
      <c r="E25" s="356">
        <f>1-(Assumptions!F15+Assumptions!F16+Assumptions!F17)*('Income Statement'!M11/'Income Statement'!M13)-Assumptions!F18</f>
        <v>0.13583225903467236</v>
      </c>
      <c r="F25" s="356">
        <f>1-(Assumptions!G15+Assumptions!G16+Assumptions!G17)*('Income Statement'!M11/'Income Statement'!M13)-Assumptions!G18</f>
        <v>0.17731334842223281</v>
      </c>
      <c r="G25" s="507"/>
      <c r="H25" s="507"/>
      <c r="I25" s="3"/>
      <c r="J25" s="3"/>
      <c r="K25" s="3"/>
      <c r="L25" s="3"/>
      <c r="M25" s="3"/>
      <c r="N25" s="3"/>
      <c r="O25" s="3"/>
    </row>
    <row r="26" spans="1:15" x14ac:dyDescent="0.2">
      <c r="A26" s="3"/>
      <c r="B26" s="5" t="s">
        <v>490</v>
      </c>
      <c r="C26" s="5" t="s">
        <v>2</v>
      </c>
      <c r="D26" s="356">
        <f>Assumptions!E19</f>
        <v>4.4999999999999998E-2</v>
      </c>
      <c r="E26" s="356">
        <f>Assumptions!F19</f>
        <v>0.04</v>
      </c>
      <c r="F26" s="356">
        <f>Assumptions!G19</f>
        <v>3.5000000000000003E-2</v>
      </c>
      <c r="G26" s="507"/>
      <c r="H26" s="507"/>
      <c r="I26" s="3"/>
      <c r="J26" s="3"/>
      <c r="K26" s="3"/>
      <c r="L26" s="3"/>
      <c r="M26" s="3"/>
      <c r="N26" s="3"/>
      <c r="O26" s="3"/>
    </row>
    <row r="27" spans="1:15" x14ac:dyDescent="0.2">
      <c r="A27" s="3"/>
      <c r="B27" s="5" t="s">
        <v>19</v>
      </c>
      <c r="C27" s="5" t="s">
        <v>2</v>
      </c>
      <c r="D27" s="356">
        <f>Assumptions!E23</f>
        <v>0.02</v>
      </c>
      <c r="E27" s="356">
        <f>Assumptions!F23</f>
        <v>2.5000000000000001E-2</v>
      </c>
      <c r="F27" s="356">
        <f>Assumptions!G23</f>
        <v>0.03</v>
      </c>
      <c r="G27" s="507"/>
      <c r="H27" s="507"/>
      <c r="I27" s="3"/>
      <c r="J27" s="3"/>
      <c r="K27" s="3"/>
      <c r="L27" s="3"/>
      <c r="M27" s="3"/>
      <c r="N27" s="3"/>
      <c r="O27" s="3"/>
    </row>
    <row r="28" spans="1:15" x14ac:dyDescent="0.2">
      <c r="A28" s="3"/>
      <c r="B28" s="5" t="s">
        <v>24</v>
      </c>
      <c r="C28" s="5" t="s">
        <v>4</v>
      </c>
      <c r="D28" s="294">
        <f>Assumptions!E24</f>
        <v>9</v>
      </c>
      <c r="E28" s="294">
        <f>Assumptions!F24</f>
        <v>11</v>
      </c>
      <c r="F28" s="294">
        <f>Assumptions!G24</f>
        <v>13</v>
      </c>
      <c r="G28" s="3"/>
      <c r="H28" s="3"/>
      <c r="I28" s="3"/>
      <c r="J28" s="3"/>
      <c r="K28" s="3"/>
      <c r="L28" s="3"/>
      <c r="M28" s="3"/>
      <c r="N28" s="3"/>
      <c r="O28" s="3"/>
    </row>
    <row r="29" spans="1:15" x14ac:dyDescent="0.2">
      <c r="A29" s="3"/>
      <c r="B29" s="3"/>
      <c r="C29" s="3"/>
      <c r="D29" s="3"/>
      <c r="E29" s="3"/>
      <c r="F29" s="3"/>
      <c r="G29" s="3"/>
      <c r="H29" s="3"/>
      <c r="I29" s="3"/>
      <c r="J29" s="3"/>
      <c r="K29" s="3"/>
      <c r="L29" s="3"/>
      <c r="M29" s="3"/>
      <c r="N29" s="3"/>
      <c r="O29" s="3"/>
    </row>
    <row r="30" spans="1:15" x14ac:dyDescent="0.2">
      <c r="A30" s="3"/>
      <c r="B30" s="3"/>
      <c r="C30" s="3"/>
      <c r="D30" s="3"/>
      <c r="E30" s="3"/>
      <c r="F30" s="3"/>
      <c r="G30" s="3"/>
      <c r="H30" s="3"/>
      <c r="I30" s="3"/>
      <c r="J30" s="3"/>
      <c r="K30" s="3"/>
      <c r="L30" s="3"/>
      <c r="M30" s="3"/>
      <c r="N30" s="3"/>
      <c r="O30" s="3"/>
    </row>
    <row r="31" spans="1:15" ht="16" thickBot="1" x14ac:dyDescent="0.25">
      <c r="A31" s="3"/>
      <c r="B31" s="358" t="s">
        <v>82</v>
      </c>
      <c r="C31" s="359"/>
      <c r="D31" s="326" t="str">
        <f>"FY"&amp;TEXT(MOD('Cover Page'!$C$64+0,100),"00")&amp;"E"</f>
        <v>FY26E</v>
      </c>
      <c r="E31" s="326" t="str">
        <f>"FY"&amp;TEXT(MOD('Cover Page'!$C$64+1,100),"00")&amp;"E"</f>
        <v>FY27E</v>
      </c>
      <c r="F31" s="326" t="str">
        <f>"FY"&amp;TEXT(MOD('Cover Page'!$C$64+2,100),"00")&amp;"E"</f>
        <v>FY28E</v>
      </c>
      <c r="G31" s="326" t="str">
        <f>"FY"&amp;TEXT(MOD('Cover Page'!$C$64+3,100),"00")&amp;"E"</f>
        <v>FY29E</v>
      </c>
      <c r="H31" s="326" t="str">
        <f>"FY"&amp;TEXT(MOD('Cover Page'!$C$64+4,100),"00")&amp;"E"</f>
        <v>FY30E</v>
      </c>
      <c r="I31" s="3"/>
      <c r="J31" s="3"/>
      <c r="K31" s="3"/>
      <c r="L31" s="3"/>
      <c r="M31" s="3"/>
      <c r="N31" s="3"/>
      <c r="O31" s="3"/>
    </row>
    <row r="32" spans="1:15" x14ac:dyDescent="0.2">
      <c r="A32" s="3"/>
      <c r="B32" s="32" t="s">
        <v>83</v>
      </c>
      <c r="C32" s="32" t="s">
        <v>14</v>
      </c>
      <c r="D32" s="446">
        <f>$D$20</f>
        <v>5795</v>
      </c>
      <c r="E32" s="446">
        <f>D32*(1+$D$24)</f>
        <v>5852.95</v>
      </c>
      <c r="F32" s="446">
        <f>E32*(1+$D$24)</f>
        <v>5911.4794999999995</v>
      </c>
      <c r="G32" s="446">
        <f>F32*(1+$D$24)</f>
        <v>5970.5942949999999</v>
      </c>
      <c r="H32" s="446">
        <f>G32*(1+$D$24)</f>
        <v>6030.3002379500003</v>
      </c>
      <c r="I32" s="3"/>
      <c r="J32" s="3"/>
      <c r="K32" s="3"/>
      <c r="L32" s="3"/>
      <c r="M32" s="3"/>
      <c r="N32" s="3"/>
      <c r="O32" s="3"/>
    </row>
    <row r="33" spans="1:15" x14ac:dyDescent="0.2">
      <c r="A33" s="3"/>
      <c r="B33" s="5" t="s">
        <v>491</v>
      </c>
      <c r="C33" s="5" t="s">
        <v>2</v>
      </c>
      <c r="D33" s="383">
        <f>$D$21+($D$25-$D$21)*0/4</f>
        <v>0.14626626189940026</v>
      </c>
      <c r="E33" s="383">
        <f>$D$21+($D$25-$D$21)*1/4</f>
        <v>0.13500505692305068</v>
      </c>
      <c r="F33" s="383">
        <f>$D$21+($D$25-$D$21)*2/4</f>
        <v>0.12374385194670107</v>
      </c>
      <c r="G33" s="383">
        <f>$D$21+($D$25-$D$21)*3/4</f>
        <v>0.11248264697035149</v>
      </c>
      <c r="H33" s="383">
        <f>$D$21+($D$25-$D$21)*4/4</f>
        <v>0.10122144199400189</v>
      </c>
      <c r="I33" s="3"/>
      <c r="J33" s="3"/>
      <c r="K33" s="3"/>
      <c r="L33" s="3"/>
      <c r="M33" s="3"/>
      <c r="N33" s="3"/>
      <c r="O33" s="3"/>
    </row>
    <row r="34" spans="1:15" x14ac:dyDescent="0.2">
      <c r="A34" s="3"/>
      <c r="B34" s="5" t="s">
        <v>68</v>
      </c>
      <c r="C34" s="5" t="s">
        <v>14</v>
      </c>
      <c r="D34" s="447">
        <f>D32*D33</f>
        <v>847.61298770702444</v>
      </c>
      <c r="E34" s="447">
        <f>E32*E33</f>
        <v>790.17784791776944</v>
      </c>
      <c r="F34" s="447">
        <f>F32*F33</f>
        <v>731.50924403395834</v>
      </c>
      <c r="G34" s="447">
        <f>G32*G33</f>
        <v>671.58825028767956</v>
      </c>
      <c r="H34" s="447">
        <f>H32*H33</f>
        <v>610.39568574207181</v>
      </c>
      <c r="I34" s="3"/>
      <c r="J34" s="3"/>
      <c r="K34" s="3"/>
      <c r="L34" s="3"/>
      <c r="M34" s="3"/>
      <c r="N34" s="3"/>
      <c r="O34" s="3"/>
    </row>
    <row r="35" spans="1:15" x14ac:dyDescent="0.2">
      <c r="A35" s="3"/>
      <c r="B35" s="5" t="s">
        <v>492</v>
      </c>
      <c r="C35" s="5" t="s">
        <v>14</v>
      </c>
      <c r="D35" s="448">
        <f>-D34*0.3</f>
        <v>-254.28389631210732</v>
      </c>
      <c r="E35" s="448">
        <f>-E34*0.3</f>
        <v>-237.05335437533083</v>
      </c>
      <c r="F35" s="448">
        <f>-F34*0.3</f>
        <v>-219.4527732101875</v>
      </c>
      <c r="G35" s="448">
        <f>-G34*0.3</f>
        <v>-201.47647508630385</v>
      </c>
      <c r="H35" s="448">
        <f>-H34*0.3</f>
        <v>-183.11870572262154</v>
      </c>
      <c r="I35" s="3"/>
      <c r="J35" s="3"/>
      <c r="K35" s="3"/>
      <c r="L35" s="3"/>
      <c r="M35" s="3"/>
      <c r="N35" s="3"/>
      <c r="O35" s="3"/>
    </row>
    <row r="36" spans="1:15" x14ac:dyDescent="0.2">
      <c r="A36" s="3"/>
      <c r="B36" s="5" t="s">
        <v>493</v>
      </c>
      <c r="C36" s="5" t="s">
        <v>14</v>
      </c>
      <c r="D36" s="448">
        <f>D34+D35</f>
        <v>593.3290913949171</v>
      </c>
      <c r="E36" s="448">
        <f>E34+E35</f>
        <v>553.12449354243859</v>
      </c>
      <c r="F36" s="448">
        <f>F34+F35</f>
        <v>512.05647082377084</v>
      </c>
      <c r="G36" s="448">
        <f>G34+G35</f>
        <v>470.11177520137574</v>
      </c>
      <c r="H36" s="448">
        <f>H34+H35</f>
        <v>427.27698001945026</v>
      </c>
      <c r="I36" s="3"/>
      <c r="J36" s="3"/>
      <c r="K36" s="3"/>
      <c r="L36" s="3"/>
      <c r="M36" s="3"/>
      <c r="N36" s="3"/>
      <c r="O36" s="3"/>
    </row>
    <row r="37" spans="1:15" x14ac:dyDescent="0.2">
      <c r="A37" s="3"/>
      <c r="B37" s="5" t="s">
        <v>494</v>
      </c>
      <c r="C37" s="5" t="s">
        <v>14</v>
      </c>
      <c r="D37" s="448">
        <f>D36*(1-$D$13)</f>
        <v>456.86340037408615</v>
      </c>
      <c r="E37" s="448">
        <f>E36*(1-$D$13)</f>
        <v>425.9058600276777</v>
      </c>
      <c r="F37" s="448">
        <f>F36*(1-$D$13)</f>
        <v>394.28348253430357</v>
      </c>
      <c r="G37" s="448">
        <f>G36*(1-$D$13)</f>
        <v>361.98606690505932</v>
      </c>
      <c r="H37" s="448">
        <f>H36*(1-$D$13)</f>
        <v>329.0032746149767</v>
      </c>
      <c r="I37" s="3"/>
      <c r="J37" s="3"/>
      <c r="K37" s="3"/>
      <c r="L37" s="3"/>
      <c r="M37" s="3"/>
      <c r="N37" s="3"/>
      <c r="O37" s="3"/>
    </row>
    <row r="38" spans="1:15" x14ac:dyDescent="0.2">
      <c r="A38" s="3"/>
      <c r="B38" s="5" t="s">
        <v>84</v>
      </c>
      <c r="C38" s="5" t="s">
        <v>14</v>
      </c>
      <c r="D38" s="448">
        <f>-D35</f>
        <v>254.28389631210732</v>
      </c>
      <c r="E38" s="448">
        <f>-E35</f>
        <v>237.05335437533083</v>
      </c>
      <c r="F38" s="448">
        <f>-F35</f>
        <v>219.4527732101875</v>
      </c>
      <c r="G38" s="448">
        <f>-G35</f>
        <v>201.47647508630385</v>
      </c>
      <c r="H38" s="448">
        <f>-H35</f>
        <v>183.11870572262154</v>
      </c>
      <c r="I38" s="3"/>
      <c r="J38" s="3"/>
      <c r="K38" s="3"/>
      <c r="L38" s="3"/>
      <c r="M38" s="3"/>
      <c r="N38" s="3"/>
      <c r="O38" s="3"/>
    </row>
    <row r="39" spans="1:15" x14ac:dyDescent="0.2">
      <c r="A39" s="3"/>
      <c r="B39" s="5" t="s">
        <v>495</v>
      </c>
      <c r="C39" s="5" t="s">
        <v>14</v>
      </c>
      <c r="D39" s="448">
        <f>-D32*($D$18+($D$26-$D$18)*1/5)</f>
        <v>-280.5883420006686</v>
      </c>
      <c r="E39" s="448">
        <f>-E32*($D$18+($D$26-$D$18)*2/5)</f>
        <v>-278.3913565655065</v>
      </c>
      <c r="F39" s="448">
        <f>-F32*($D$18+($D$26-$D$18)*3/5)</f>
        <v>-276.12237258744102</v>
      </c>
      <c r="G39" s="448">
        <f>-G32*($D$18+($D$26-$D$18)*4/5)</f>
        <v>-273.7801697941577</v>
      </c>
      <c r="H39" s="448">
        <f>-H32*$D$26</f>
        <v>-271.36351070774998</v>
      </c>
      <c r="I39" s="3"/>
      <c r="J39" s="3"/>
      <c r="K39" s="3"/>
      <c r="L39" s="3"/>
      <c r="M39" s="3"/>
      <c r="N39" s="3"/>
      <c r="O39" s="3"/>
    </row>
    <row r="40" spans="1:15" x14ac:dyDescent="0.2">
      <c r="A40" s="3"/>
      <c r="B40" s="5" t="s">
        <v>496</v>
      </c>
      <c r="C40" s="5" t="s">
        <v>14</v>
      </c>
      <c r="D40" s="448">
        <f>-D32*$D$19</f>
        <v>-34.770000000000003</v>
      </c>
      <c r="E40" s="448">
        <f>-E32*$D$19</f>
        <v>-35.117699999999999</v>
      </c>
      <c r="F40" s="448">
        <f>-F32*$D$19</f>
        <v>-35.468876999999999</v>
      </c>
      <c r="G40" s="448">
        <f>-G32*$D$19</f>
        <v>-35.823565770000002</v>
      </c>
      <c r="H40" s="448">
        <f>-H32*$D$19</f>
        <v>-36.181801427700002</v>
      </c>
      <c r="I40" s="3"/>
      <c r="J40" s="3"/>
      <c r="K40" s="3"/>
      <c r="L40" s="3"/>
      <c r="M40" s="3"/>
      <c r="N40" s="3"/>
      <c r="O40" s="3"/>
    </row>
    <row r="41" spans="1:15" x14ac:dyDescent="0.2">
      <c r="A41" s="3"/>
      <c r="B41" s="5" t="s">
        <v>497</v>
      </c>
      <c r="C41" s="5" t="s">
        <v>14</v>
      </c>
      <c r="D41" s="447">
        <f>D37+D38+D39+D40</f>
        <v>395.78895468552491</v>
      </c>
      <c r="E41" s="447">
        <f>E37+E38+E39+E40</f>
        <v>349.45015783750205</v>
      </c>
      <c r="F41" s="447">
        <f>F37+F38+F39+F40</f>
        <v>302.14500615704998</v>
      </c>
      <c r="G41" s="447">
        <f>G37+G38+G39+G40</f>
        <v>253.85880642720548</v>
      </c>
      <c r="H41" s="447">
        <f>H37+H38+H39+H40</f>
        <v>204.5766682021482</v>
      </c>
      <c r="I41" s="3"/>
      <c r="J41" s="3"/>
      <c r="K41" s="3"/>
      <c r="L41" s="3"/>
      <c r="M41" s="3"/>
      <c r="N41" s="3"/>
      <c r="O41" s="3"/>
    </row>
    <row r="42" spans="1:15" x14ac:dyDescent="0.2">
      <c r="A42" s="3"/>
      <c r="B42" s="5" t="s">
        <v>15</v>
      </c>
      <c r="C42" s="5" t="s">
        <v>16</v>
      </c>
      <c r="D42" s="449">
        <v>1</v>
      </c>
      <c r="E42" s="449">
        <v>2</v>
      </c>
      <c r="F42" s="449">
        <v>3</v>
      </c>
      <c r="G42" s="449">
        <v>4</v>
      </c>
      <c r="H42" s="449">
        <v>5</v>
      </c>
      <c r="I42" s="3"/>
      <c r="J42" s="3"/>
      <c r="K42" s="3"/>
      <c r="L42" s="3"/>
      <c r="M42" s="3"/>
      <c r="N42" s="3"/>
      <c r="O42" s="3"/>
    </row>
    <row r="43" spans="1:15" x14ac:dyDescent="0.2">
      <c r="A43" s="3"/>
      <c r="B43" s="5" t="s">
        <v>17</v>
      </c>
      <c r="C43" s="5" t="s">
        <v>4</v>
      </c>
      <c r="D43" s="450">
        <f>1/(1+$D$12)^D42</f>
        <v>0.90489681914823017</v>
      </c>
      <c r="E43" s="450">
        <f>1/(1+$D$12)^E42</f>
        <v>0.81883825330458482</v>
      </c>
      <c r="F43" s="450">
        <f>1/(1+$D$12)^F42</f>
        <v>0.74096413081221157</v>
      </c>
      <c r="G43" s="450">
        <f>1/(1+$D$12)^G42</f>
        <v>0.67049608507490344</v>
      </c>
      <c r="H43" s="450">
        <f>1/(1+$D$12)^H42</f>
        <v>0.60672977463562128</v>
      </c>
      <c r="I43" s="3"/>
      <c r="J43" s="3"/>
      <c r="K43" s="3"/>
      <c r="L43" s="3"/>
      <c r="M43" s="3"/>
      <c r="N43" s="3"/>
      <c r="O43" s="3"/>
    </row>
    <row r="44" spans="1:15" x14ac:dyDescent="0.2">
      <c r="A44" s="3"/>
      <c r="B44" s="5" t="s">
        <v>86</v>
      </c>
      <c r="C44" s="5" t="s">
        <v>14</v>
      </c>
      <c r="D44" s="448">
        <f>D41*D43</f>
        <v>358.14816614893448</v>
      </c>
      <c r="E44" s="448">
        <f>E41*E43</f>
        <v>286.14315686067164</v>
      </c>
      <c r="F44" s="448">
        <f>F41*F43</f>
        <v>223.87861186640885</v>
      </c>
      <c r="G44" s="448">
        <f>G41*G43</f>
        <v>170.21133587122901</v>
      </c>
      <c r="H44" s="448">
        <f>H41*H43</f>
        <v>124.12275579399565</v>
      </c>
      <c r="I44" s="3"/>
      <c r="J44" s="3"/>
      <c r="K44" s="3"/>
      <c r="L44" s="3"/>
      <c r="M44" s="3"/>
      <c r="N44" s="3"/>
      <c r="O44" s="3"/>
    </row>
    <row r="45" spans="1:15" ht="16" thickBot="1" x14ac:dyDescent="0.25">
      <c r="A45" s="3"/>
      <c r="B45" s="3"/>
      <c r="C45" s="3"/>
      <c r="D45" s="3"/>
      <c r="E45" s="3"/>
      <c r="F45" s="3"/>
      <c r="G45" s="3"/>
      <c r="H45" s="3"/>
      <c r="I45" s="3"/>
      <c r="J45" s="3"/>
      <c r="K45" s="3"/>
      <c r="L45" s="3"/>
      <c r="M45" s="3"/>
      <c r="N45" s="3"/>
      <c r="O45" s="3"/>
    </row>
    <row r="46" spans="1:15" x14ac:dyDescent="0.2">
      <c r="A46" s="3"/>
      <c r="B46" s="32" t="s">
        <v>498</v>
      </c>
      <c r="C46" s="32" t="s">
        <v>14</v>
      </c>
      <c r="D46" s="446">
        <f>SUM(D44:H44)</f>
        <v>1162.5040265412395</v>
      </c>
      <c r="E46" s="3"/>
      <c r="F46" s="3"/>
      <c r="G46" s="3"/>
      <c r="H46" s="3"/>
      <c r="I46" s="3"/>
      <c r="J46" s="3"/>
      <c r="K46" s="3"/>
      <c r="L46" s="3"/>
      <c r="M46" s="3"/>
      <c r="N46" s="3"/>
      <c r="O46" s="3"/>
    </row>
    <row r="47" spans="1:15" x14ac:dyDescent="0.2">
      <c r="A47" s="3"/>
      <c r="B47" s="5" t="s">
        <v>499</v>
      </c>
      <c r="C47" s="5" t="s">
        <v>14</v>
      </c>
      <c r="D47" s="448">
        <f>H41</f>
        <v>204.5766682021482</v>
      </c>
      <c r="E47" s="3"/>
      <c r="F47" s="3"/>
      <c r="G47" s="3"/>
      <c r="H47" s="3"/>
      <c r="I47" s="3"/>
      <c r="J47" s="3"/>
      <c r="K47" s="3"/>
      <c r="L47" s="3"/>
      <c r="M47" s="3"/>
      <c r="N47" s="3"/>
      <c r="O47" s="3"/>
    </row>
    <row r="48" spans="1:15" x14ac:dyDescent="0.2">
      <c r="A48" s="3"/>
      <c r="B48" s="5" t="s">
        <v>500</v>
      </c>
      <c r="C48" s="5" t="s">
        <v>14</v>
      </c>
      <c r="D48" s="448">
        <f>H41*(1+$D$27)/($D$12-$D$27)</f>
        <v>2452.0822335824191</v>
      </c>
      <c r="E48" s="3"/>
      <c r="F48" s="3"/>
      <c r="G48" s="3"/>
      <c r="H48" s="3"/>
      <c r="I48" s="3"/>
      <c r="J48" s="3"/>
      <c r="K48" s="3"/>
      <c r="L48" s="3"/>
      <c r="M48" s="3"/>
      <c r="N48" s="3"/>
      <c r="O48" s="3"/>
    </row>
    <row r="49" spans="1:15" x14ac:dyDescent="0.2">
      <c r="A49" s="3"/>
      <c r="B49" s="5" t="s">
        <v>501</v>
      </c>
      <c r="C49" s="5" t="s">
        <v>14</v>
      </c>
      <c r="D49" s="448">
        <f>D48*H43</f>
        <v>1487.7513009694719</v>
      </c>
      <c r="E49" s="3"/>
      <c r="F49" s="3"/>
      <c r="G49" s="3"/>
      <c r="H49" s="3"/>
      <c r="I49" s="3"/>
      <c r="J49" s="3"/>
      <c r="K49" s="3"/>
      <c r="L49" s="3"/>
      <c r="M49" s="3"/>
      <c r="N49" s="3"/>
      <c r="O49" s="3"/>
    </row>
    <row r="50" spans="1:15" x14ac:dyDescent="0.2">
      <c r="A50" s="3"/>
      <c r="B50" s="5" t="s">
        <v>502</v>
      </c>
      <c r="C50" s="5" t="s">
        <v>14</v>
      </c>
      <c r="D50" s="448">
        <f>H34*$D$28</f>
        <v>5493.5611716786461</v>
      </c>
      <c r="E50" s="3"/>
      <c r="F50" s="3"/>
      <c r="G50" s="3"/>
      <c r="H50" s="3"/>
      <c r="I50" s="3"/>
      <c r="J50" s="3"/>
      <c r="K50" s="3"/>
      <c r="L50" s="3"/>
      <c r="M50" s="3"/>
      <c r="N50" s="3"/>
      <c r="O50" s="3"/>
    </row>
    <row r="51" spans="1:15" x14ac:dyDescent="0.2">
      <c r="A51" s="3"/>
      <c r="B51" s="5" t="s">
        <v>503</v>
      </c>
      <c r="C51" s="5" t="s">
        <v>14</v>
      </c>
      <c r="D51" s="448">
        <f>D50*H43</f>
        <v>3333.1071316395846</v>
      </c>
      <c r="E51" s="3"/>
      <c r="F51" s="3"/>
      <c r="G51" s="3"/>
      <c r="H51" s="3"/>
      <c r="I51" s="3"/>
      <c r="J51" s="3"/>
      <c r="K51" s="3"/>
      <c r="L51" s="3"/>
      <c r="M51" s="3"/>
      <c r="N51" s="3"/>
      <c r="O51" s="3"/>
    </row>
    <row r="52" spans="1:15" x14ac:dyDescent="0.2">
      <c r="A52" s="3"/>
      <c r="B52" s="5" t="s">
        <v>504</v>
      </c>
      <c r="C52" s="5" t="s">
        <v>14</v>
      </c>
      <c r="D52" s="447">
        <f>D46+D49</f>
        <v>2650.2553275107111</v>
      </c>
      <c r="E52" s="3"/>
      <c r="F52" s="3"/>
      <c r="G52" s="3"/>
      <c r="H52" s="3"/>
      <c r="I52" s="3"/>
      <c r="J52" s="3"/>
      <c r="K52" s="3"/>
      <c r="L52" s="3"/>
      <c r="M52" s="3"/>
      <c r="N52" s="3"/>
      <c r="O52" s="3"/>
    </row>
    <row r="53" spans="1:15" x14ac:dyDescent="0.2">
      <c r="A53" s="3"/>
      <c r="B53" s="5" t="s">
        <v>505</v>
      </c>
      <c r="C53" s="5" t="s">
        <v>14</v>
      </c>
      <c r="D53" s="447">
        <f>D46+D51</f>
        <v>4495.6111581808236</v>
      </c>
      <c r="E53" s="3"/>
      <c r="F53" s="3"/>
      <c r="G53" s="3"/>
      <c r="H53" s="3"/>
      <c r="I53" s="3"/>
      <c r="J53" s="3"/>
      <c r="K53" s="3"/>
      <c r="L53" s="3"/>
      <c r="M53" s="3"/>
      <c r="N53" s="3"/>
      <c r="O53" s="3"/>
    </row>
    <row r="54" spans="1:15" x14ac:dyDescent="0.2">
      <c r="A54" s="3"/>
      <c r="B54" s="5" t="s">
        <v>506</v>
      </c>
      <c r="C54" s="5" t="s">
        <v>14</v>
      </c>
      <c r="D54" s="448">
        <f>-$D$14</f>
        <v>-407.1</v>
      </c>
      <c r="E54" s="3"/>
      <c r="F54" s="3"/>
      <c r="G54" s="3"/>
      <c r="H54" s="3"/>
      <c r="I54" s="3"/>
      <c r="J54" s="3"/>
      <c r="K54" s="3"/>
      <c r="L54" s="3"/>
      <c r="M54" s="3"/>
      <c r="N54" s="3"/>
      <c r="O54" s="3"/>
    </row>
    <row r="55" spans="1:15" x14ac:dyDescent="0.2">
      <c r="A55" s="3"/>
      <c r="B55" s="5" t="s">
        <v>507</v>
      </c>
      <c r="C55" s="5" t="s">
        <v>14</v>
      </c>
      <c r="D55" s="448">
        <f>D52+D54</f>
        <v>2243.1553275107112</v>
      </c>
      <c r="E55" s="3"/>
      <c r="F55" s="3"/>
      <c r="G55" s="3"/>
      <c r="H55" s="3"/>
      <c r="I55" s="3"/>
      <c r="J55" s="3"/>
      <c r="K55" s="3"/>
      <c r="L55" s="3"/>
      <c r="M55" s="3"/>
      <c r="N55" s="3"/>
      <c r="O55" s="3"/>
    </row>
    <row r="56" spans="1:15" x14ac:dyDescent="0.2">
      <c r="A56" s="3"/>
      <c r="B56" s="5" t="s">
        <v>508</v>
      </c>
      <c r="C56" s="5" t="s">
        <v>14</v>
      </c>
      <c r="D56" s="448">
        <f>D53+D54</f>
        <v>4088.5111581808237</v>
      </c>
      <c r="E56" s="3"/>
      <c r="F56" s="3"/>
      <c r="G56" s="3"/>
      <c r="H56" s="3"/>
      <c r="I56" s="3"/>
      <c r="J56" s="3"/>
      <c r="K56" s="3"/>
      <c r="L56" s="3"/>
      <c r="M56" s="3"/>
      <c r="N56" s="3"/>
      <c r="O56" s="3"/>
    </row>
    <row r="57" spans="1:15" x14ac:dyDescent="0.2">
      <c r="A57" s="3"/>
      <c r="B57" s="5" t="s">
        <v>87</v>
      </c>
      <c r="C57" s="5" t="s">
        <v>36</v>
      </c>
      <c r="D57" s="451">
        <f>D55/$D$15</f>
        <v>49.300117088147502</v>
      </c>
      <c r="E57" s="3"/>
      <c r="F57" s="3"/>
      <c r="G57" s="3"/>
      <c r="H57" s="3"/>
      <c r="I57" s="3"/>
      <c r="J57" s="3"/>
      <c r="K57" s="3"/>
      <c r="L57" s="3"/>
      <c r="M57" s="3"/>
      <c r="N57" s="3"/>
      <c r="O57" s="3"/>
    </row>
    <row r="58" spans="1:15" x14ac:dyDescent="0.2">
      <c r="A58" s="3"/>
      <c r="B58" s="5" t="s">
        <v>509</v>
      </c>
      <c r="C58" s="5" t="s">
        <v>36</v>
      </c>
      <c r="D58" s="451">
        <f>D56/$D$15</f>
        <v>89.857388091886236</v>
      </c>
      <c r="E58" s="3"/>
      <c r="F58" s="3"/>
      <c r="G58" s="3"/>
      <c r="H58" s="3"/>
      <c r="I58" s="3"/>
      <c r="J58" s="3"/>
      <c r="K58" s="3"/>
      <c r="L58" s="3"/>
      <c r="M58" s="3"/>
      <c r="N58" s="3"/>
      <c r="O58" s="3"/>
    </row>
    <row r="59" spans="1:15" x14ac:dyDescent="0.2">
      <c r="A59" s="3"/>
      <c r="B59" s="3"/>
      <c r="C59" s="3"/>
      <c r="D59" s="3"/>
      <c r="E59" s="3"/>
      <c r="F59" s="3"/>
      <c r="G59" s="3"/>
      <c r="H59" s="3"/>
      <c r="I59" s="3"/>
      <c r="J59" s="3"/>
      <c r="K59" s="3"/>
      <c r="L59" s="3"/>
      <c r="M59" s="3"/>
      <c r="N59" s="3"/>
      <c r="O59" s="3"/>
    </row>
    <row r="60" spans="1:15" x14ac:dyDescent="0.2">
      <c r="A60" s="3"/>
      <c r="B60" s="3"/>
      <c r="C60" s="3"/>
      <c r="D60" s="3"/>
      <c r="E60" s="3"/>
      <c r="F60" s="3"/>
      <c r="G60" s="3"/>
      <c r="H60" s="3"/>
      <c r="I60" s="3"/>
      <c r="J60" s="3"/>
      <c r="K60" s="3"/>
      <c r="L60" s="3"/>
      <c r="M60" s="3"/>
      <c r="N60" s="3"/>
      <c r="O60" s="3"/>
    </row>
    <row r="61" spans="1:15" ht="16" thickBot="1" x14ac:dyDescent="0.25">
      <c r="A61" s="3"/>
      <c r="B61" s="203" t="s">
        <v>88</v>
      </c>
      <c r="C61" s="329"/>
      <c r="D61" s="327" t="str">
        <f>"FY"&amp;TEXT(MOD('Cover Page'!$C$64+0,100),"00")&amp;"E"</f>
        <v>FY26E</v>
      </c>
      <c r="E61" s="327" t="str">
        <f>"FY"&amp;TEXT(MOD('Cover Page'!$C$64+1,100),"00")&amp;"E"</f>
        <v>FY27E</v>
      </c>
      <c r="F61" s="327" t="str">
        <f>"FY"&amp;TEXT(MOD('Cover Page'!$C$64+2,100),"00")&amp;"E"</f>
        <v>FY28E</v>
      </c>
      <c r="G61" s="327" t="str">
        <f>"FY"&amp;TEXT(MOD('Cover Page'!$C$64+3,100),"00")&amp;"E"</f>
        <v>FY29E</v>
      </c>
      <c r="H61" s="327" t="str">
        <f>"FY"&amp;TEXT(MOD('Cover Page'!$C$64+4,100),"00")&amp;"E"</f>
        <v>FY30E</v>
      </c>
      <c r="I61" s="3"/>
      <c r="J61" s="3"/>
      <c r="K61" s="3"/>
      <c r="L61" s="3"/>
      <c r="M61" s="3"/>
      <c r="N61" s="3"/>
      <c r="O61" s="3"/>
    </row>
    <row r="62" spans="1:15" x14ac:dyDescent="0.2">
      <c r="A62" s="3"/>
      <c r="B62" s="32" t="s">
        <v>83</v>
      </c>
      <c r="C62" s="32" t="s">
        <v>14</v>
      </c>
      <c r="D62" s="446">
        <f>$D$20</f>
        <v>5795</v>
      </c>
      <c r="E62" s="446">
        <f>D62*(1+$E$24)</f>
        <v>5939.8749999999991</v>
      </c>
      <c r="F62" s="446">
        <f>E62*(1+$E$24)</f>
        <v>6088.3718749999989</v>
      </c>
      <c r="G62" s="446">
        <f>F62*(1+$E$24)</f>
        <v>6240.5811718749983</v>
      </c>
      <c r="H62" s="446">
        <f>G62*(1+$E$24)</f>
        <v>6396.5957011718729</v>
      </c>
      <c r="I62" s="3"/>
      <c r="J62" s="3"/>
      <c r="K62" s="3"/>
      <c r="L62" s="3"/>
      <c r="M62" s="3"/>
      <c r="N62" s="3"/>
      <c r="O62" s="3"/>
    </row>
    <row r="63" spans="1:15" x14ac:dyDescent="0.2">
      <c r="A63" s="3"/>
      <c r="B63" s="5" t="s">
        <v>510</v>
      </c>
      <c r="C63" s="5" t="s">
        <v>2</v>
      </c>
      <c r="D63" s="383">
        <f>$D$21+($E$25-$D$21)*0/4</f>
        <v>0.14626626189940026</v>
      </c>
      <c r="E63" s="383">
        <f>$D$21+($E$25-$D$21)*1/4</f>
        <v>0.14365776118321827</v>
      </c>
      <c r="F63" s="383">
        <f>$D$21+($E$25-$D$21)*2/4</f>
        <v>0.14104926046703631</v>
      </c>
      <c r="G63" s="383">
        <f>$D$21+($E$25-$D$21)*3/4</f>
        <v>0.13844075975085435</v>
      </c>
      <c r="H63" s="383">
        <f>$D$21+($E$25-$D$21)*4/4</f>
        <v>0.13583225903467236</v>
      </c>
      <c r="I63" s="3"/>
      <c r="J63" s="3"/>
      <c r="K63" s="3"/>
      <c r="L63" s="3"/>
      <c r="M63" s="3"/>
      <c r="N63" s="3"/>
      <c r="O63" s="3"/>
    </row>
    <row r="64" spans="1:15" x14ac:dyDescent="0.2">
      <c r="A64" s="3"/>
      <c r="B64" s="5" t="s">
        <v>68</v>
      </c>
      <c r="C64" s="5" t="s">
        <v>14</v>
      </c>
      <c r="D64" s="447">
        <f>D62*D63</f>
        <v>847.61298770702444</v>
      </c>
      <c r="E64" s="447">
        <f>E62*E63</f>
        <v>853.3091442081685</v>
      </c>
      <c r="F64" s="447">
        <f>F62*F63</f>
        <v>858.76035041705302</v>
      </c>
      <c r="G64" s="447">
        <f>G62*G63</f>
        <v>863.95079872125177</v>
      </c>
      <c r="H64" s="447">
        <f>H62*H63</f>
        <v>868.86404422164946</v>
      </c>
      <c r="I64" s="3"/>
      <c r="J64" s="3"/>
      <c r="K64" s="3"/>
      <c r="L64" s="3"/>
      <c r="M64" s="3"/>
      <c r="N64" s="3"/>
      <c r="O64" s="3"/>
    </row>
    <row r="65" spans="1:15" x14ac:dyDescent="0.2">
      <c r="A65" s="3"/>
      <c r="B65" s="5" t="s">
        <v>511</v>
      </c>
      <c r="C65" s="5" t="s">
        <v>14</v>
      </c>
      <c r="D65" s="448">
        <f>-D64*0.3</f>
        <v>-254.28389631210732</v>
      </c>
      <c r="E65" s="448">
        <f>-E64*0.3</f>
        <v>-255.99274326245055</v>
      </c>
      <c r="F65" s="448">
        <f>-F64*0.3</f>
        <v>-257.62810512511589</v>
      </c>
      <c r="G65" s="448">
        <f>-G64*0.3</f>
        <v>-259.1852396163755</v>
      </c>
      <c r="H65" s="448">
        <f>-H64*0.3</f>
        <v>-260.65921326649482</v>
      </c>
      <c r="I65" s="3"/>
      <c r="J65" s="3"/>
      <c r="K65" s="3"/>
      <c r="L65" s="3"/>
      <c r="M65" s="3"/>
      <c r="N65" s="3"/>
      <c r="O65" s="3"/>
    </row>
    <row r="66" spans="1:15" x14ac:dyDescent="0.2">
      <c r="A66" s="3"/>
      <c r="B66" s="5" t="s">
        <v>493</v>
      </c>
      <c r="C66" s="5" t="s">
        <v>14</v>
      </c>
      <c r="D66" s="448">
        <f>D64+D65</f>
        <v>593.3290913949171</v>
      </c>
      <c r="E66" s="448">
        <f>E64+E65</f>
        <v>597.31640094571799</v>
      </c>
      <c r="F66" s="448">
        <f>F64+F65</f>
        <v>601.13224529193712</v>
      </c>
      <c r="G66" s="448">
        <f>G64+G65</f>
        <v>604.76555910487627</v>
      </c>
      <c r="H66" s="448">
        <f>H64+H65</f>
        <v>608.20483095515465</v>
      </c>
      <c r="I66" s="3"/>
      <c r="J66" s="3"/>
      <c r="K66" s="3"/>
      <c r="L66" s="3"/>
      <c r="M66" s="3"/>
      <c r="N66" s="3"/>
      <c r="O66" s="3"/>
    </row>
    <row r="67" spans="1:15" x14ac:dyDescent="0.2">
      <c r="A67" s="3"/>
      <c r="B67" s="5" t="s">
        <v>512</v>
      </c>
      <c r="C67" s="5" t="s">
        <v>14</v>
      </c>
      <c r="D67" s="448">
        <f>D66*(1-$D$13)</f>
        <v>456.86340037408615</v>
      </c>
      <c r="E67" s="448">
        <f>E66*(1-$D$13)</f>
        <v>459.93362872820285</v>
      </c>
      <c r="F67" s="448">
        <f>F66*(1-$D$13)</f>
        <v>462.87182887479162</v>
      </c>
      <c r="G67" s="448">
        <f>G66*(1-$D$13)</f>
        <v>465.66948051075474</v>
      </c>
      <c r="H67" s="448">
        <f>H66*(1-$D$13)</f>
        <v>468.31771983546906</v>
      </c>
      <c r="I67" s="3"/>
      <c r="J67" s="3"/>
      <c r="K67" s="3"/>
      <c r="L67" s="3"/>
      <c r="M67" s="3"/>
      <c r="N67" s="3"/>
      <c r="O67" s="3"/>
    </row>
    <row r="68" spans="1:15" x14ac:dyDescent="0.2">
      <c r="A68" s="3"/>
      <c r="B68" s="5" t="s">
        <v>84</v>
      </c>
      <c r="C68" s="5" t="s">
        <v>14</v>
      </c>
      <c r="D68" s="448">
        <f>-D65</f>
        <v>254.28389631210732</v>
      </c>
      <c r="E68" s="448">
        <f>-E65</f>
        <v>255.99274326245055</v>
      </c>
      <c r="F68" s="448">
        <f>-F65</f>
        <v>257.62810512511589</v>
      </c>
      <c r="G68" s="448">
        <f>-G65</f>
        <v>259.1852396163755</v>
      </c>
      <c r="H68" s="448">
        <f>-H65</f>
        <v>260.65921326649482</v>
      </c>
      <c r="I68" s="3"/>
      <c r="J68" s="3"/>
      <c r="K68" s="3"/>
      <c r="L68" s="3"/>
      <c r="M68" s="3"/>
      <c r="N68" s="3"/>
      <c r="O68" s="3"/>
    </row>
    <row r="69" spans="1:15" x14ac:dyDescent="0.2">
      <c r="A69" s="3"/>
      <c r="B69" s="5" t="s">
        <v>85</v>
      </c>
      <c r="C69" s="5" t="s">
        <v>14</v>
      </c>
      <c r="D69" s="448">
        <f>-D62*($D$18+($E$26-$D$18)*1/5)</f>
        <v>-274.79334200066864</v>
      </c>
      <c r="E69" s="448">
        <f>-E62*($D$18+($E$26-$D$18)*2/5)</f>
        <v>-270.64613166301393</v>
      </c>
      <c r="F69" s="448">
        <f>-F62*($D$18+($E$26-$D$18)*3/5)</f>
        <v>-266.11981496972624</v>
      </c>
      <c r="G69" s="448">
        <f>-G62*($D$18+($E$26-$D$18)*4/5)</f>
        <v>-261.19802860948465</v>
      </c>
      <c r="H69" s="448">
        <f>-H62*$E$26</f>
        <v>-255.86382804687491</v>
      </c>
      <c r="I69" s="3"/>
      <c r="J69" s="3"/>
      <c r="K69" s="3"/>
      <c r="L69" s="3"/>
      <c r="M69" s="3"/>
      <c r="N69" s="3"/>
      <c r="O69" s="3"/>
    </row>
    <row r="70" spans="1:15" x14ac:dyDescent="0.2">
      <c r="A70" s="3"/>
      <c r="B70" s="5" t="s">
        <v>496</v>
      </c>
      <c r="C70" s="5" t="s">
        <v>14</v>
      </c>
      <c r="D70" s="448">
        <f>-D62*$D$19</f>
        <v>-34.770000000000003</v>
      </c>
      <c r="E70" s="448">
        <f>-E62*$D$19</f>
        <v>-35.639249999999997</v>
      </c>
      <c r="F70" s="448">
        <f>-F62*$D$19</f>
        <v>-36.530231249999993</v>
      </c>
      <c r="G70" s="448">
        <f>-G62*$D$19</f>
        <v>-37.443487031249994</v>
      </c>
      <c r="H70" s="448">
        <f>-H62*$D$19</f>
        <v>-38.37957420703124</v>
      </c>
      <c r="I70" s="3"/>
      <c r="J70" s="3"/>
      <c r="K70" s="3"/>
      <c r="L70" s="3"/>
      <c r="M70" s="3"/>
      <c r="N70" s="3"/>
      <c r="O70" s="3"/>
    </row>
    <row r="71" spans="1:15" x14ac:dyDescent="0.2">
      <c r="A71" s="3"/>
      <c r="B71" s="5" t="s">
        <v>497</v>
      </c>
      <c r="C71" s="5" t="s">
        <v>14</v>
      </c>
      <c r="D71" s="447">
        <f>D67+D68+D69+D70</f>
        <v>401.58395468552487</v>
      </c>
      <c r="E71" s="447">
        <f>E67+E68+E69+E70</f>
        <v>409.64099032763943</v>
      </c>
      <c r="F71" s="447">
        <f>F67+F68+F69+F70</f>
        <v>417.84988778018129</v>
      </c>
      <c r="G71" s="447">
        <f>G67+G68+G69+G70</f>
        <v>426.21320448639557</v>
      </c>
      <c r="H71" s="447">
        <f>H67+H68+H69+H70</f>
        <v>434.73353084805768</v>
      </c>
      <c r="I71" s="3"/>
      <c r="J71" s="3"/>
      <c r="K71" s="3"/>
      <c r="L71" s="3"/>
      <c r="M71" s="3"/>
      <c r="N71" s="3"/>
      <c r="O71" s="3"/>
    </row>
    <row r="72" spans="1:15" x14ac:dyDescent="0.2">
      <c r="A72" s="3"/>
      <c r="B72" s="5" t="s">
        <v>17</v>
      </c>
      <c r="C72" s="5" t="s">
        <v>4</v>
      </c>
      <c r="D72" s="450">
        <f>1/(1+$D$12)^1</f>
        <v>0.90489681914823017</v>
      </c>
      <c r="E72" s="450">
        <f>1/(1+$D$12)^2</f>
        <v>0.81883825330458482</v>
      </c>
      <c r="F72" s="450">
        <f>1/(1+$D$12)^3</f>
        <v>0.74096413081221157</v>
      </c>
      <c r="G72" s="450">
        <f>1/(1+$D$12)^4</f>
        <v>0.67049608507490344</v>
      </c>
      <c r="H72" s="450">
        <f>1/(1+$D$12)^5</f>
        <v>0.60672977463562128</v>
      </c>
      <c r="I72" s="3"/>
      <c r="J72" s="3"/>
      <c r="K72" s="3"/>
      <c r="L72" s="3"/>
      <c r="M72" s="3"/>
      <c r="N72" s="3"/>
      <c r="O72" s="3"/>
    </row>
    <row r="73" spans="1:15" x14ac:dyDescent="0.2">
      <c r="A73" s="3"/>
      <c r="B73" s="5" t="s">
        <v>86</v>
      </c>
      <c r="C73" s="5" t="s">
        <v>14</v>
      </c>
      <c r="D73" s="448">
        <f>D71*D72</f>
        <v>363.39204321589847</v>
      </c>
      <c r="E73" s="448">
        <f>E71*E72</f>
        <v>335.42971300184462</v>
      </c>
      <c r="F73" s="448">
        <f>F71*F72</f>
        <v>309.61177890902218</v>
      </c>
      <c r="G73" s="448">
        <f>G71*G72</f>
        <v>285.77428501535752</v>
      </c>
      <c r="H73" s="448">
        <f>H71*H72</f>
        <v>263.76577719798996</v>
      </c>
      <c r="I73" s="3"/>
      <c r="J73" s="3"/>
      <c r="K73" s="3"/>
      <c r="L73" s="3"/>
      <c r="M73" s="3"/>
      <c r="N73" s="3"/>
      <c r="O73" s="3"/>
    </row>
    <row r="74" spans="1:15" ht="16" thickBot="1" x14ac:dyDescent="0.25">
      <c r="A74" s="3"/>
      <c r="B74" s="3"/>
      <c r="C74" s="3"/>
      <c r="D74" s="3"/>
      <c r="E74" s="3"/>
      <c r="F74" s="3"/>
      <c r="G74" s="3"/>
      <c r="H74" s="3"/>
      <c r="I74" s="3"/>
      <c r="J74" s="3"/>
      <c r="K74" s="3"/>
      <c r="L74" s="3"/>
      <c r="M74" s="3"/>
      <c r="N74" s="3"/>
      <c r="O74" s="3"/>
    </row>
    <row r="75" spans="1:15" x14ac:dyDescent="0.2">
      <c r="A75" s="3"/>
      <c r="B75" s="32" t="s">
        <v>513</v>
      </c>
      <c r="C75" s="32" t="s">
        <v>14</v>
      </c>
      <c r="D75" s="446">
        <f>SUM(D73:H73)</f>
        <v>1557.9735973401127</v>
      </c>
      <c r="E75" s="3"/>
      <c r="F75" s="3"/>
      <c r="G75" s="3"/>
      <c r="H75" s="3"/>
      <c r="I75" s="3"/>
      <c r="J75" s="3"/>
      <c r="K75" s="3"/>
      <c r="L75" s="3"/>
      <c r="M75" s="3"/>
      <c r="N75" s="3"/>
      <c r="O75" s="3"/>
    </row>
    <row r="76" spans="1:15" x14ac:dyDescent="0.2">
      <c r="A76" s="3"/>
      <c r="B76" s="5" t="s">
        <v>500</v>
      </c>
      <c r="C76" s="5" t="s">
        <v>14</v>
      </c>
      <c r="D76" s="448">
        <f>H71*(1+$E$27)/($D$12-$E$27)</f>
        <v>5563.1827245892573</v>
      </c>
      <c r="E76" s="3"/>
      <c r="F76" s="3"/>
      <c r="G76" s="3"/>
      <c r="H76" s="3"/>
      <c r="I76" s="3"/>
      <c r="J76" s="3"/>
      <c r="K76" s="3"/>
      <c r="L76" s="3"/>
      <c r="M76" s="3"/>
      <c r="N76" s="3"/>
      <c r="O76" s="3"/>
    </row>
    <row r="77" spans="1:15" x14ac:dyDescent="0.2">
      <c r="A77" s="3"/>
      <c r="B77" s="5" t="s">
        <v>501</v>
      </c>
      <c r="C77" s="5" t="s">
        <v>14</v>
      </c>
      <c r="D77" s="448">
        <f>D76*H72</f>
        <v>3375.3486007468218</v>
      </c>
      <c r="E77" s="3"/>
      <c r="F77" s="3"/>
      <c r="G77" s="3"/>
      <c r="H77" s="3"/>
      <c r="I77" s="3"/>
      <c r="J77" s="3"/>
      <c r="K77" s="3"/>
      <c r="L77" s="3"/>
      <c r="M77" s="3"/>
      <c r="N77" s="3"/>
      <c r="O77" s="3"/>
    </row>
    <row r="78" spans="1:15" x14ac:dyDescent="0.2">
      <c r="A78" s="3"/>
      <c r="B78" s="5" t="s">
        <v>502</v>
      </c>
      <c r="C78" s="5" t="s">
        <v>14</v>
      </c>
      <c r="D78" s="448">
        <f>H64*$E$28</f>
        <v>9557.5044864381434</v>
      </c>
      <c r="E78" s="3"/>
      <c r="F78" s="3"/>
      <c r="G78" s="3"/>
      <c r="H78" s="3"/>
      <c r="I78" s="3"/>
      <c r="J78" s="3"/>
      <c r="K78" s="3"/>
      <c r="L78" s="3"/>
      <c r="M78" s="3"/>
      <c r="N78" s="3"/>
      <c r="O78" s="3"/>
    </row>
    <row r="79" spans="1:15" x14ac:dyDescent="0.2">
      <c r="A79" s="3"/>
      <c r="B79" s="5" t="s">
        <v>503</v>
      </c>
      <c r="C79" s="5" t="s">
        <v>14</v>
      </c>
      <c r="D79" s="448">
        <f>D78*H72</f>
        <v>5798.822543135554</v>
      </c>
      <c r="E79" s="3"/>
      <c r="F79" s="3"/>
      <c r="G79" s="3"/>
      <c r="H79" s="3"/>
      <c r="I79" s="3"/>
      <c r="J79" s="3"/>
      <c r="K79" s="3"/>
      <c r="L79" s="3"/>
      <c r="M79" s="3"/>
      <c r="N79" s="3"/>
      <c r="O79" s="3"/>
    </row>
    <row r="80" spans="1:15" x14ac:dyDescent="0.2">
      <c r="A80" s="3"/>
      <c r="B80" s="5" t="s">
        <v>504</v>
      </c>
      <c r="C80" s="5" t="s">
        <v>14</v>
      </c>
      <c r="D80" s="447">
        <f>D75+D77</f>
        <v>4933.3221980869348</v>
      </c>
      <c r="E80" s="3"/>
      <c r="F80" s="3"/>
      <c r="G80" s="3"/>
      <c r="H80" s="3"/>
      <c r="I80" s="3"/>
      <c r="J80" s="3"/>
      <c r="K80" s="3"/>
      <c r="L80" s="3"/>
      <c r="M80" s="3"/>
      <c r="N80" s="3"/>
      <c r="O80" s="3"/>
    </row>
    <row r="81" spans="1:15" x14ac:dyDescent="0.2">
      <c r="A81" s="3"/>
      <c r="B81" s="5" t="s">
        <v>505</v>
      </c>
      <c r="C81" s="5" t="s">
        <v>14</v>
      </c>
      <c r="D81" s="447">
        <f>D75+D79</f>
        <v>7356.796140475667</v>
      </c>
      <c r="E81" s="3"/>
      <c r="F81" s="3"/>
      <c r="G81" s="3"/>
      <c r="H81" s="3"/>
      <c r="I81" s="3"/>
      <c r="J81" s="3"/>
      <c r="K81" s="3"/>
      <c r="L81" s="3"/>
      <c r="M81" s="3"/>
      <c r="N81" s="3"/>
      <c r="O81" s="3"/>
    </row>
    <row r="82" spans="1:15" x14ac:dyDescent="0.2">
      <c r="A82" s="3"/>
      <c r="B82" s="5" t="s">
        <v>506</v>
      </c>
      <c r="C82" s="5" t="s">
        <v>14</v>
      </c>
      <c r="D82" s="448">
        <f>-$D$14</f>
        <v>-407.1</v>
      </c>
      <c r="E82" s="3"/>
      <c r="F82" s="3"/>
      <c r="G82" s="3"/>
      <c r="H82" s="3"/>
      <c r="I82" s="3"/>
      <c r="J82" s="3"/>
      <c r="K82" s="3"/>
      <c r="L82" s="3"/>
      <c r="M82" s="3"/>
      <c r="N82" s="3"/>
      <c r="O82" s="3"/>
    </row>
    <row r="83" spans="1:15" x14ac:dyDescent="0.2">
      <c r="A83" s="3"/>
      <c r="B83" s="5" t="s">
        <v>507</v>
      </c>
      <c r="C83" s="5" t="s">
        <v>14</v>
      </c>
      <c r="D83" s="448">
        <f>D80+D82</f>
        <v>4526.2221980869344</v>
      </c>
      <c r="E83" s="3"/>
      <c r="F83" s="3"/>
      <c r="G83" s="3"/>
      <c r="H83" s="3"/>
      <c r="I83" s="3"/>
      <c r="J83" s="3"/>
      <c r="K83" s="3"/>
      <c r="L83" s="3"/>
      <c r="M83" s="3"/>
      <c r="N83" s="3"/>
      <c r="O83" s="3"/>
    </row>
    <row r="84" spans="1:15" x14ac:dyDescent="0.2">
      <c r="A84" s="3"/>
      <c r="B84" s="5" t="s">
        <v>508</v>
      </c>
      <c r="C84" s="5" t="s">
        <v>14</v>
      </c>
      <c r="D84" s="448">
        <f>D81+D82</f>
        <v>6949.6961404756667</v>
      </c>
      <c r="E84" s="3"/>
      <c r="F84" s="3"/>
      <c r="G84" s="3"/>
      <c r="H84" s="3"/>
      <c r="I84" s="3"/>
      <c r="J84" s="3"/>
      <c r="K84" s="3"/>
      <c r="L84" s="3"/>
      <c r="M84" s="3"/>
      <c r="N84" s="3"/>
      <c r="O84" s="3"/>
    </row>
    <row r="85" spans="1:15" x14ac:dyDescent="0.2">
      <c r="A85" s="3"/>
      <c r="B85" s="5" t="s">
        <v>87</v>
      </c>
      <c r="C85" s="5" t="s">
        <v>36</v>
      </c>
      <c r="D85" s="451">
        <f>D83/$D$15</f>
        <v>99.477410946965591</v>
      </c>
      <c r="E85" s="3"/>
      <c r="F85" s="3"/>
      <c r="G85" s="3"/>
      <c r="H85" s="3"/>
      <c r="I85" s="3"/>
      <c r="J85" s="3"/>
      <c r="K85" s="3"/>
      <c r="L85" s="3"/>
      <c r="M85" s="3"/>
      <c r="N85" s="3"/>
      <c r="O85" s="3"/>
    </row>
    <row r="86" spans="1:15" x14ac:dyDescent="0.2">
      <c r="A86" s="3"/>
      <c r="B86" s="5" t="s">
        <v>509</v>
      </c>
      <c r="C86" s="5" t="s">
        <v>36</v>
      </c>
      <c r="D86" s="451">
        <f>D84/$D$15</f>
        <v>152.74057451594871</v>
      </c>
      <c r="E86" s="3"/>
      <c r="F86" s="3"/>
      <c r="G86" s="3"/>
      <c r="H86" s="3"/>
      <c r="I86" s="3"/>
      <c r="J86" s="3"/>
      <c r="K86" s="3"/>
      <c r="L86" s="3"/>
      <c r="M86" s="3"/>
      <c r="N86" s="3"/>
      <c r="O86" s="3"/>
    </row>
    <row r="87" spans="1:15" x14ac:dyDescent="0.2">
      <c r="A87" s="3"/>
      <c r="B87" s="3"/>
      <c r="C87" s="3"/>
      <c r="D87" s="3"/>
      <c r="E87" s="3"/>
      <c r="F87" s="3"/>
      <c r="G87" s="3"/>
      <c r="H87" s="3"/>
      <c r="I87" s="3"/>
      <c r="J87" s="3"/>
      <c r="K87" s="3"/>
      <c r="L87" s="3"/>
      <c r="M87" s="3"/>
      <c r="N87" s="3"/>
      <c r="O87" s="3"/>
    </row>
    <row r="88" spans="1:15" x14ac:dyDescent="0.2">
      <c r="A88" s="3"/>
      <c r="B88" s="3"/>
      <c r="C88" s="3"/>
      <c r="D88" s="3"/>
      <c r="E88" s="3"/>
      <c r="F88" s="3"/>
      <c r="G88" s="3"/>
      <c r="H88" s="3"/>
      <c r="I88" s="3"/>
      <c r="J88" s="3"/>
      <c r="K88" s="3"/>
      <c r="L88" s="3"/>
      <c r="M88" s="3"/>
      <c r="N88" s="3"/>
      <c r="O88" s="3"/>
    </row>
    <row r="89" spans="1:15" x14ac:dyDescent="0.2">
      <c r="A89" s="3"/>
      <c r="B89" s="3"/>
      <c r="C89" s="3"/>
      <c r="D89" s="3"/>
      <c r="E89" s="3"/>
      <c r="F89" s="3"/>
      <c r="G89" s="3"/>
      <c r="H89" s="3"/>
      <c r="I89" s="3"/>
      <c r="J89" s="3"/>
      <c r="K89" s="3"/>
      <c r="L89" s="3"/>
      <c r="M89" s="3"/>
      <c r="N89" s="3"/>
      <c r="O89" s="3"/>
    </row>
    <row r="90" spans="1:15" x14ac:dyDescent="0.2">
      <c r="A90" s="3"/>
      <c r="B90" s="3"/>
      <c r="C90" s="3"/>
      <c r="D90" s="3"/>
      <c r="E90" s="3"/>
      <c r="F90" s="3"/>
      <c r="G90" s="3"/>
      <c r="H90" s="3"/>
      <c r="I90" s="3"/>
      <c r="J90" s="3"/>
      <c r="K90" s="3"/>
      <c r="L90" s="3"/>
      <c r="M90" s="3"/>
      <c r="N90" s="3"/>
      <c r="O90" s="3"/>
    </row>
    <row r="91" spans="1:15" ht="16" thickBot="1" x14ac:dyDescent="0.25">
      <c r="A91" s="3"/>
      <c r="B91" s="360" t="s">
        <v>89</v>
      </c>
      <c r="C91" s="361"/>
      <c r="D91" s="328" t="str">
        <f>"FY"&amp;TEXT(MOD('Cover Page'!$C$64+0,100),"00")&amp;"E"</f>
        <v>FY26E</v>
      </c>
      <c r="E91" s="328" t="str">
        <f>"FY"&amp;TEXT(MOD('Cover Page'!$C$64+1,100),"00")&amp;"E"</f>
        <v>FY27E</v>
      </c>
      <c r="F91" s="328" t="str">
        <f>"FY"&amp;TEXT(MOD('Cover Page'!$C$64+2,100),"00")&amp;"E"</f>
        <v>FY28E</v>
      </c>
      <c r="G91" s="328" t="str">
        <f>"FY"&amp;TEXT(MOD('Cover Page'!$C$64+3,100),"00")&amp;"E"</f>
        <v>FY29E</v>
      </c>
      <c r="H91" s="328" t="str">
        <f>"FY"&amp;TEXT(MOD('Cover Page'!$C$64+4,100),"00")&amp;"E"</f>
        <v>FY30E</v>
      </c>
      <c r="I91" s="3"/>
      <c r="J91" s="3"/>
      <c r="K91" s="3"/>
      <c r="L91" s="3"/>
      <c r="M91" s="3"/>
      <c r="N91" s="3"/>
      <c r="O91" s="3"/>
    </row>
    <row r="92" spans="1:15" x14ac:dyDescent="0.2">
      <c r="A92" s="3"/>
      <c r="B92" s="32" t="s">
        <v>83</v>
      </c>
      <c r="C92" s="32" t="s">
        <v>14</v>
      </c>
      <c r="D92" s="446">
        <f>$D$20</f>
        <v>5795</v>
      </c>
      <c r="E92" s="446">
        <f>D92*(1+$F$24)</f>
        <v>6026.8</v>
      </c>
      <c r="F92" s="446">
        <f>E92*(1+$F$24)</f>
        <v>6267.8720000000003</v>
      </c>
      <c r="G92" s="446">
        <f>F92*(1+$F$24)</f>
        <v>6518.5868800000007</v>
      </c>
      <c r="H92" s="446">
        <f>G92*(1+$F$24)</f>
        <v>6779.3303552000007</v>
      </c>
      <c r="I92" s="3"/>
      <c r="J92" s="3"/>
      <c r="K92" s="3"/>
      <c r="L92" s="3"/>
      <c r="M92" s="3"/>
      <c r="N92" s="3"/>
      <c r="O92" s="3"/>
    </row>
    <row r="93" spans="1:15" x14ac:dyDescent="0.2">
      <c r="A93" s="3"/>
      <c r="B93" s="5" t="s">
        <v>159</v>
      </c>
      <c r="C93" s="5" t="s">
        <v>2</v>
      </c>
      <c r="D93" s="383">
        <f>$D$21+($F$25-$D$21)*0/4</f>
        <v>0.14626626189940026</v>
      </c>
      <c r="E93" s="383">
        <f>$D$21+($F$25-$D$21)*1/4</f>
        <v>0.15402803353010841</v>
      </c>
      <c r="F93" s="383">
        <f>$D$21+($F$25-$D$21)*2/4</f>
        <v>0.16178980516081654</v>
      </c>
      <c r="G93" s="383">
        <f>$D$21+($F$25-$D$21)*3/4</f>
        <v>0.16955157679152466</v>
      </c>
      <c r="H93" s="383">
        <f>$D$21+($F$25-$D$21)*4/4</f>
        <v>0.17731334842223281</v>
      </c>
      <c r="I93" s="3"/>
      <c r="J93" s="3"/>
      <c r="K93" s="3"/>
      <c r="L93" s="3"/>
      <c r="M93" s="3"/>
      <c r="N93" s="3"/>
      <c r="O93" s="3"/>
    </row>
    <row r="94" spans="1:15" x14ac:dyDescent="0.2">
      <c r="A94" s="3"/>
      <c r="B94" s="5" t="s">
        <v>68</v>
      </c>
      <c r="C94" s="5" t="s">
        <v>14</v>
      </c>
      <c r="D94" s="447">
        <f>D92*D93</f>
        <v>847.61298770702444</v>
      </c>
      <c r="E94" s="447">
        <f>E92*E93</f>
        <v>928.29615247925744</v>
      </c>
      <c r="F94" s="447">
        <f>F92*F93</f>
        <v>1014.0777896529376</v>
      </c>
      <c r="G94" s="447">
        <f>G92*G93</f>
        <v>1105.2366839565452</v>
      </c>
      <c r="H94" s="447">
        <f>H92*H93</f>
        <v>1202.0657653409971</v>
      </c>
      <c r="I94" s="3"/>
      <c r="J94" s="3"/>
      <c r="K94" s="3"/>
      <c r="L94" s="3"/>
      <c r="M94" s="3"/>
      <c r="N94" s="3"/>
      <c r="O94" s="3"/>
    </row>
    <row r="95" spans="1:15" x14ac:dyDescent="0.2">
      <c r="A95" s="3"/>
      <c r="B95" s="5" t="s">
        <v>511</v>
      </c>
      <c r="C95" s="5" t="s">
        <v>14</v>
      </c>
      <c r="D95" s="448">
        <f>-D94*0.3</f>
        <v>-254.28389631210732</v>
      </c>
      <c r="E95" s="448">
        <f>-E94*0.3</f>
        <v>-278.48884574377723</v>
      </c>
      <c r="F95" s="448">
        <f>-F94*0.3</f>
        <v>-304.22333689588123</v>
      </c>
      <c r="G95" s="448">
        <f>-G94*0.3</f>
        <v>-331.57100518696353</v>
      </c>
      <c r="H95" s="448">
        <f>-H94*0.3</f>
        <v>-360.61972960229912</v>
      </c>
      <c r="I95" s="3"/>
      <c r="J95" s="3"/>
      <c r="K95" s="3"/>
      <c r="L95" s="3"/>
      <c r="M95" s="3"/>
      <c r="N95" s="3"/>
      <c r="O95" s="3"/>
    </row>
    <row r="96" spans="1:15" x14ac:dyDescent="0.2">
      <c r="A96" s="3"/>
      <c r="B96" s="5" t="s">
        <v>493</v>
      </c>
      <c r="C96" s="5" t="s">
        <v>14</v>
      </c>
      <c r="D96" s="448">
        <f>D94+D95</f>
        <v>593.3290913949171</v>
      </c>
      <c r="E96" s="448">
        <f>E94+E95</f>
        <v>649.80730673548021</v>
      </c>
      <c r="F96" s="448">
        <f>F94+F95</f>
        <v>709.85445275705638</v>
      </c>
      <c r="G96" s="448">
        <f>G94+G95</f>
        <v>773.66567876958175</v>
      </c>
      <c r="H96" s="448">
        <f>H94+H95</f>
        <v>841.44603573869801</v>
      </c>
      <c r="I96" s="3"/>
      <c r="J96" s="3"/>
      <c r="K96" s="3"/>
      <c r="L96" s="3"/>
      <c r="M96" s="3"/>
      <c r="N96" s="3"/>
      <c r="O96" s="3"/>
    </row>
    <row r="97" spans="1:15" x14ac:dyDescent="0.2">
      <c r="A97" s="3"/>
      <c r="B97" s="5" t="s">
        <v>512</v>
      </c>
      <c r="C97" s="5" t="s">
        <v>14</v>
      </c>
      <c r="D97" s="448">
        <f>D96*(1-$D$13)</f>
        <v>456.86340037408615</v>
      </c>
      <c r="E97" s="448">
        <f>E96*(1-$D$13)</f>
        <v>500.35162618631978</v>
      </c>
      <c r="F97" s="448">
        <f>F96*(1-$D$13)</f>
        <v>546.58792862293342</v>
      </c>
      <c r="G97" s="448">
        <f>G96*(1-$D$13)</f>
        <v>595.72257265257792</v>
      </c>
      <c r="H97" s="448">
        <f>H96*(1-$D$13)</f>
        <v>647.91344751879751</v>
      </c>
      <c r="I97" s="3"/>
      <c r="J97" s="3"/>
      <c r="K97" s="3"/>
      <c r="L97" s="3"/>
      <c r="M97" s="3"/>
      <c r="N97" s="3"/>
      <c r="O97" s="3"/>
    </row>
    <row r="98" spans="1:15" x14ac:dyDescent="0.2">
      <c r="A98" s="3"/>
      <c r="B98" s="5" t="s">
        <v>84</v>
      </c>
      <c r="C98" s="5" t="s">
        <v>14</v>
      </c>
      <c r="D98" s="448">
        <f>-D95</f>
        <v>254.28389631210732</v>
      </c>
      <c r="E98" s="448">
        <f>-E95</f>
        <v>278.48884574377723</v>
      </c>
      <c r="F98" s="448">
        <f>-F95</f>
        <v>304.22333689588123</v>
      </c>
      <c r="G98" s="448">
        <f>-G95</f>
        <v>331.57100518696353</v>
      </c>
      <c r="H98" s="448">
        <f>-H95</f>
        <v>360.61972960229912</v>
      </c>
      <c r="I98" s="3"/>
      <c r="J98" s="3"/>
      <c r="K98" s="3"/>
      <c r="L98" s="3"/>
      <c r="M98" s="3"/>
      <c r="N98" s="3"/>
      <c r="O98" s="3"/>
    </row>
    <row r="99" spans="1:15" x14ac:dyDescent="0.2">
      <c r="A99" s="3"/>
      <c r="B99" s="5" t="s">
        <v>85</v>
      </c>
      <c r="C99" s="5" t="s">
        <v>14</v>
      </c>
      <c r="D99" s="448">
        <f>-D92*($D$18+($F$26-$D$18)*1/5)</f>
        <v>-268.99834200066863</v>
      </c>
      <c r="E99" s="448">
        <f>-E92*($D$18+($F$26-$D$18)*2/5)</f>
        <v>-262.55320676052156</v>
      </c>
      <c r="F99" s="448">
        <f>-F92*($D$18+($F$26-$D$18)*3/5)</f>
        <v>-255.1620633539616</v>
      </c>
      <c r="G99" s="448">
        <f>-G92*($D$18+($F$26-$D$18)*4/5)</f>
        <v>-246.75954334406009</v>
      </c>
      <c r="H99" s="448">
        <f>-H92*$F$26</f>
        <v>-237.27656243200005</v>
      </c>
      <c r="I99" s="3"/>
      <c r="J99" s="3"/>
      <c r="K99" s="3"/>
      <c r="L99" s="3"/>
      <c r="M99" s="3"/>
      <c r="N99" s="3"/>
      <c r="O99" s="3"/>
    </row>
    <row r="100" spans="1:15" x14ac:dyDescent="0.2">
      <c r="A100" s="3"/>
      <c r="B100" s="5" t="s">
        <v>496</v>
      </c>
      <c r="C100" s="5" t="s">
        <v>14</v>
      </c>
      <c r="D100" s="448">
        <f>-D92*$D$19</f>
        <v>-34.770000000000003</v>
      </c>
      <c r="E100" s="448">
        <f>-E92*$D$19</f>
        <v>-36.160800000000002</v>
      </c>
      <c r="F100" s="448">
        <f>-F92*$D$19</f>
        <v>-37.607232000000003</v>
      </c>
      <c r="G100" s="448">
        <f>-G92*$D$19</f>
        <v>-39.111521280000005</v>
      </c>
      <c r="H100" s="448">
        <f>-H92*$D$19</f>
        <v>-40.675982131200001</v>
      </c>
      <c r="I100" s="3"/>
      <c r="J100" s="3"/>
      <c r="K100" s="3"/>
      <c r="L100" s="3"/>
      <c r="M100" s="3"/>
      <c r="N100" s="3"/>
      <c r="O100" s="3"/>
    </row>
    <row r="101" spans="1:15" x14ac:dyDescent="0.2">
      <c r="A101" s="3"/>
      <c r="B101" s="5" t="s">
        <v>497</v>
      </c>
      <c r="C101" s="5" t="s">
        <v>14</v>
      </c>
      <c r="D101" s="447">
        <f>D97+D98+D99+D100</f>
        <v>407.37895468552489</v>
      </c>
      <c r="E101" s="447">
        <f>E97+E98+E99+E100</f>
        <v>480.12646516957545</v>
      </c>
      <c r="F101" s="447">
        <f>F97+F98+F99+F100</f>
        <v>558.04197016485318</v>
      </c>
      <c r="G101" s="447">
        <f>G97+G98+G99+G100</f>
        <v>641.42251321548133</v>
      </c>
      <c r="H101" s="447">
        <f>H97+H98+H99+H100</f>
        <v>730.58063255789648</v>
      </c>
      <c r="I101" s="3"/>
      <c r="J101" s="3"/>
      <c r="K101" s="3"/>
      <c r="L101" s="3"/>
      <c r="M101" s="3"/>
      <c r="N101" s="3"/>
      <c r="O101" s="3"/>
    </row>
    <row r="102" spans="1:15" x14ac:dyDescent="0.2">
      <c r="A102" s="3"/>
      <c r="B102" s="5" t="s">
        <v>17</v>
      </c>
      <c r="C102" s="5" t="s">
        <v>4</v>
      </c>
      <c r="D102" s="450">
        <f>1/(1+$D$12)^1</f>
        <v>0.90489681914823017</v>
      </c>
      <c r="E102" s="450">
        <f>1/(1+$D$12)^2</f>
        <v>0.81883825330458482</v>
      </c>
      <c r="F102" s="450">
        <f>1/(1+$D$12)^3</f>
        <v>0.74096413081221157</v>
      </c>
      <c r="G102" s="450">
        <f>1/(1+$D$12)^4</f>
        <v>0.67049608507490344</v>
      </c>
      <c r="H102" s="450">
        <f>1/(1+$D$12)^5</f>
        <v>0.60672977463562128</v>
      </c>
      <c r="I102" s="3"/>
      <c r="J102" s="3"/>
      <c r="K102" s="3"/>
      <c r="L102" s="3"/>
      <c r="M102" s="3"/>
      <c r="N102" s="3"/>
      <c r="O102" s="3"/>
    </row>
    <row r="103" spans="1:15" x14ac:dyDescent="0.2">
      <c r="A103" s="3"/>
      <c r="B103" s="5" t="s">
        <v>86</v>
      </c>
      <c r="C103" s="5" t="s">
        <v>14</v>
      </c>
      <c r="D103" s="448">
        <f>D101*D102</f>
        <v>368.63592028286246</v>
      </c>
      <c r="E103" s="448">
        <f>E101*E102</f>
        <v>393.14591610475975</v>
      </c>
      <c r="F103" s="448">
        <f>F101*F102</f>
        <v>413.48908337993453</v>
      </c>
      <c r="G103" s="448">
        <f>G101*G102</f>
        <v>430.07128398988573</v>
      </c>
      <c r="H103" s="448">
        <f>H101*H102</f>
        <v>443.26502254500218</v>
      </c>
      <c r="I103" s="3"/>
      <c r="J103" s="3"/>
      <c r="K103" s="3"/>
      <c r="L103" s="3"/>
      <c r="M103" s="3"/>
      <c r="N103" s="3"/>
      <c r="O103" s="3"/>
    </row>
    <row r="104" spans="1:15" ht="16" thickBot="1" x14ac:dyDescent="0.25">
      <c r="A104" s="3"/>
      <c r="B104" s="3"/>
      <c r="C104" s="3"/>
      <c r="D104" s="3"/>
      <c r="E104" s="3"/>
      <c r="F104" s="3"/>
      <c r="G104" s="3"/>
      <c r="H104" s="3"/>
      <c r="I104" s="3"/>
      <c r="J104" s="3"/>
      <c r="K104" s="3"/>
      <c r="L104" s="3"/>
      <c r="M104" s="3"/>
      <c r="N104" s="3"/>
      <c r="O104" s="3"/>
    </row>
    <row r="105" spans="1:15" x14ac:dyDescent="0.2">
      <c r="A105" s="3"/>
      <c r="B105" s="32" t="s">
        <v>516</v>
      </c>
      <c r="C105" s="32" t="s">
        <v>14</v>
      </c>
      <c r="D105" s="446">
        <f>SUM(D103:H103)</f>
        <v>2048.6072263024444</v>
      </c>
      <c r="E105" s="3"/>
      <c r="F105" s="3"/>
      <c r="G105" s="3"/>
      <c r="H105" s="3"/>
      <c r="I105" s="3"/>
      <c r="J105" s="3"/>
      <c r="K105" s="3"/>
      <c r="L105" s="3"/>
      <c r="M105" s="3"/>
      <c r="N105" s="3"/>
      <c r="O105" s="3"/>
    </row>
    <row r="106" spans="1:15" x14ac:dyDescent="0.2">
      <c r="A106" s="3"/>
      <c r="B106" s="5" t="s">
        <v>500</v>
      </c>
      <c r="C106" s="5" t="s">
        <v>14</v>
      </c>
      <c r="D106" s="448">
        <f>H101*(1+$F$27)/($D$12-$F$27)</f>
        <v>10020.164884698941</v>
      </c>
      <c r="E106" s="3"/>
      <c r="F106" s="3"/>
      <c r="G106" s="3"/>
      <c r="H106" s="3"/>
      <c r="I106" s="3"/>
      <c r="J106" s="3"/>
      <c r="K106" s="3"/>
      <c r="L106" s="3"/>
      <c r="M106" s="3"/>
      <c r="N106" s="3"/>
      <c r="O106" s="3"/>
    </row>
    <row r="107" spans="1:15" x14ac:dyDescent="0.2">
      <c r="A107" s="3"/>
      <c r="B107" s="5" t="s">
        <v>501</v>
      </c>
      <c r="C107" s="5" t="s">
        <v>14</v>
      </c>
      <c r="D107" s="448">
        <f>D106*H102</f>
        <v>6079.5323823051549</v>
      </c>
      <c r="E107" s="3"/>
      <c r="F107" s="3"/>
      <c r="G107" s="3"/>
      <c r="H107" s="3"/>
      <c r="I107" s="3"/>
      <c r="J107" s="3"/>
      <c r="K107" s="3"/>
      <c r="L107" s="3"/>
      <c r="M107" s="3"/>
      <c r="N107" s="3"/>
      <c r="O107" s="3"/>
    </row>
    <row r="108" spans="1:15" x14ac:dyDescent="0.2">
      <c r="A108" s="3"/>
      <c r="B108" s="5" t="s">
        <v>502</v>
      </c>
      <c r="C108" s="5" t="s">
        <v>14</v>
      </c>
      <c r="D108" s="448">
        <f>H94*$F$28</f>
        <v>15626.854949432964</v>
      </c>
      <c r="E108" s="3"/>
      <c r="F108" s="3"/>
      <c r="G108" s="3"/>
      <c r="H108" s="3"/>
      <c r="I108" s="3"/>
      <c r="J108" s="3"/>
      <c r="K108" s="3"/>
      <c r="L108" s="3"/>
      <c r="M108" s="3"/>
      <c r="N108" s="3"/>
      <c r="O108" s="3"/>
    </row>
    <row r="109" spans="1:15" x14ac:dyDescent="0.2">
      <c r="A109" s="3"/>
      <c r="B109" s="5" t="s">
        <v>503</v>
      </c>
      <c r="C109" s="5" t="s">
        <v>14</v>
      </c>
      <c r="D109" s="448">
        <f>D108*H102</f>
        <v>9481.2781817330051</v>
      </c>
      <c r="E109" s="3"/>
      <c r="F109" s="3"/>
      <c r="G109" s="3"/>
      <c r="H109" s="3"/>
      <c r="I109" s="3"/>
      <c r="J109" s="3"/>
      <c r="K109" s="3"/>
      <c r="L109" s="3"/>
      <c r="M109" s="3"/>
      <c r="N109" s="3"/>
      <c r="O109" s="3"/>
    </row>
    <row r="110" spans="1:15" x14ac:dyDescent="0.2">
      <c r="A110" s="3"/>
      <c r="B110" s="5" t="s">
        <v>504</v>
      </c>
      <c r="C110" s="5" t="s">
        <v>14</v>
      </c>
      <c r="D110" s="447">
        <f>D105+D107</f>
        <v>8128.1396086075993</v>
      </c>
      <c r="E110" s="3"/>
      <c r="F110" s="3"/>
      <c r="G110" s="3"/>
      <c r="H110" s="3"/>
      <c r="I110" s="3"/>
      <c r="J110" s="3"/>
      <c r="K110" s="3"/>
      <c r="L110" s="3"/>
      <c r="M110" s="3"/>
      <c r="N110" s="3"/>
      <c r="O110" s="3"/>
    </row>
    <row r="111" spans="1:15" x14ac:dyDescent="0.2">
      <c r="A111" s="3"/>
      <c r="B111" s="5" t="s">
        <v>505</v>
      </c>
      <c r="C111" s="5" t="s">
        <v>14</v>
      </c>
      <c r="D111" s="447">
        <f>D105+D109</f>
        <v>11529.88540803545</v>
      </c>
      <c r="E111" s="3"/>
      <c r="F111" s="3"/>
      <c r="G111" s="3"/>
      <c r="H111" s="3"/>
      <c r="I111" s="3"/>
      <c r="J111" s="3"/>
      <c r="K111" s="3"/>
      <c r="L111" s="3"/>
      <c r="M111" s="3"/>
      <c r="N111" s="3"/>
      <c r="O111" s="3"/>
    </row>
    <row r="112" spans="1:15" x14ac:dyDescent="0.2">
      <c r="A112" s="3"/>
      <c r="B112" s="5" t="s">
        <v>506</v>
      </c>
      <c r="C112" s="5" t="s">
        <v>14</v>
      </c>
      <c r="D112" s="448">
        <f>-$D$14</f>
        <v>-407.1</v>
      </c>
      <c r="E112" s="3"/>
      <c r="F112" s="3"/>
      <c r="G112" s="3"/>
      <c r="H112" s="3"/>
      <c r="I112" s="3"/>
      <c r="J112" s="3"/>
      <c r="K112" s="3"/>
      <c r="L112" s="3"/>
      <c r="M112" s="3"/>
      <c r="N112" s="3"/>
      <c r="O112" s="3"/>
    </row>
    <row r="113" spans="1:15" x14ac:dyDescent="0.2">
      <c r="A113" s="3"/>
      <c r="B113" s="5" t="s">
        <v>507</v>
      </c>
      <c r="C113" s="5" t="s">
        <v>14</v>
      </c>
      <c r="D113" s="448">
        <f>D110+D112</f>
        <v>7721.0396086075989</v>
      </c>
      <c r="E113" s="3"/>
      <c r="F113" s="3"/>
      <c r="G113" s="3"/>
      <c r="H113" s="3"/>
      <c r="I113" s="3"/>
      <c r="J113" s="3"/>
      <c r="K113" s="3"/>
      <c r="L113" s="3"/>
      <c r="M113" s="3"/>
      <c r="N113" s="3"/>
      <c r="O113" s="3"/>
    </row>
    <row r="114" spans="1:15" x14ac:dyDescent="0.2">
      <c r="A114" s="3"/>
      <c r="B114" s="5" t="s">
        <v>508</v>
      </c>
      <c r="C114" s="5" t="s">
        <v>14</v>
      </c>
      <c r="D114" s="448">
        <f>D111+D112</f>
        <v>11122.78540803545</v>
      </c>
      <c r="E114" s="3"/>
      <c r="F114" s="3"/>
      <c r="G114" s="3"/>
      <c r="H114" s="3"/>
      <c r="I114" s="3"/>
      <c r="J114" s="3"/>
      <c r="K114" s="3"/>
      <c r="L114" s="3"/>
      <c r="M114" s="3"/>
      <c r="N114" s="3"/>
      <c r="O114" s="3"/>
    </row>
    <row r="115" spans="1:15" x14ac:dyDescent="0.2">
      <c r="A115" s="3"/>
      <c r="B115" s="5" t="s">
        <v>87</v>
      </c>
      <c r="C115" s="5" t="s">
        <v>36</v>
      </c>
      <c r="D115" s="451">
        <f>D113/$D$15</f>
        <v>169.69317821115601</v>
      </c>
      <c r="E115" s="3"/>
      <c r="F115" s="3"/>
      <c r="G115" s="3"/>
      <c r="H115" s="3"/>
      <c r="I115" s="3"/>
      <c r="J115" s="3"/>
      <c r="K115" s="3"/>
      <c r="L115" s="3"/>
      <c r="M115" s="3"/>
      <c r="N115" s="3"/>
      <c r="O115" s="3"/>
    </row>
    <row r="116" spans="1:15" x14ac:dyDescent="0.2">
      <c r="A116" s="3"/>
      <c r="B116" s="5" t="s">
        <v>509</v>
      </c>
      <c r="C116" s="5" t="s">
        <v>36</v>
      </c>
      <c r="D116" s="451">
        <f>D114/$D$15</f>
        <v>244.45682215462529</v>
      </c>
      <c r="E116" s="3"/>
      <c r="F116" s="3"/>
      <c r="G116" s="3"/>
      <c r="H116" s="3"/>
      <c r="I116" s="3"/>
      <c r="J116" s="3"/>
      <c r="K116" s="3"/>
      <c r="L116" s="3"/>
      <c r="M116" s="3"/>
      <c r="N116" s="3"/>
      <c r="O116" s="3"/>
    </row>
    <row r="117" spans="1:15" x14ac:dyDescent="0.2">
      <c r="A117" s="3"/>
      <c r="B117" s="3"/>
      <c r="C117" s="3"/>
      <c r="D117" s="3"/>
      <c r="E117" s="3"/>
      <c r="F117" s="3"/>
      <c r="G117" s="3"/>
      <c r="H117" s="3"/>
      <c r="I117" s="3"/>
      <c r="J117" s="3"/>
      <c r="K117" s="3"/>
      <c r="L117" s="3"/>
      <c r="M117" s="3"/>
      <c r="N117" s="3"/>
      <c r="O117" s="3"/>
    </row>
    <row r="118" spans="1:15" x14ac:dyDescent="0.2">
      <c r="A118" s="3"/>
      <c r="B118" s="3"/>
      <c r="C118" s="3"/>
      <c r="D118" s="3"/>
      <c r="E118" s="3"/>
      <c r="F118" s="3"/>
      <c r="G118" s="3"/>
      <c r="H118" s="3"/>
      <c r="I118" s="3"/>
      <c r="J118" s="3"/>
      <c r="K118" s="3"/>
      <c r="L118" s="3"/>
      <c r="M118" s="3"/>
      <c r="N118" s="3"/>
      <c r="O118" s="3"/>
    </row>
    <row r="119" spans="1:15" ht="16" thickBot="1" x14ac:dyDescent="0.25">
      <c r="A119" s="3"/>
      <c r="B119" s="203" t="s">
        <v>517</v>
      </c>
      <c r="C119" s="329"/>
      <c r="D119" s="326" t="s">
        <v>47</v>
      </c>
      <c r="E119" s="327" t="s">
        <v>57</v>
      </c>
      <c r="F119" s="328" t="s">
        <v>48</v>
      </c>
      <c r="G119" s="3"/>
      <c r="H119" s="3"/>
      <c r="I119" s="3"/>
      <c r="J119" s="3"/>
      <c r="K119" s="3"/>
      <c r="L119" s="3"/>
      <c r="M119" s="3"/>
      <c r="N119" s="3"/>
      <c r="O119" s="3"/>
    </row>
    <row r="120" spans="1:15" x14ac:dyDescent="0.2">
      <c r="A120" s="3"/>
      <c r="B120" s="32" t="s">
        <v>518</v>
      </c>
      <c r="C120" s="32" t="s">
        <v>14</v>
      </c>
      <c r="D120" s="446">
        <f>H32</f>
        <v>6030.3002379500003</v>
      </c>
      <c r="E120" s="446">
        <f>H62</f>
        <v>6396.5957011718729</v>
      </c>
      <c r="F120" s="446">
        <f>H92</f>
        <v>6779.3303552000007</v>
      </c>
      <c r="G120" s="3"/>
      <c r="H120" s="3"/>
      <c r="I120" s="3"/>
      <c r="J120" s="3"/>
      <c r="K120" s="3"/>
      <c r="L120" s="3"/>
      <c r="M120" s="3"/>
      <c r="N120" s="3"/>
      <c r="O120" s="3"/>
    </row>
    <row r="121" spans="1:15" x14ac:dyDescent="0.2">
      <c r="A121" s="3"/>
      <c r="B121" s="5" t="s">
        <v>519</v>
      </c>
      <c r="C121" s="5" t="s">
        <v>14</v>
      </c>
      <c r="D121" s="448">
        <f>H34</f>
        <v>610.39568574207181</v>
      </c>
      <c r="E121" s="448">
        <f>H64</f>
        <v>868.86404422164946</v>
      </c>
      <c r="F121" s="448">
        <f>H94</f>
        <v>1202.0657653409971</v>
      </c>
      <c r="G121" s="3"/>
      <c r="H121" s="3"/>
      <c r="I121" s="3"/>
      <c r="J121" s="3"/>
      <c r="K121" s="3"/>
      <c r="L121" s="3"/>
      <c r="M121" s="3"/>
      <c r="N121" s="3"/>
      <c r="O121" s="3"/>
    </row>
    <row r="122" spans="1:15" x14ac:dyDescent="0.2">
      <c r="A122" s="3"/>
      <c r="B122" s="5" t="s">
        <v>520</v>
      </c>
      <c r="C122" s="5" t="s">
        <v>2</v>
      </c>
      <c r="D122" s="383">
        <f>H33</f>
        <v>0.10122144199400189</v>
      </c>
      <c r="E122" s="383">
        <f>H63</f>
        <v>0.13583225903467236</v>
      </c>
      <c r="F122" s="383">
        <f>H93</f>
        <v>0.17731334842223281</v>
      </c>
      <c r="G122" s="507"/>
      <c r="H122" s="507"/>
      <c r="I122" s="3"/>
      <c r="J122" s="3"/>
      <c r="K122" s="3"/>
      <c r="L122" s="3"/>
      <c r="M122" s="3"/>
      <c r="N122" s="3"/>
      <c r="O122" s="3"/>
    </row>
    <row r="123" spans="1:15" x14ac:dyDescent="0.2">
      <c r="A123" s="3"/>
      <c r="B123" s="5" t="s">
        <v>521</v>
      </c>
      <c r="C123" s="5" t="s">
        <v>14</v>
      </c>
      <c r="D123" s="448">
        <f>H41</f>
        <v>204.5766682021482</v>
      </c>
      <c r="E123" s="448">
        <f>H71</f>
        <v>434.73353084805768</v>
      </c>
      <c r="F123" s="448">
        <f>H101</f>
        <v>730.58063255789648</v>
      </c>
      <c r="G123" s="3"/>
      <c r="H123" s="3"/>
      <c r="I123" s="3"/>
      <c r="J123" s="3"/>
      <c r="K123" s="3"/>
      <c r="L123" s="3"/>
      <c r="M123" s="3"/>
      <c r="N123" s="3"/>
      <c r="O123" s="3"/>
    </row>
    <row r="124" spans="1:15" x14ac:dyDescent="0.2">
      <c r="A124" s="3"/>
      <c r="B124" s="5" t="s">
        <v>504</v>
      </c>
      <c r="C124" s="5" t="s">
        <v>14</v>
      </c>
      <c r="D124" s="448">
        <f>D52</f>
        <v>2650.2553275107111</v>
      </c>
      <c r="E124" s="448">
        <f>D80</f>
        <v>4933.3221980869348</v>
      </c>
      <c r="F124" s="448">
        <f>D110</f>
        <v>8128.1396086075993</v>
      </c>
      <c r="G124" s="3"/>
      <c r="H124" s="3"/>
      <c r="I124" s="3"/>
      <c r="J124" s="3"/>
      <c r="K124" s="3"/>
      <c r="L124" s="3"/>
      <c r="M124" s="3"/>
      <c r="N124" s="3"/>
      <c r="O124" s="3"/>
    </row>
    <row r="125" spans="1:15" x14ac:dyDescent="0.2">
      <c r="A125" s="3"/>
      <c r="B125" s="5" t="s">
        <v>505</v>
      </c>
      <c r="C125" s="5" t="s">
        <v>14</v>
      </c>
      <c r="D125" s="448">
        <f>D53</f>
        <v>4495.6111581808236</v>
      </c>
      <c r="E125" s="448">
        <f>D81</f>
        <v>7356.796140475667</v>
      </c>
      <c r="F125" s="448">
        <f>D111</f>
        <v>11529.88540803545</v>
      </c>
      <c r="G125" s="3"/>
      <c r="H125" s="3"/>
      <c r="I125" s="3"/>
      <c r="J125" s="3"/>
      <c r="K125" s="3"/>
      <c r="L125" s="3"/>
      <c r="M125" s="3"/>
      <c r="N125" s="3"/>
      <c r="O125" s="3"/>
    </row>
    <row r="126" spans="1:15" x14ac:dyDescent="0.2">
      <c r="A126" s="3"/>
      <c r="B126" s="5" t="s">
        <v>522</v>
      </c>
      <c r="C126" s="5" t="s">
        <v>36</v>
      </c>
      <c r="D126" s="451">
        <f>D57</f>
        <v>49.300117088147502</v>
      </c>
      <c r="E126" s="451">
        <f>D85</f>
        <v>99.477410946965591</v>
      </c>
      <c r="F126" s="451">
        <f>D115</f>
        <v>169.69317821115601</v>
      </c>
      <c r="G126" s="3"/>
      <c r="H126" s="3"/>
      <c r="I126" s="3"/>
      <c r="J126" s="3"/>
      <c r="K126" s="3"/>
      <c r="L126" s="3"/>
      <c r="M126" s="3"/>
      <c r="N126" s="3"/>
      <c r="O126" s="3"/>
    </row>
    <row r="127" spans="1:15" x14ac:dyDescent="0.2">
      <c r="A127" s="3"/>
      <c r="B127" s="5" t="s">
        <v>523</v>
      </c>
      <c r="C127" s="5" t="s">
        <v>36</v>
      </c>
      <c r="D127" s="451">
        <f>D58</f>
        <v>89.857388091886236</v>
      </c>
      <c r="E127" s="451">
        <f>D86</f>
        <v>152.74057451594871</v>
      </c>
      <c r="F127" s="451">
        <f>D116</f>
        <v>244.45682215462529</v>
      </c>
      <c r="G127" s="3"/>
      <c r="H127" s="3"/>
      <c r="I127" s="3"/>
      <c r="J127" s="3"/>
      <c r="K127" s="3"/>
      <c r="L127" s="3"/>
      <c r="M127" s="3"/>
      <c r="N127" s="3"/>
      <c r="O127" s="3"/>
    </row>
    <row r="128" spans="1:15" x14ac:dyDescent="0.2">
      <c r="A128" s="3"/>
      <c r="B128" s="5" t="s">
        <v>524</v>
      </c>
      <c r="C128" s="5" t="s">
        <v>36</v>
      </c>
      <c r="D128" s="452">
        <f>AVERAGE(D126:D127)</f>
        <v>69.578752590016876</v>
      </c>
      <c r="E128" s="452">
        <f>AVERAGE(E126:E127)</f>
        <v>126.10899273145715</v>
      </c>
      <c r="F128" s="452">
        <f>AVERAGE(F126:F127)</f>
        <v>207.07500018289065</v>
      </c>
      <c r="G128" s="3"/>
      <c r="H128" s="3"/>
      <c r="I128" s="3"/>
      <c r="J128" s="3"/>
      <c r="K128" s="3"/>
      <c r="L128" s="3"/>
      <c r="M128" s="3"/>
      <c r="N128" s="3"/>
      <c r="O128" s="3"/>
    </row>
    <row r="129" spans="1:15" x14ac:dyDescent="0.2">
      <c r="A129" s="3"/>
      <c r="B129" s="5" t="s">
        <v>525</v>
      </c>
      <c r="C129" s="5" t="s">
        <v>2</v>
      </c>
      <c r="D129" s="356">
        <f>D128/'DCF &amp; Sensitivity'!$D$55-1</f>
        <v>-0.58584075839275673</v>
      </c>
      <c r="E129" s="356">
        <f>E128/'DCF &amp; Sensitivity'!$D$55-1</f>
        <v>-0.24935123374132651</v>
      </c>
      <c r="F129" s="356">
        <f>F128/'DCF &amp; Sensitivity'!$D$55-1</f>
        <v>0.23258928680292046</v>
      </c>
      <c r="G129" s="3"/>
      <c r="H129" s="3"/>
      <c r="I129" s="3"/>
      <c r="J129" s="3"/>
      <c r="K129" s="3"/>
      <c r="L129" s="3"/>
      <c r="M129" s="3"/>
      <c r="N129" s="3"/>
      <c r="O129" s="3"/>
    </row>
    <row r="130" spans="1:15" x14ac:dyDescent="0.2">
      <c r="A130" s="3"/>
      <c r="B130" s="3"/>
      <c r="C130" s="3"/>
      <c r="D130" s="3"/>
      <c r="E130" s="3"/>
      <c r="F130" s="3"/>
      <c r="G130" s="3"/>
      <c r="H130" s="3"/>
      <c r="I130" s="3"/>
      <c r="J130" s="3"/>
      <c r="K130" s="3"/>
      <c r="L130" s="3"/>
      <c r="M130" s="3"/>
      <c r="N130" s="3"/>
      <c r="O130" s="3"/>
    </row>
    <row r="131" spans="1:15" x14ac:dyDescent="0.2">
      <c r="A131" s="3"/>
      <c r="B131" s="3"/>
      <c r="C131" s="3"/>
      <c r="D131" s="3"/>
      <c r="E131" s="3"/>
      <c r="F131" s="3"/>
      <c r="G131" s="3"/>
      <c r="H131" s="3"/>
      <c r="I131" s="3"/>
      <c r="J131" s="3"/>
      <c r="K131" s="3"/>
      <c r="L131" s="3"/>
      <c r="M131" s="3"/>
      <c r="N131" s="3"/>
      <c r="O131" s="3"/>
    </row>
    <row r="132" spans="1:15" x14ac:dyDescent="0.2">
      <c r="A132" s="3"/>
      <c r="B132" s="3"/>
      <c r="C132" s="3"/>
      <c r="D132" s="3"/>
      <c r="E132" s="3"/>
      <c r="F132" s="3"/>
      <c r="G132" s="3"/>
      <c r="H132" s="3"/>
      <c r="I132" s="3"/>
      <c r="J132" s="3"/>
      <c r="K132" s="3"/>
      <c r="L132" s="3"/>
      <c r="M132" s="3"/>
      <c r="N132" s="3"/>
      <c r="O132" s="3"/>
    </row>
    <row r="133" spans="1:15" x14ac:dyDescent="0.2">
      <c r="A133" s="3"/>
      <c r="B133" s="3"/>
      <c r="C133" s="3"/>
      <c r="D133" s="3"/>
      <c r="E133" s="3"/>
      <c r="F133" s="3"/>
      <c r="G133" s="3"/>
      <c r="H133" s="3"/>
      <c r="I133" s="3"/>
      <c r="J133" s="3"/>
      <c r="K133" s="3"/>
      <c r="L133" s="3"/>
      <c r="M133" s="3"/>
      <c r="N133" s="3"/>
      <c r="O133" s="3"/>
    </row>
    <row r="134" spans="1:15" x14ac:dyDescent="0.2">
      <c r="A134" s="3"/>
      <c r="B134" s="3"/>
      <c r="C134" s="3"/>
      <c r="D134" s="3"/>
      <c r="E134" s="3"/>
      <c r="F134" s="3"/>
      <c r="G134" s="3"/>
      <c r="H134" s="3"/>
      <c r="I134" s="3"/>
      <c r="J134" s="3"/>
      <c r="K134" s="3"/>
      <c r="L134" s="3"/>
      <c r="M134" s="3"/>
      <c r="N134" s="3"/>
      <c r="O134" s="3"/>
    </row>
    <row r="135" spans="1:15" x14ac:dyDescent="0.2">
      <c r="A135" s="3"/>
      <c r="B135" s="3"/>
      <c r="C135" s="3"/>
      <c r="D135" s="3"/>
      <c r="E135" s="3"/>
      <c r="F135" s="3"/>
      <c r="G135" s="3"/>
      <c r="H135" s="3"/>
      <c r="I135" s="3"/>
      <c r="J135" s="3"/>
      <c r="K135" s="3"/>
      <c r="L135" s="3"/>
      <c r="M135" s="3"/>
      <c r="N135" s="3"/>
      <c r="O135" s="3"/>
    </row>
    <row r="136" spans="1:15" x14ac:dyDescent="0.2">
      <c r="A136" s="3"/>
      <c r="B136" s="3"/>
      <c r="C136" s="3"/>
      <c r="D136" s="3"/>
      <c r="E136" s="3"/>
      <c r="F136" s="3"/>
      <c r="G136" s="3"/>
      <c r="H136" s="3"/>
      <c r="I136" s="3"/>
      <c r="J136" s="3"/>
      <c r="K136" s="3"/>
      <c r="L136" s="3"/>
      <c r="M136" s="3"/>
      <c r="N136" s="3"/>
      <c r="O136" s="3"/>
    </row>
    <row r="137" spans="1:15" x14ac:dyDescent="0.2">
      <c r="A137" s="3"/>
      <c r="B137" s="3"/>
      <c r="C137" s="3"/>
      <c r="D137" s="3"/>
      <c r="E137" s="3"/>
      <c r="F137" s="3"/>
      <c r="G137" s="3"/>
      <c r="H137" s="3"/>
      <c r="I137" s="3"/>
      <c r="J137" s="3"/>
      <c r="K137" s="3"/>
      <c r="L137" s="3"/>
      <c r="M137" s="3"/>
      <c r="N137" s="3"/>
      <c r="O137" s="3"/>
    </row>
    <row r="138" spans="1:15" x14ac:dyDescent="0.2">
      <c r="A138" s="3"/>
      <c r="B138" s="3"/>
      <c r="C138" s="3"/>
      <c r="D138" s="3"/>
      <c r="E138" s="3"/>
      <c r="F138" s="3"/>
      <c r="G138" s="3"/>
      <c r="H138" s="3"/>
      <c r="I138" s="3"/>
      <c r="J138" s="3"/>
      <c r="K138" s="3"/>
      <c r="L138" s="3"/>
      <c r="M138" s="3"/>
      <c r="N138" s="3"/>
      <c r="O138" s="3"/>
    </row>
    <row r="139" spans="1:15" x14ac:dyDescent="0.2">
      <c r="A139" s="3"/>
      <c r="B139" s="3"/>
      <c r="C139" s="3"/>
      <c r="D139" s="3"/>
      <c r="E139" s="3"/>
      <c r="F139" s="3"/>
      <c r="G139" s="3"/>
      <c r="H139" s="3"/>
      <c r="I139" s="3"/>
      <c r="J139" s="3"/>
      <c r="K139" s="3"/>
      <c r="L139" s="3"/>
      <c r="M139" s="3"/>
      <c r="N139" s="3"/>
      <c r="O139" s="3"/>
    </row>
    <row r="140" spans="1:15" x14ac:dyDescent="0.2">
      <c r="A140" s="3"/>
      <c r="B140" s="3"/>
      <c r="C140" s="3"/>
      <c r="D140" s="3"/>
      <c r="E140" s="3"/>
      <c r="F140" s="3"/>
      <c r="G140" s="3"/>
      <c r="H140" s="3"/>
      <c r="I140" s="3"/>
      <c r="J140" s="3"/>
      <c r="K140" s="3"/>
      <c r="L140" s="3"/>
      <c r="M140" s="3"/>
      <c r="N140" s="3"/>
      <c r="O140" s="3"/>
    </row>
    <row r="141" spans="1:15" x14ac:dyDescent="0.2">
      <c r="A141" s="3"/>
      <c r="B141" s="3"/>
      <c r="C141" s="3"/>
      <c r="D141" s="3"/>
      <c r="E141" s="3"/>
      <c r="F141" s="3"/>
      <c r="G141" s="3"/>
      <c r="H141" s="3"/>
      <c r="I141" s="3"/>
      <c r="J141" s="3"/>
      <c r="K141" s="3"/>
      <c r="L141" s="3"/>
      <c r="M141" s="3"/>
      <c r="N141" s="3"/>
      <c r="O141" s="3"/>
    </row>
    <row r="142" spans="1:15" x14ac:dyDescent="0.2">
      <c r="A142" s="3"/>
      <c r="B142" s="3"/>
      <c r="C142" s="3"/>
      <c r="D142" s="3"/>
      <c r="E142" s="3"/>
      <c r="F142" s="3"/>
      <c r="G142" s="3"/>
      <c r="H142" s="3"/>
      <c r="I142" s="3"/>
      <c r="J142" s="3"/>
      <c r="K142" s="3"/>
      <c r="L142" s="3"/>
      <c r="M142" s="3"/>
      <c r="N142" s="3"/>
      <c r="O142" s="3"/>
    </row>
    <row r="143" spans="1:15" x14ac:dyDescent="0.2">
      <c r="A143" s="3"/>
      <c r="B143" s="3"/>
      <c r="C143" s="3"/>
      <c r="D143" s="3"/>
      <c r="E143" s="3"/>
      <c r="F143" s="3"/>
      <c r="G143" s="3"/>
      <c r="H143" s="3"/>
      <c r="I143" s="3"/>
      <c r="J143" s="3"/>
      <c r="K143" s="3"/>
      <c r="L143" s="3"/>
      <c r="M143" s="3"/>
      <c r="N143" s="3"/>
      <c r="O143" s="3"/>
    </row>
    <row r="144" spans="1:15" x14ac:dyDescent="0.2">
      <c r="A144" s="3"/>
      <c r="B144" s="3"/>
      <c r="C144" s="3"/>
      <c r="D144" s="3"/>
      <c r="E144" s="3"/>
      <c r="F144" s="3"/>
      <c r="G144" s="3"/>
      <c r="H144" s="3"/>
      <c r="I144" s="3"/>
      <c r="J144" s="3"/>
      <c r="K144" s="3"/>
      <c r="L144" s="3"/>
      <c r="M144" s="3"/>
      <c r="N144" s="3"/>
      <c r="O144" s="3"/>
    </row>
    <row r="145" spans="1:15" x14ac:dyDescent="0.2">
      <c r="A145" s="3"/>
      <c r="B145" s="3"/>
      <c r="C145" s="3"/>
      <c r="D145" s="3"/>
      <c r="E145" s="3"/>
      <c r="F145" s="3"/>
      <c r="G145" s="3"/>
      <c r="H145" s="3"/>
      <c r="I145" s="3"/>
      <c r="J145" s="3"/>
      <c r="K145" s="3"/>
      <c r="L145" s="3"/>
      <c r="M145" s="3"/>
      <c r="N145" s="3"/>
      <c r="O145" s="3"/>
    </row>
    <row r="146" spans="1:15" x14ac:dyDescent="0.2">
      <c r="A146" s="3"/>
      <c r="B146" s="3"/>
      <c r="C146" s="3"/>
      <c r="D146" s="3"/>
      <c r="E146" s="3"/>
      <c r="F146" s="3"/>
      <c r="G146" s="3"/>
      <c r="H146" s="3"/>
      <c r="I146" s="3"/>
      <c r="J146" s="3"/>
      <c r="K146" s="3"/>
      <c r="L146" s="3"/>
      <c r="M146" s="3"/>
      <c r="N146" s="3"/>
      <c r="O146" s="3"/>
    </row>
    <row r="147" spans="1:15" x14ac:dyDescent="0.2">
      <c r="A147" s="3"/>
      <c r="B147" s="3"/>
      <c r="C147" s="3"/>
      <c r="D147" s="3"/>
      <c r="E147" s="3"/>
      <c r="F147" s="3"/>
      <c r="G147" s="3"/>
      <c r="H147" s="3"/>
      <c r="I147" s="3"/>
      <c r="J147" s="3"/>
      <c r="K147" s="3"/>
      <c r="L147" s="3"/>
      <c r="M147" s="3"/>
      <c r="N147" s="3"/>
      <c r="O147" s="3"/>
    </row>
    <row r="148" spans="1:15" x14ac:dyDescent="0.2">
      <c r="A148" s="3"/>
      <c r="B148" s="3"/>
      <c r="C148" s="3"/>
      <c r="D148" s="3"/>
      <c r="E148" s="3"/>
      <c r="F148" s="3"/>
      <c r="G148" s="3"/>
      <c r="H148" s="3"/>
      <c r="I148" s="3"/>
      <c r="J148" s="3"/>
      <c r="K148" s="3"/>
      <c r="L148" s="3"/>
      <c r="M148" s="3"/>
      <c r="N148" s="3"/>
      <c r="O148" s="3"/>
    </row>
    <row r="149" spans="1:15" x14ac:dyDescent="0.2">
      <c r="A149" s="3"/>
      <c r="B149" s="3"/>
      <c r="C149" s="3"/>
      <c r="D149" s="3"/>
      <c r="E149" s="3"/>
      <c r="F149" s="3"/>
      <c r="G149" s="3"/>
      <c r="H149" s="3"/>
      <c r="I149" s="3"/>
      <c r="J149" s="3"/>
      <c r="K149" s="3"/>
      <c r="L149" s="3"/>
      <c r="M149" s="3"/>
      <c r="N149" s="3"/>
      <c r="O149" s="3"/>
    </row>
    <row r="150" spans="1:15" x14ac:dyDescent="0.2">
      <c r="A150" s="3"/>
      <c r="B150" s="3"/>
      <c r="C150" s="3"/>
      <c r="D150" s="3"/>
      <c r="E150" s="3"/>
      <c r="F150" s="3"/>
      <c r="G150" s="3"/>
      <c r="H150" s="3"/>
      <c r="I150" s="3"/>
      <c r="J150" s="3"/>
      <c r="K150" s="3"/>
      <c r="L150" s="3"/>
      <c r="M150" s="3"/>
      <c r="N150" s="3"/>
      <c r="O150" s="3"/>
    </row>
    <row r="151" spans="1:15" x14ac:dyDescent="0.2">
      <c r="A151" s="3"/>
      <c r="B151" s="3"/>
      <c r="C151" s="3"/>
      <c r="D151" s="3"/>
      <c r="E151" s="3"/>
      <c r="F151" s="3"/>
      <c r="G151" s="3"/>
      <c r="H151" s="3"/>
      <c r="I151" s="3"/>
      <c r="J151" s="3"/>
      <c r="K151" s="3"/>
      <c r="L151" s="3"/>
      <c r="M151" s="3"/>
      <c r="N151" s="3"/>
      <c r="O151" s="3"/>
    </row>
    <row r="152" spans="1:15" x14ac:dyDescent="0.2">
      <c r="A152" s="3"/>
      <c r="B152" s="3"/>
      <c r="C152" s="3"/>
      <c r="D152" s="3"/>
      <c r="E152" s="3"/>
      <c r="F152" s="3"/>
      <c r="G152" s="3"/>
      <c r="H152" s="3"/>
      <c r="I152" s="3"/>
      <c r="J152" s="3"/>
      <c r="K152" s="3"/>
      <c r="L152" s="3"/>
      <c r="M152" s="3"/>
      <c r="N152" s="3"/>
      <c r="O152" s="3"/>
    </row>
    <row r="153" spans="1:15" x14ac:dyDescent="0.2">
      <c r="A153" s="3"/>
      <c r="B153" s="3"/>
      <c r="C153" s="3"/>
      <c r="D153" s="3"/>
      <c r="E153" s="3"/>
      <c r="F153" s="3"/>
      <c r="G153" s="3"/>
      <c r="H153" s="3"/>
      <c r="I153" s="3"/>
      <c r="J153" s="3"/>
      <c r="K153" s="3"/>
      <c r="L153" s="3"/>
      <c r="M153" s="3"/>
      <c r="N153" s="3"/>
      <c r="O153" s="3"/>
    </row>
    <row r="154" spans="1:15" x14ac:dyDescent="0.2">
      <c r="A154" s="3"/>
      <c r="B154" s="3"/>
      <c r="C154" s="3"/>
      <c r="D154" s="3"/>
      <c r="E154" s="3"/>
      <c r="F154" s="3"/>
      <c r="G154" s="3"/>
      <c r="H154" s="3"/>
      <c r="I154" s="3"/>
      <c r="J154" s="3"/>
      <c r="K154" s="3"/>
      <c r="L154" s="3"/>
      <c r="M154" s="3"/>
      <c r="N154" s="3"/>
      <c r="O154" s="3"/>
    </row>
    <row r="155" spans="1:15" x14ac:dyDescent="0.2">
      <c r="A155" s="3"/>
      <c r="B155" s="3"/>
      <c r="C155" s="3"/>
      <c r="D155" s="3"/>
      <c r="E155" s="3"/>
      <c r="F155" s="3"/>
      <c r="G155" s="3"/>
      <c r="H155" s="3"/>
      <c r="I155" s="3"/>
      <c r="J155" s="3"/>
      <c r="K155" s="3"/>
      <c r="L155" s="3"/>
      <c r="M155" s="3"/>
      <c r="N155" s="3"/>
      <c r="O155" s="3"/>
    </row>
    <row r="156" spans="1:15" x14ac:dyDescent="0.2">
      <c r="A156" s="3"/>
      <c r="B156" s="3"/>
      <c r="C156" s="3"/>
      <c r="D156" s="3"/>
      <c r="E156" s="3"/>
      <c r="F156" s="3"/>
      <c r="G156" s="3"/>
      <c r="H156" s="3"/>
      <c r="I156" s="3"/>
      <c r="J156" s="3"/>
      <c r="K156" s="3"/>
      <c r="L156" s="3"/>
      <c r="M156" s="3"/>
      <c r="N156" s="3"/>
      <c r="O156" s="3"/>
    </row>
    <row r="157" spans="1:15" x14ac:dyDescent="0.2">
      <c r="A157" s="3"/>
      <c r="B157" s="3"/>
      <c r="C157" s="3"/>
      <c r="D157" s="3"/>
      <c r="E157" s="3"/>
      <c r="F157" s="3"/>
      <c r="G157" s="3"/>
      <c r="H157" s="3"/>
      <c r="I157" s="3"/>
      <c r="J157" s="3"/>
      <c r="K157" s="3"/>
      <c r="L157" s="3"/>
      <c r="M157" s="3"/>
      <c r="N157" s="3"/>
      <c r="O157" s="3"/>
    </row>
    <row r="158" spans="1:15" x14ac:dyDescent="0.2">
      <c r="A158" s="3"/>
      <c r="B158" s="3"/>
      <c r="C158" s="3"/>
      <c r="D158" s="3"/>
      <c r="E158" s="3"/>
      <c r="F158" s="3"/>
      <c r="G158" s="3"/>
      <c r="H158" s="3"/>
      <c r="I158" s="3"/>
      <c r="J158" s="3"/>
      <c r="K158" s="3"/>
      <c r="L158" s="3"/>
      <c r="M158" s="3"/>
      <c r="N158" s="3"/>
      <c r="O158" s="3"/>
    </row>
    <row r="159" spans="1:15" x14ac:dyDescent="0.2">
      <c r="A159" s="3"/>
      <c r="B159" s="3"/>
      <c r="C159" s="3"/>
      <c r="D159" s="3"/>
      <c r="E159" s="3"/>
      <c r="F159" s="3"/>
      <c r="G159" s="3"/>
      <c r="H159" s="3"/>
      <c r="I159" s="3"/>
      <c r="J159" s="3"/>
      <c r="K159" s="3"/>
      <c r="L159" s="3"/>
      <c r="M159" s="3"/>
      <c r="N159" s="3"/>
      <c r="O159" s="3"/>
    </row>
    <row r="160" spans="1:15" x14ac:dyDescent="0.2">
      <c r="A160" s="3"/>
      <c r="B160" s="3"/>
      <c r="C160" s="3"/>
      <c r="D160" s="3"/>
      <c r="E160" s="3"/>
      <c r="F160" s="3"/>
      <c r="G160" s="3"/>
      <c r="H160" s="3"/>
      <c r="I160" s="3"/>
      <c r="J160" s="3"/>
      <c r="K160" s="3"/>
      <c r="L160" s="3"/>
      <c r="M160" s="3"/>
      <c r="N160" s="3"/>
      <c r="O160" s="3"/>
    </row>
    <row r="161" spans="1:15" x14ac:dyDescent="0.2">
      <c r="A161" s="3"/>
      <c r="B161" s="3"/>
      <c r="C161" s="3"/>
      <c r="D161" s="3"/>
      <c r="E161" s="3"/>
      <c r="F161" s="3"/>
      <c r="G161" s="3"/>
      <c r="H161" s="3"/>
      <c r="I161" s="3"/>
      <c r="J161" s="3"/>
      <c r="K161" s="3"/>
      <c r="L161" s="3"/>
      <c r="M161" s="3"/>
      <c r="N161" s="3"/>
      <c r="O161" s="3"/>
    </row>
    <row r="162" spans="1:15" x14ac:dyDescent="0.2">
      <c r="A162" s="3"/>
      <c r="B162" s="3"/>
      <c r="C162" s="3"/>
      <c r="D162" s="3"/>
      <c r="E162" s="3"/>
      <c r="F162" s="3"/>
      <c r="G162" s="3"/>
      <c r="H162" s="3"/>
      <c r="I162" s="3"/>
      <c r="J162" s="3"/>
      <c r="K162" s="3"/>
      <c r="L162" s="3"/>
      <c r="M162" s="3"/>
      <c r="N162" s="3"/>
      <c r="O162" s="3"/>
    </row>
    <row r="163" spans="1:15" x14ac:dyDescent="0.2">
      <c r="A163" s="3"/>
      <c r="B163" s="3"/>
      <c r="C163" s="3"/>
      <c r="D163" s="3"/>
      <c r="E163" s="3"/>
      <c r="F163" s="3"/>
      <c r="G163" s="3"/>
      <c r="H163" s="3"/>
      <c r="I163" s="3"/>
      <c r="J163" s="3"/>
      <c r="K163" s="3"/>
      <c r="L163" s="3"/>
      <c r="M163" s="3"/>
      <c r="N163" s="3"/>
      <c r="O163" s="3"/>
    </row>
    <row r="164" spans="1:15" x14ac:dyDescent="0.2">
      <c r="A164" s="3"/>
      <c r="B164" s="3"/>
      <c r="C164" s="3"/>
      <c r="D164" s="3"/>
      <c r="E164" s="3"/>
      <c r="F164" s="3"/>
      <c r="G164" s="3"/>
      <c r="H164" s="3"/>
      <c r="I164" s="3"/>
      <c r="J164" s="3"/>
      <c r="K164" s="3"/>
      <c r="L164" s="3"/>
      <c r="M164" s="3"/>
      <c r="N164" s="3"/>
      <c r="O164" s="3"/>
    </row>
    <row r="165" spans="1:15" x14ac:dyDescent="0.2">
      <c r="A165" s="3"/>
      <c r="B165" s="3"/>
      <c r="C165" s="3"/>
      <c r="D165" s="3"/>
      <c r="E165" s="3"/>
      <c r="F165" s="3"/>
      <c r="G165" s="3"/>
      <c r="H165" s="3"/>
      <c r="I165" s="3"/>
      <c r="J165" s="3"/>
      <c r="K165" s="3"/>
      <c r="L165" s="3"/>
      <c r="M165" s="3"/>
      <c r="N165" s="3"/>
      <c r="O165" s="3"/>
    </row>
  </sheetData>
  <mergeCells count="1">
    <mergeCell ref="B5:F9"/>
  </mergeCell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76CE8-228D-3949-8DF7-003D0BE494A4}">
  <sheetPr>
    <tabColor theme="1" tint="0.499984740745262"/>
  </sheetPr>
  <dimension ref="B2:F29"/>
  <sheetViews>
    <sheetView showGridLines="0" workbookViewId="0"/>
  </sheetViews>
  <sheetFormatPr baseColWidth="10" defaultRowHeight="14" x14ac:dyDescent="0.2"/>
  <cols>
    <col min="1" max="1" width="2.5" style="3" customWidth="1"/>
    <col min="2" max="2" width="46.6640625" style="3" customWidth="1"/>
    <col min="3" max="3" width="19.1640625" style="3" customWidth="1"/>
    <col min="4" max="6" width="18.33203125" style="3" customWidth="1"/>
    <col min="7" max="16384" width="10.83203125" style="3"/>
  </cols>
  <sheetData>
    <row r="2" spans="2:6" ht="16" x14ac:dyDescent="0.2">
      <c r="B2" s="64" t="s">
        <v>616</v>
      </c>
    </row>
    <row r="3" spans="2:6" s="4" customFormat="1" x14ac:dyDescent="0.2">
      <c r="B3" s="4" t="s">
        <v>131</v>
      </c>
    </row>
    <row r="4" spans="2:6" x14ac:dyDescent="0.2">
      <c r="B4" s="4" t="s">
        <v>617</v>
      </c>
    </row>
    <row r="5" spans="2:6" x14ac:dyDescent="0.2">
      <c r="B5" s="312"/>
    </row>
    <row r="6" spans="2:6" x14ac:dyDescent="0.2">
      <c r="B6" s="526" t="s">
        <v>618</v>
      </c>
    </row>
    <row r="7" spans="2:6" ht="42" customHeight="1" x14ac:dyDescent="0.2">
      <c r="B7" s="527" t="s">
        <v>619</v>
      </c>
      <c r="C7" s="528" t="s">
        <v>620</v>
      </c>
      <c r="D7" s="528"/>
      <c r="E7" s="528"/>
      <c r="F7" s="528"/>
    </row>
    <row r="8" spans="2:6" x14ac:dyDescent="0.2">
      <c r="B8" s="529"/>
      <c r="C8" s="529"/>
      <c r="D8" s="529"/>
      <c r="E8" s="529"/>
      <c r="F8" s="529"/>
    </row>
    <row r="9" spans="2:6" x14ac:dyDescent="0.2">
      <c r="B9" s="527" t="s">
        <v>621</v>
      </c>
      <c r="C9" s="530">
        <v>46134</v>
      </c>
      <c r="D9" s="529"/>
      <c r="E9" s="529"/>
      <c r="F9" s="529"/>
    </row>
    <row r="10" spans="2:6" x14ac:dyDescent="0.2">
      <c r="B10" s="531"/>
      <c r="C10" s="531"/>
      <c r="D10" s="531"/>
      <c r="E10" s="531"/>
      <c r="F10" s="531"/>
    </row>
    <row r="11" spans="2:6" x14ac:dyDescent="0.2">
      <c r="B11" s="532" t="s">
        <v>622</v>
      </c>
      <c r="C11" s="533" t="s">
        <v>623</v>
      </c>
      <c r="D11" s="531"/>
      <c r="E11" s="531"/>
      <c r="F11" s="531"/>
    </row>
    <row r="14" spans="2:6" ht="15" thickBot="1" x14ac:dyDescent="0.25">
      <c r="B14" s="541" t="s">
        <v>624</v>
      </c>
      <c r="C14" s="542" t="s">
        <v>625</v>
      </c>
      <c r="D14" s="543" t="s">
        <v>47</v>
      </c>
      <c r="E14" s="544" t="s">
        <v>57</v>
      </c>
      <c r="F14" s="545" t="s">
        <v>48</v>
      </c>
    </row>
    <row r="15" spans="2:6" x14ac:dyDescent="0.2">
      <c r="B15" s="53" t="s">
        <v>626</v>
      </c>
      <c r="C15" s="539" t="s">
        <v>627</v>
      </c>
      <c r="D15" s="540">
        <v>6314.44</v>
      </c>
      <c r="E15" s="540">
        <v>6512.84</v>
      </c>
      <c r="F15" s="540">
        <v>6682.2</v>
      </c>
    </row>
    <row r="16" spans="2:6" x14ac:dyDescent="0.2">
      <c r="B16" s="5" t="s">
        <v>628</v>
      </c>
      <c r="C16" s="534" t="s">
        <v>629</v>
      </c>
      <c r="D16" s="535">
        <v>245.6</v>
      </c>
      <c r="E16" s="535">
        <v>427.73</v>
      </c>
      <c r="F16" s="535">
        <v>653.24</v>
      </c>
    </row>
    <row r="17" spans="2:6" x14ac:dyDescent="0.2">
      <c r="B17" s="5" t="s">
        <v>630</v>
      </c>
      <c r="C17" s="534" t="s">
        <v>631</v>
      </c>
      <c r="D17" s="535">
        <v>639</v>
      </c>
      <c r="E17" s="535">
        <v>884.65</v>
      </c>
      <c r="F17" s="535">
        <v>1185.32</v>
      </c>
    </row>
    <row r="18" spans="2:6" x14ac:dyDescent="0.2">
      <c r="B18" s="5" t="s">
        <v>632</v>
      </c>
      <c r="C18" s="534" t="s">
        <v>633</v>
      </c>
      <c r="D18" s="383">
        <f>IFERROR(D17/D15,"")</f>
        <v>0.10119662234497438</v>
      </c>
      <c r="E18" s="383">
        <f>IFERROR(E17/E15,"")</f>
        <v>0.13583168018867345</v>
      </c>
      <c r="F18" s="383">
        <f>IFERROR(F17/F15,"")</f>
        <v>0.17738469366376342</v>
      </c>
    </row>
    <row r="19" spans="2:6" x14ac:dyDescent="0.2">
      <c r="B19" s="5" t="s">
        <v>634</v>
      </c>
      <c r="C19" s="534" t="s">
        <v>635</v>
      </c>
      <c r="D19" s="535">
        <v>227.8</v>
      </c>
      <c r="E19" s="535">
        <v>444.52</v>
      </c>
      <c r="F19" s="535">
        <v>704.38</v>
      </c>
    </row>
    <row r="20" spans="2:6" x14ac:dyDescent="0.2">
      <c r="B20" s="5" t="s">
        <v>636</v>
      </c>
      <c r="C20" s="534" t="s">
        <v>637</v>
      </c>
      <c r="D20" s="535">
        <v>2975.52</v>
      </c>
      <c r="E20" s="535">
        <v>5119.83</v>
      </c>
      <c r="F20" s="535">
        <v>7940.12</v>
      </c>
    </row>
    <row r="21" spans="2:6" x14ac:dyDescent="0.2">
      <c r="B21" s="5" t="s">
        <v>638</v>
      </c>
      <c r="C21" s="534" t="s">
        <v>639</v>
      </c>
      <c r="D21" s="535">
        <v>4808.1899999999996</v>
      </c>
      <c r="E21" s="535">
        <v>7572.72</v>
      </c>
      <c r="F21" s="535">
        <v>11427.83</v>
      </c>
    </row>
    <row r="22" spans="2:6" x14ac:dyDescent="0.2">
      <c r="B22" s="5" t="s">
        <v>640</v>
      </c>
      <c r="C22" s="534" t="s">
        <v>641</v>
      </c>
      <c r="D22" s="536">
        <v>56.45</v>
      </c>
      <c r="E22" s="536">
        <v>103.58</v>
      </c>
      <c r="F22" s="536">
        <v>165.56</v>
      </c>
    </row>
    <row r="23" spans="2:6" x14ac:dyDescent="0.2">
      <c r="B23" s="5" t="s">
        <v>642</v>
      </c>
      <c r="C23" s="534" t="s">
        <v>643</v>
      </c>
      <c r="D23" s="536">
        <v>96.73</v>
      </c>
      <c r="E23" s="536">
        <v>157.49</v>
      </c>
      <c r="F23" s="536">
        <v>242.21</v>
      </c>
    </row>
    <row r="24" spans="2:6" x14ac:dyDescent="0.2">
      <c r="B24" s="321" t="s">
        <v>644</v>
      </c>
      <c r="C24" s="537" t="s">
        <v>645</v>
      </c>
      <c r="D24" s="333">
        <f>IFERROR(AVERAGE(D22:D23),"")</f>
        <v>76.59</v>
      </c>
      <c r="E24" s="333">
        <f>IFERROR(AVERAGE(E22:E23),"")</f>
        <v>130.535</v>
      </c>
      <c r="F24" s="333">
        <f>IFERROR(AVERAGE(F22:F23),"")</f>
        <v>203.88499999999999</v>
      </c>
    </row>
    <row r="26" spans="2:6" ht="15" thickBot="1" x14ac:dyDescent="0.25">
      <c r="B26" s="541" t="s">
        <v>646</v>
      </c>
      <c r="C26" s="548"/>
      <c r="D26" s="543" t="s">
        <v>47</v>
      </c>
      <c r="E26" s="544" t="s">
        <v>57</v>
      </c>
      <c r="F26" s="545" t="s">
        <v>48</v>
      </c>
    </row>
    <row r="27" spans="2:6" x14ac:dyDescent="0.2">
      <c r="B27" s="546" t="s">
        <v>647</v>
      </c>
      <c r="C27" s="539" t="s">
        <v>648</v>
      </c>
      <c r="D27" s="547">
        <f>IFERROR('Shadow DCF'!D128,"")</f>
        <v>69.578752590016876</v>
      </c>
      <c r="E27" s="547">
        <f>IFERROR('Shadow DCF'!E128,"")</f>
        <v>126.10899273145715</v>
      </c>
      <c r="F27" s="547">
        <f>IFERROR('Shadow DCF'!F128,"")</f>
        <v>207.07500018289065</v>
      </c>
    </row>
    <row r="28" spans="2:6" x14ac:dyDescent="0.2">
      <c r="B28" s="200" t="s">
        <v>649</v>
      </c>
      <c r="C28" s="537"/>
      <c r="D28" s="332">
        <f>IFERROR(D24,"")</f>
        <v>76.59</v>
      </c>
      <c r="E28" s="332">
        <f>IFERROR(E24,"")</f>
        <v>130.535</v>
      </c>
      <c r="F28" s="332">
        <f>IFERROR(F24,"")</f>
        <v>203.88499999999999</v>
      </c>
    </row>
    <row r="29" spans="2:6" x14ac:dyDescent="0.2">
      <c r="B29" s="321" t="s">
        <v>650</v>
      </c>
      <c r="C29" s="537"/>
      <c r="D29" s="538">
        <f>IFERROR(IF(AND(ISNUMBER(D27),ISNUMBER(D28)),D27/D28-1,""),"")</f>
        <v>-9.1542595769462443E-2</v>
      </c>
      <c r="E29" s="538">
        <f>IFERROR(IF(AND(ISNUMBER(E27),ISNUMBER(E28)),E27/E28-1,""),"")</f>
        <v>-3.3906670766789326E-2</v>
      </c>
      <c r="F29" s="538">
        <f>IFERROR(IF(AND(ISNUMBER(F27),ISNUMBER(F28)),F27/F28-1,""),"")</f>
        <v>1.564607589028455E-2</v>
      </c>
    </row>
  </sheetData>
  <mergeCells count="1">
    <mergeCell ref="C7:F7"/>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76EB-243A-6E43-8FB1-C4958B1EF2A3}">
  <dimension ref="A1:H12"/>
  <sheetViews>
    <sheetView workbookViewId="0"/>
  </sheetViews>
  <sheetFormatPr baseColWidth="10" defaultRowHeight="15" x14ac:dyDescent="0.2"/>
  <cols>
    <col min="1" max="1" width="36.6640625" customWidth="1"/>
    <col min="2" max="4" width="11.6640625" customWidth="1"/>
    <col min="5" max="5" width="46.6640625" customWidth="1"/>
  </cols>
  <sheetData>
    <row r="1" spans="1:8" ht="16" x14ac:dyDescent="0.2">
      <c r="A1" s="64" t="s">
        <v>558</v>
      </c>
    </row>
    <row r="3" spans="1:8" x14ac:dyDescent="0.2">
      <c r="A3" s="63" t="s">
        <v>559</v>
      </c>
    </row>
    <row r="5" spans="1:8" x14ac:dyDescent="0.2">
      <c r="A5" s="354" t="s">
        <v>243</v>
      </c>
      <c r="B5" s="354" t="s">
        <v>241</v>
      </c>
      <c r="C5" s="354" t="s">
        <v>557</v>
      </c>
      <c r="D5" s="354" t="s">
        <v>240</v>
      </c>
      <c r="E5" s="354" t="s">
        <v>560</v>
      </c>
      <c r="G5" s="354" t="s">
        <v>563</v>
      </c>
    </row>
    <row r="6" spans="1:8" x14ac:dyDescent="0.2">
      <c r="A6" t="s">
        <v>549</v>
      </c>
      <c r="B6" s="453">
        <f>'Scenario Summary'!D8</f>
        <v>49.300117088147502</v>
      </c>
      <c r="C6" s="454">
        <f>D6-B6</f>
        <v>120.39306112300851</v>
      </c>
      <c r="D6" s="453">
        <f>'Scenario Summary'!F8</f>
        <v>169.69317821115601</v>
      </c>
      <c r="E6" t="s">
        <v>550</v>
      </c>
      <c r="G6" t="s">
        <v>564</v>
      </c>
      <c r="H6" t="s">
        <v>565</v>
      </c>
    </row>
    <row r="7" spans="1:8" x14ac:dyDescent="0.2">
      <c r="A7" t="s">
        <v>561</v>
      </c>
      <c r="B7" s="453">
        <f>'Scenario Summary'!D9</f>
        <v>89.857388091886236</v>
      </c>
      <c r="C7" s="454">
        <f>D7-B7</f>
        <v>154.59943406273905</v>
      </c>
      <c r="D7" s="453">
        <f>'Scenario Summary'!F9</f>
        <v>244.45682215462529</v>
      </c>
      <c r="E7" t="s">
        <v>550</v>
      </c>
      <c r="G7" s="454">
        <f>B12</f>
        <v>168</v>
      </c>
      <c r="H7" s="455">
        <v>0.5</v>
      </c>
    </row>
    <row r="8" spans="1:8" x14ac:dyDescent="0.2">
      <c r="A8" t="s">
        <v>551</v>
      </c>
      <c r="B8" s="453">
        <f>(PERCENTILE(Comps!N10:N16,0.25)*'Income Statement'!I52-'DCF &amp; Sensitivity'!D48)/'DCF &amp; Sensitivity'!D51</f>
        <v>125.81601031510473</v>
      </c>
      <c r="C8" s="454">
        <f>D8-B8</f>
        <v>88.613732482208206</v>
      </c>
      <c r="D8" s="453">
        <f>(PERCENTILE(Comps!N10:N16,0.75)*'Income Statement'!I52-'DCF &amp; Sensitivity'!D48)/'DCF &amp; Sensitivity'!D51</f>
        <v>214.42974279731294</v>
      </c>
      <c r="E8" t="s">
        <v>552</v>
      </c>
      <c r="G8" s="454">
        <f>B12</f>
        <v>168</v>
      </c>
      <c r="H8" s="455">
        <v>5.5</v>
      </c>
    </row>
    <row r="9" spans="1:8" x14ac:dyDescent="0.2">
      <c r="A9" t="s">
        <v>562</v>
      </c>
      <c r="B9" s="453">
        <f>PERCENTILE(Comps!O10:O16,0.25)*'Income Statement'!I45</f>
        <v>113.94744993457849</v>
      </c>
      <c r="C9" s="454">
        <f>D9-B9</f>
        <v>84.817687778912017</v>
      </c>
      <c r="D9" s="453">
        <f>PERCENTILE(Comps!O10:O16,0.75)*'Income Statement'!I45</f>
        <v>198.7651377134905</v>
      </c>
      <c r="E9" t="s">
        <v>553</v>
      </c>
    </row>
    <row r="10" spans="1:8" x14ac:dyDescent="0.2">
      <c r="A10" t="s">
        <v>554</v>
      </c>
      <c r="B10" s="456">
        <v>100.3</v>
      </c>
      <c r="C10" s="454">
        <f>D10-B10</f>
        <v>86.820000000000007</v>
      </c>
      <c r="D10" s="457">
        <v>187.12</v>
      </c>
      <c r="E10" t="s">
        <v>555</v>
      </c>
    </row>
    <row r="12" spans="1:8" x14ac:dyDescent="0.2">
      <c r="A12" s="47" t="s">
        <v>556</v>
      </c>
      <c r="B12" s="453">
        <f>'DCF &amp; Sensitivity'!D55</f>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12</vt:i4>
      </vt:variant>
    </vt:vector>
  </HeadingPairs>
  <TitlesOfParts>
    <vt:vector size="28" baseType="lpstr">
      <vt:lpstr>Cover Page</vt:lpstr>
      <vt:lpstr>Scenario Summary</vt:lpstr>
      <vt:lpstr>SWOT</vt:lpstr>
      <vt:lpstr>Valuation &gt;&gt;&gt;</vt:lpstr>
      <vt:lpstr>Assumptions</vt:lpstr>
      <vt:lpstr>Revenue Build</vt:lpstr>
      <vt:lpstr>Income Statement</vt:lpstr>
      <vt:lpstr>Balance Sheet</vt:lpstr>
      <vt:lpstr>Cash Flow</vt:lpstr>
      <vt:lpstr>DCF &amp; Sensitivity</vt:lpstr>
      <vt:lpstr>Comps</vt:lpstr>
      <vt:lpstr>Appendix &gt;&gt;&gt;</vt:lpstr>
      <vt:lpstr>Sources</vt:lpstr>
      <vt:lpstr>Shadow DCF</vt:lpstr>
      <vt:lpstr>Shadow DCF Rec</vt:lpstr>
      <vt:lpstr>FootballField Data</vt:lpstr>
      <vt:lpstr>BaseYear</vt:lpstr>
      <vt:lpstr>CompanyName</vt:lpstr>
      <vt:lpstr>CurrentPrice</vt:lpstr>
      <vt:lpstr>ExitMultiple</vt:lpstr>
      <vt:lpstr>FirstForecastYear</vt:lpstr>
      <vt:lpstr>NetDebt</vt:lpstr>
      <vt:lpstr>ScenarioRange</vt:lpstr>
      <vt:lpstr>SharesOut</vt:lpstr>
      <vt:lpstr>TaxRate</vt:lpstr>
      <vt:lpstr>TerminalGrowth</vt:lpstr>
      <vt:lpstr>Ticker</vt:lpstr>
      <vt:lpstr>WACC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Arijay Mehta</cp:lastModifiedBy>
  <dcterms:created xsi:type="dcterms:W3CDTF">2026-04-13T20:34:49Z</dcterms:created>
  <dcterms:modified xsi:type="dcterms:W3CDTF">2026-04-22T17:18:30Z</dcterms:modified>
</cp:coreProperties>
</file>